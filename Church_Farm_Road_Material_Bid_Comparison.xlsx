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terial Comparison" sheetId="2" state="visible" r:id="rId4"/>
    <sheet name="By Bid Item" sheetId="3" state="visible" r:id="rId5"/>
    <sheet name="Quote Lines" sheetId="4" state="visible" r:id="rId6"/>
    <sheet name="Notes &amp; Flags" sheetId="5" state="visible" r:id="rId7"/>
  </sheets>
  <definedNames>
    <definedName function="false" hidden="false" localSheetId="1" name="_xlnm.Print_Area" vbProcedure="false">'Material Comparison'!$A$1:$V$340</definedName>
    <definedName function="false" hidden="false" localSheetId="1" name="_xlnm.Print_Titles" vbProcedure="false">'Material Comparison'!$5:$6</definedName>
    <definedName function="false" hidden="true" localSheetId="1" name="_xlnm._FilterDatabase" vbProcedure="false">'Material Comparison'!$A$6:$V$338</definedName>
    <definedName function="false" hidden="true" localSheetId="3" name="_xlnm._FilterDatabase" vbProcedure="false">'Quote Lines'!$A$2:$P$805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<sst xmlns="http://schemas.openxmlformats.org/spreadsheetml/2006/main" count="8587" uniqueCount="2418">
  <si>
    <t xml:space="preserve">CHURCH FARM ROAD PUMP STATION &amp; PIPELINE</t>
  </si>
  <si>
    <t xml:space="preserve">Material supply bid comparison  ·  4 supplier quotes  ·  Washington City, Utah  ·  prepared 9/29/2026</t>
  </si>
  <si>
    <t xml:space="preserve">COLOR KEY</t>
  </si>
  <si>
    <t xml:space="preserve">Lowest bid</t>
  </si>
  <si>
    <t xml:space="preserve">2nd lowest</t>
  </si>
  <si>
    <t xml:space="preserve">Middle (3rd of 4)</t>
  </si>
  <si>
    <t xml:space="preserve">Highest bid</t>
  </si>
  <si>
    <t xml:space="preserve">Only one quote</t>
  </si>
  <si>
    <t xml:space="preserve">1 · WHAT EACH SUPPLIER ACTUALLY QUOTED  (the headline numbers — not comparable on their own)</t>
  </si>
  <si>
    <t xml:space="preserve">Supplier</t>
  </si>
  <si>
    <t xml:space="preserve">Quote / date</t>
  </si>
  <si>
    <t xml:space="preserve">Valid through</t>
  </si>
  <si>
    <t xml:space="preserve">Sum of transcribed lines</t>
  </si>
  <si>
    <t xml:space="preserve">Printed on quote (pre-tax)</t>
  </si>
  <si>
    <t xml:space="preserve">Difference</t>
  </si>
  <si>
    <t xml:space="preserve">Sales tax (quoted)</t>
  </si>
  <si>
    <t xml:space="preserve">Total incl. tax</t>
  </si>
  <si>
    <t xml:space="preserve">Lines</t>
  </si>
  <si>
    <t xml:space="preserve">Scope excluded from quote</t>
  </si>
  <si>
    <t xml:space="preserve">Ferguson</t>
  </si>
  <si>
    <t xml:space="preserve">Est. 006QQ000019fSKPYA2 · 9/18/26</t>
  </si>
  <si>
    <t xml:space="preserve">~10/18/26 (30 days)</t>
  </si>
  <si>
    <t xml:space="preserve">Not guaranteed to be complete; award of ENTIRE BOM required; tariffs excluded</t>
  </si>
  <si>
    <t xml:space="preserve">HD Fowler</t>
  </si>
  <si>
    <t xml:space="preserve">Q647047 · bid date 9/9/26</t>
  </si>
  <si>
    <t xml:space="preserve">Not stated</t>
  </si>
  <si>
    <t xml:space="preserve">Casing pipe (no bid), spacers &amp; end seals (TBD), bell restraints (qty by contractor), pipe supports, precast, steel fab</t>
  </si>
  <si>
    <t xml:space="preserve">Mountainland</t>
  </si>
  <si>
    <t xml:space="preserve">S108187947 · 9/16/26</t>
  </si>
  <si>
    <t xml:space="preserve">9/15/26 (before issue date)</t>
  </si>
  <si>
    <t xml:space="preserve">Bid Items 1-4, 13, 15 no bid; owner supplies pumps &amp; 12" meter/Cla-Val at vault</t>
  </si>
  <si>
    <t xml:space="preserve">Scholzen</t>
  </si>
  <si>
    <t xml:space="preserve">7003117-00 · 7/24/26</t>
  </si>
  <si>
    <t xml:space="preserve">24 hours (expired 7/25/26)</t>
  </si>
  <si>
    <t xml:space="preserve">Casing pipe, spacers, end seals; link seals 'not available'; spool lengths to be verified</t>
  </si>
  <si>
    <t xml:space="preserve">Printed totals are blue inputs read from each quote's last page; 'Difference' proves every line was transcribed. Sales tax is as quoted (Scholzen's implies 7.08% vs 6.75% on the other three).</t>
  </si>
  <si>
    <t xml:space="preserve">2 · APPLES-TO-APPLES  (same quantities for everyone; skipped items filled at the lowest competing price)</t>
  </si>
  <si>
    <t xml:space="preserve">Comparable rows priced</t>
  </si>
  <si>
    <t xml:space="preserve">Est. value of skipped rows</t>
  </si>
  <si>
    <t xml:space="preserve">Comparable-basis total</t>
  </si>
  <si>
    <t xml:space="preserve">vs. lowest ($)</t>
  </si>
  <si>
    <t xml:space="preserve">vs. lowest (%)</t>
  </si>
  <si>
    <t xml:space="preserve">Rank</t>
  </si>
  <si>
    <t xml:space="preserve">Comparable rows = material lines priced by at least two suppliers. Single-supplier lines (specialty spools, unique accessories) can't be compared and are excluded here.</t>
  </si>
  <si>
    <t xml:space="preserve">3 · COLOR TALLY  (how often each supplier lands in each color, across all comparable rows)</t>
  </si>
  <si>
    <t xml:space="preserve">Lowest (green)</t>
  </si>
  <si>
    <t xml:space="preserve">2nd lowest (yellow)</t>
  </si>
  <si>
    <t xml:space="preserve">Middle (orange)</t>
  </si>
  <si>
    <t xml:space="preserve">Highest (red)</t>
  </si>
  <si>
    <t xml:space="preserve">Only quote</t>
  </si>
  <si>
    <t xml:space="preserve">Not quoted</t>
  </si>
  <si>
    <t xml:space="preserve">Ties count for every tied supplier. 'Not quoted' = rows other suppliers priced that this supplier skipped.</t>
  </si>
  <si>
    <t xml:space="preserve">4 · SPLIT-AWARD VIEW  (buy every comparable line from its lowest bidder)</t>
  </si>
  <si>
    <t xml:space="preserve">Lines won</t>
  </si>
  <si>
    <t xml:space="preserve">$ awarded</t>
  </si>
  <si>
    <t xml:space="preserve">Share of split total</t>
  </si>
  <si>
    <t xml:space="preserve">Split total</t>
  </si>
  <si>
    <t xml:space="preserve">Best single-supplier total (section 2)</t>
  </si>
  <si>
    <t xml:space="preserve">Potential saving from splitting</t>
  </si>
  <si>
    <t xml:space="preserve">Middle path: award each BID ITEM to its cheapest supplier</t>
  </si>
  <si>
    <t xml:space="preserve">Caveat: Ferguson's quote is 'contingent upon award of entire bill of materials' — splitting the buy can void its unit prices. Ties are awarded to the first supplier listed.</t>
  </si>
  <si>
    <t xml:space="preserve">5 · CLEAN HEAD-TO-HEAD  (only rows all four suppliers priced — no gap-filling, no judgment calls)</t>
  </si>
  <si>
    <t xml:space="preserve">Rows in basket</t>
  </si>
  <si>
    <t xml:space="preserve">Basket total</t>
  </si>
  <si>
    <t xml:space="preserve">6 · BIGGEST PRICE GAPS  (where negotiating or switching supplier moves the most money)</t>
  </si>
  <si>
    <t xml:space="preserve">#</t>
  </si>
  <si>
    <t xml:space="preserve">Material</t>
  </si>
  <si>
    <t xml:space="preserve">Bid item</t>
  </si>
  <si>
    <t xml:space="preserve">Lowest bidder</t>
  </si>
  <si>
    <t xml:space="preserve">Lowest unit ($)</t>
  </si>
  <si>
    <t xml:space="preserve">Highest bidder</t>
  </si>
  <si>
    <t xml:space="preserve">Highest unit ($)</t>
  </si>
  <si>
    <t xml:space="preserve">$ spread @ ref qty</t>
  </si>
  <si>
    <t xml:space="preserve">High vs low</t>
  </si>
  <si>
    <t xml:space="preserve">7 · WHAT THIS MEANS  (read before awarding anything)</t>
  </si>
  <si>
    <t xml:space="preserve">Headline totals mislead.</t>
  </si>
  <si>
    <t xml:space="preserve">HD Fowler ($1.04M) and Scholzen ($1.11M) look cheapest only because they left scope out: no steel casing pipe, spacers or end seals (about $183K at competing prices), and HD Fowler priced its pipe-joint restraints but left the quantities 'to contractor' (about $78K, not in its total). Put every supplier on the same scope and quantities and the order flips: Mountainland $1.27M (lowest), HD Fowler +1.3%, Scholzen +1.5%, Ferguson +4.3%.</t>
  </si>
  <si>
    <t xml:space="preserve">Price won't decide this — certainty will.</t>
  </si>
  <si>
    <t xml:space="preserve">The three lowest comparable totals sit within 1.5% of each other. The real differences are scope completeness, quote validity and terms. Your blind spot is comparing four takeoffs, not four prices: suppliers disagree on quantities (e.g. 12" bell restraints: 154 / 92 / 132) and on spool lengths, so whoever counted fewest looks cheapest.</t>
  </si>
  <si>
    <t xml:space="preserve">Ferguson: best and worst prices in one quote.</t>
  </si>
  <si>
    <t xml:space="preserve">Ferguson ranks last in total (+4.3%) yet is lowest on 63 rows (incl. the big-dollar 12"/16" pipe and casing) and highest on 57 — mostly restraints, fittings and small parts, which is where to negotiate. Scholzen is highest on 63 rows and lowest on only 18 — line for line it is the priciest; its total is low only because of skipped scope. HD Fowler has the best low/high ratio (48 vs 24).</t>
  </si>
  <si>
    <t xml:space="preserve">Split-buy upside is real but conditional.</t>
  </si>
  <si>
    <t xml:space="preserve">Buying every comparable line from its lowest bidder totals $1.20M, $70K (5.5%) under the best single-supplier award; awarding each bid item to its cheapest supplier gets $32K (2.5%). But Ferguson's prices are 'contingent upon award of entire bill of materials' — splitting can void them. Get that in writing before you rely on the split.</t>
  </si>
  <si>
    <t xml:space="preserve">Three of four quotes are stale.</t>
  </si>
  <si>
    <t xml:space="preserve">Scholzen's quote is dated 7/24/26 and valid 24 hours; Mountainland's expired 9/15/26 (the day before its own issue date); HD Fowler prints no date or validity and reserves tariff repricing at shipment. Only Ferguson (9/18/26, good ~30 days) is current. Treat every number here as indicative until re-confirmed.</t>
  </si>
  <si>
    <t xml:space="preserve">Challenge these before award (details on Notes &amp; Flags).</t>
  </si>
  <si>
    <t xml:space="preserve">Ferguson: $1,871.76 curb-stop handle (vs $40), 4" Sch 80 PVC at $20.98/ft (vs ~$5), bell restraints 40–65% over Mountainland/Scholzen. Scholzen: no valve bolt sets on Items 9.1–9.4, both Sch 80 and Sch 40 3" conduit, $1,083 split Stargrips. Mountainland: 12" AV-TEK valve quoted without its electric actuator (~$12K short).</t>
  </si>
  <si>
    <t xml:space="preserve">Next steps, in order.</t>
  </si>
  <si>
    <t xml:space="preserve">1) Send all four the same quantity list (the Ref Qty column) and require a price on every row — especially bell restraints, casing/spacers/end seals and valve hardware. 2) Get written validity of 30+ days from Scholzen, Mountainland and HD Fowler. 3) Use Mountainland/Scholzen restraint and fitting prices to push Ferguson down. 4) Confirm alt-spec rows (Cla-Val voltage, butterfly-valve class, casing wall, hydrant bury) with the engineer. 5) Decide single vs split award only after steps 1–4 — then update the blue cells and this workbook re-ranks itself.</t>
  </si>
  <si>
    <t xml:space="preserve">Prepared by Claude from the four supplier quotes in the repo. Quote lines were extracted programmatically (Ferguson, HD Fowler, Mountainland) and transcribed from the scanned Scholzen PDF; every supplier's lines tie to its printed total. Verify quantities and specs against the plans before buying.</t>
  </si>
  <si>
    <t xml:space="preserve">CHURCH FARM ROAD PUMP STATION &amp; PIPELINE — MATERIAL BID COMPARISON</t>
  </si>
  <si>
    <t xml:space="preserve">Washington City, Utah · 4 supplier quotes · unit prices normalized to a common UoM · Extended = unit price × Ref Qty (blue, editable) so every supplier is compared on the same quantity</t>
  </si>
  <si>
    <t xml:space="preserve">KEY:</t>
  </si>
  <si>
    <t xml:space="preserve">— = not quoted</t>
  </si>
  <si>
    <t xml:space="preserve">3 quotes → green / yellow / red · 2 quotes → green / red · ties share the better color · blue cells are inputs</t>
  </si>
  <si>
    <t xml:space="preserve">Tip: filter column T to 'Like-for-like' for the cleanest head-to-head; expand the [+] group above column W for each supplier's own quoted quantities.</t>
  </si>
  <si>
    <t xml:space="preserve">MATERIAL</t>
  </si>
  <si>
    <t xml:space="preserve">UNIT PRICE ($ per UoM)</t>
  </si>
  <si>
    <t xml:space="preserve">EXTENDED @ REF QTY ($)</t>
  </si>
  <si>
    <t xml:space="preserve">ANALYSIS</t>
  </si>
  <si>
    <t xml:space="preserve">NOTES / SPEC FLAGS</t>
  </si>
  <si>
    <t xml:space="preserve">QUOTED QTY (each supplier's own takeoff)</t>
  </si>
  <si>
    <t xml:space="preserve">Row</t>
  </si>
  <si>
    <t xml:space="preserve">Group</t>
  </si>
  <si>
    <t xml:space="preserve">UoM</t>
  </si>
  <si>
    <t xml:space="preserve">Ref qty</t>
  </si>
  <si>
    <t xml:space="preserve">Best supplier</t>
  </si>
  <si>
    <t xml:space="preserve"># quotes</t>
  </si>
  <si>
    <t xml:space="preserve">Comparability</t>
  </si>
  <si>
    <t xml:space="preserve">Qty check</t>
  </si>
  <si>
    <t xml:space="preserve">Notes</t>
  </si>
  <si>
    <t xml:space="preserve">Rank: Ferguson</t>
  </si>
  <si>
    <t xml:space="preserve">Rank: HD Fowler</t>
  </si>
  <si>
    <t xml:space="preserve">Rank: Mountainland</t>
  </si>
  <si>
    <t xml:space="preserve">Rank: Scholzen</t>
  </si>
  <si>
    <t xml:space="preserve">Color code: Ferguson</t>
  </si>
  <si>
    <t xml:space="preserve">Color code: HD Fowler</t>
  </si>
  <si>
    <t xml:space="preserve">Color code: Mountainland</t>
  </si>
  <si>
    <t xml:space="preserve">Color code: Scholzen</t>
  </si>
  <si>
    <t xml:space="preserve">Comparable-basis ext: Ferguson</t>
  </si>
  <si>
    <t xml:space="preserve">Comparable-basis ext: HD Fowler</t>
  </si>
  <si>
    <t xml:space="preserve">Comparable-basis ext: Mountainland</t>
  </si>
  <si>
    <t xml:space="preserve">Comparable-basis ext: Scholzen</t>
  </si>
  <si>
    <t xml:space="preserve">Spread key</t>
  </si>
  <si>
    <t xml:space="preserve">Highest unit</t>
  </si>
  <si>
    <t xml:space="preserve">Highest supplier</t>
  </si>
  <si>
    <t xml:space="preserve">Best ext</t>
  </si>
  <si>
    <t xml:space="preserve">Winner (first)</t>
  </si>
  <si>
    <t xml:space="preserve">BID ITEM 5  —  Pump station, meter vault &amp; valve vault</t>
  </si>
  <si>
    <t xml:space="preserve">R001</t>
  </si>
  <si>
    <t xml:space="preserve">Item 5</t>
  </si>
  <si>
    <t xml:space="preserve">DI fittings</t>
  </si>
  <si>
    <t xml:space="preserve">16" flanged 90° elbow</t>
  </si>
  <si>
    <t xml:space="preserve">EA</t>
  </si>
  <si>
    <t xml:space="preserve">R002</t>
  </si>
  <si>
    <t xml:space="preserve">16" x 10" flanged concentric reducer</t>
  </si>
  <si>
    <t xml:space="preserve">R003</t>
  </si>
  <si>
    <t xml:space="preserve">16" x 12" flanged concentric reducer</t>
  </si>
  <si>
    <t xml:space="preserve">—</t>
  </si>
  <si>
    <t xml:space="preserve">Ferguson quoted MJ-end 16x12 reducers instead (next row).</t>
  </si>
  <si>
    <t xml:space="preserve">R004</t>
  </si>
  <si>
    <t xml:space="preserve">16" x 12" MJ reducer (all-bell / large-end)</t>
  </si>
  <si>
    <t xml:space="preserve">Ferguson mixes all-bell and large-end MJ reducers; H = 'MJ BXB'. Quantities differ by takeoff.</t>
  </si>
  <si>
    <t xml:space="preserve">R005</t>
  </si>
  <si>
    <t xml:space="preserve">12" flanged tee</t>
  </si>
  <si>
    <t xml:space="preserve">R006</t>
  </si>
  <si>
    <t xml:space="preserve">10" flanged tee</t>
  </si>
  <si>
    <t xml:space="preserve">R007</t>
  </si>
  <si>
    <t xml:space="preserve">10" x 8" flanged tee</t>
  </si>
  <si>
    <t xml:space="preserve">R008</t>
  </si>
  <si>
    <t xml:space="preserve">8" flanged 90° elbow</t>
  </si>
  <si>
    <t xml:space="preserve">R009</t>
  </si>
  <si>
    <t xml:space="preserve">12" MJ x flange 45° bend</t>
  </si>
  <si>
    <t xml:space="preserve">Only Ferguson priced the MJ x flange end configuration.</t>
  </si>
  <si>
    <t xml:space="preserve">R010</t>
  </si>
  <si>
    <t xml:space="preserve">12" MJ x flange 22-1/2° bend</t>
  </si>
  <si>
    <t xml:space="preserve">R011</t>
  </si>
  <si>
    <t xml:space="preserve">12" MJ 45° bend (MJ x MJ)</t>
  </si>
  <si>
    <t xml:space="preserve">R012</t>
  </si>
  <si>
    <t xml:space="preserve">12" MJ 22-1/2° bend (MJ x MJ)</t>
  </si>
  <si>
    <t xml:space="preserve">R013</t>
  </si>
  <si>
    <t xml:space="preserve">12" MJ x flange adapter</t>
  </si>
  <si>
    <t xml:space="preserve">R014</t>
  </si>
  <si>
    <t xml:space="preserve">12" MJ long sleeve</t>
  </si>
  <si>
    <t xml:space="preserve">R015</t>
  </si>
  <si>
    <t xml:space="preserve">12" MJ short sleeve (7-1/2")</t>
  </si>
  <si>
    <t xml:space="preserve">R016</t>
  </si>
  <si>
    <t xml:space="preserve">16" MJ sleeve</t>
  </si>
  <si>
    <t xml:space="preserve">R017</t>
  </si>
  <si>
    <t xml:space="preserve">4" MJ sleeve</t>
  </si>
  <si>
    <t xml:space="preserve">Ferguson: 4x12 long sleeve.</t>
  </si>
  <si>
    <t xml:space="preserve">R018</t>
  </si>
  <si>
    <t xml:space="preserve">4" MJ x flange adapter</t>
  </si>
  <si>
    <t xml:space="preserve">R019</t>
  </si>
  <si>
    <t xml:space="preserve">10" x 2" tapped blind flange (2" IP tap)</t>
  </si>
  <si>
    <t xml:space="preserve">R020</t>
  </si>
  <si>
    <t xml:space="preserve">PVC / DI pipe</t>
  </si>
  <si>
    <t xml:space="preserve">4" DI pipe (CL350 / CL51, TJ)</t>
  </si>
  <si>
    <t xml:space="preserve">FT</t>
  </si>
  <si>
    <t xml:space="preserve">Ferguson CL350 double-cement-lined FASTITE; H &amp; S CL51 TJ.</t>
  </si>
  <si>
    <t xml:space="preserve">R021</t>
  </si>
  <si>
    <t xml:space="preserve">12" CL51 DI pipe (TJ)</t>
  </si>
  <si>
    <t xml:space="preserve">R022</t>
  </si>
  <si>
    <t xml:space="preserve">DI spools</t>
  </si>
  <si>
    <t xml:space="preserve">16" x 15'-0" flange x PE DI spool</t>
  </si>
  <si>
    <t xml:space="preserve">R023</t>
  </si>
  <si>
    <t xml:space="preserve">16" x 10'-0" flange x PE DI spool</t>
  </si>
  <si>
    <t xml:space="preserve">R024</t>
  </si>
  <si>
    <t xml:space="preserve">16" x 9'-0" flange x PE DI spool</t>
  </si>
  <si>
    <t xml:space="preserve">R025</t>
  </si>
  <si>
    <t xml:space="preserve">16" x 10'-6" flange x flange DI spool</t>
  </si>
  <si>
    <t xml:space="preserve">R026</t>
  </si>
  <si>
    <t xml:space="preserve">16" x 5'-0" flange x flange DI spool</t>
  </si>
  <si>
    <t xml:space="preserve">R027</t>
  </si>
  <si>
    <t xml:space="preserve">16" x 4'-0" flange x flange DI spool</t>
  </si>
  <si>
    <t xml:space="preserve">R028</t>
  </si>
  <si>
    <t xml:space="preserve">16" x 3'-6" flange x flange DI spool</t>
  </si>
  <si>
    <t xml:space="preserve">R029</t>
  </si>
  <si>
    <t xml:space="preserve">10" x 4'-6" flange x flange DI spool</t>
  </si>
  <si>
    <t xml:space="preserve">R030</t>
  </si>
  <si>
    <t xml:space="preserve">10" x 2'-0" flange x flange DI spool</t>
  </si>
  <si>
    <t xml:space="preserve">R031</t>
  </si>
  <si>
    <t xml:space="preserve">10" x 2'-10" flange x flange DI spool</t>
  </si>
  <si>
    <t xml:space="preserve">R032</t>
  </si>
  <si>
    <t xml:space="preserve">10" x 1'-0" flange x flange DI spool</t>
  </si>
  <si>
    <t xml:space="preserve">R033</t>
  </si>
  <si>
    <t xml:space="preserve">10" x 3'-0" flange x flange DI spool</t>
  </si>
  <si>
    <t xml:space="preserve">R034</t>
  </si>
  <si>
    <t xml:space="preserve">8" x 2'-6" flange x flange DI spool</t>
  </si>
  <si>
    <t xml:space="preserve">R035</t>
  </si>
  <si>
    <t xml:space="preserve">8" x 2'-0" flange x flange DI spool</t>
  </si>
  <si>
    <t xml:space="preserve">R036</t>
  </si>
  <si>
    <t xml:space="preserve">8" x 3'-0" flange x flange DI spool</t>
  </si>
  <si>
    <t xml:space="preserve">R037</t>
  </si>
  <si>
    <t xml:space="preserve">12" x 7'-0" flange x flange DI spool</t>
  </si>
  <si>
    <t xml:space="preserve">R038</t>
  </si>
  <si>
    <t xml:space="preserve">12" x 7'-4" flange x flange DI spool</t>
  </si>
  <si>
    <t xml:space="preserve">R039</t>
  </si>
  <si>
    <t xml:space="preserve">12" x 5'-0" flange x PE DI spool</t>
  </si>
  <si>
    <t xml:space="preserve">R040</t>
  </si>
  <si>
    <t xml:space="preserve">12" x 5'-6" flange x PE DI spool</t>
  </si>
  <si>
    <t xml:space="preserve">R041</t>
  </si>
  <si>
    <t xml:space="preserve">12" x 6'-0" flange x PE DI spool</t>
  </si>
  <si>
    <t xml:space="preserve">R042</t>
  </si>
  <si>
    <t xml:space="preserve">12" x 4'-6" flange x PE DI spool</t>
  </si>
  <si>
    <t xml:space="preserve">R043</t>
  </si>
  <si>
    <t xml:space="preserve">12" x 4'-0" flange x PE DI spool</t>
  </si>
  <si>
    <t xml:space="preserve">R044</t>
  </si>
  <si>
    <t xml:space="preserve">12" x 3'-0" flange x PE DI spool</t>
  </si>
  <si>
    <t xml:space="preserve">R045</t>
  </si>
  <si>
    <t xml:space="preserve">12" x 2'-6" flange x PE DI spool</t>
  </si>
  <si>
    <t xml:space="preserve">R046</t>
  </si>
  <si>
    <t xml:space="preserve">12" x 2'-0" flange x PE DI spool</t>
  </si>
  <si>
    <t xml:space="preserve">R047</t>
  </si>
  <si>
    <t xml:space="preserve">12" x 1'-6" flange x PE DI spool</t>
  </si>
  <si>
    <t xml:space="preserve">R048</t>
  </si>
  <si>
    <t xml:space="preserve">12" x 0'-10" flange x PE DI spool</t>
  </si>
  <si>
    <t xml:space="preserve">R049</t>
  </si>
  <si>
    <t xml:space="preserve">12" x 4'-0" PE x PE DI spool</t>
  </si>
  <si>
    <t xml:space="preserve">R050</t>
  </si>
  <si>
    <t xml:space="preserve">Valves</t>
  </si>
  <si>
    <t xml:space="preserve">8" Cla-Val 131 electronic control valve + VC-22D controller</t>
  </si>
  <si>
    <t xml:space="preserve">H = 120V solenoid; M = 24VDC normally-open. Valve + controller priced as one set. Confirm spec / owner-furnished status.</t>
  </si>
  <si>
    <t xml:space="preserve">R051</t>
  </si>
  <si>
    <t xml:space="preserve">8" wafer / lug butterfly valve, gear operator</t>
  </si>
  <si>
    <t xml:space="preserve">R052</t>
  </si>
  <si>
    <t xml:space="preserve">12" AV-TEK double-eccentric butterfly valve w/ electric actuator</t>
  </si>
  <si>
    <t xml:space="preserve">R053</t>
  </si>
  <si>
    <t xml:space="preserve">12" AV-TEK double-eccentric butterfly valve, NO actuator</t>
  </si>
  <si>
    <t xml:space="preserve">Mountainland quoted the valve without an electric actuator - not comparable to the actuated valves above.</t>
  </si>
  <si>
    <t xml:space="preserve">R054</t>
  </si>
  <si>
    <t xml:space="preserve">10" AV-TEK double-eccentric butterfly valve (handwheel)</t>
  </si>
  <si>
    <t xml:space="preserve">R055</t>
  </si>
  <si>
    <t xml:space="preserve">12" MJ x flange resilient-wedge gate valve</t>
  </si>
  <si>
    <t xml:space="preserve">R056</t>
  </si>
  <si>
    <t xml:space="preserve">12" flange x flange resilient-wedge gate valve</t>
  </si>
  <si>
    <t xml:space="preserve">R057</t>
  </si>
  <si>
    <t xml:space="preserve">Valve boxes</t>
  </si>
  <si>
    <t xml:space="preserve">Valve box set (base + top + lid) - pump discharge gate valves</t>
  </si>
  <si>
    <t xml:space="preserve">H priced base / top / lid separately; S priced a complete kit.</t>
  </si>
  <si>
    <t xml:space="preserve">R058</t>
  </si>
  <si>
    <t xml:space="preserve">Air-vac assemblies</t>
  </si>
  <si>
    <t xml:space="preserve">2" combination air / vacuum valve</t>
  </si>
  <si>
    <t xml:space="preserve">Brands differ (Crispin/APCO/Val-Matic type); Mountainland's 2nd valve is a Cla-Val (separate row).</t>
  </si>
  <si>
    <t xml:space="preserve">R059</t>
  </si>
  <si>
    <t xml:space="preserve">2" Cla-Val 33A combination air valve</t>
  </si>
  <si>
    <t xml:space="preserve">R060</t>
  </si>
  <si>
    <t xml:space="preserve">2" ball valve - 316 stainless, threaded</t>
  </si>
  <si>
    <t xml:space="preserve">F = 1000# 2-piece full-port w/ locking lever; H = standard-port 316 SS.</t>
  </si>
  <si>
    <t xml:space="preserve">R061</t>
  </si>
  <si>
    <t xml:space="preserve">2" ball valve - brass (lead-free), threaded</t>
  </si>
  <si>
    <t xml:space="preserve">R062</t>
  </si>
  <si>
    <t xml:space="preserve">1" ball valve - 316 stainless</t>
  </si>
  <si>
    <t xml:space="preserve">F = 1000# full-port w/ locking lever; H = standard-port 316 SS.</t>
  </si>
  <si>
    <t xml:space="preserve">R063</t>
  </si>
  <si>
    <t xml:space="preserve">1" ball valve - brass (lead-free)</t>
  </si>
  <si>
    <t xml:space="preserve">R064</t>
  </si>
  <si>
    <t xml:space="preserve">1/2" ball valve, threaded brass</t>
  </si>
  <si>
    <t xml:space="preserve">R065</t>
  </si>
  <si>
    <t xml:space="preserve">1/2" Watts LF25AUB-Z3 pressure regulator</t>
  </si>
  <si>
    <t xml:space="preserve">R066</t>
  </si>
  <si>
    <t xml:space="preserve">3/4" vacuum breaker (hose)</t>
  </si>
  <si>
    <t xml:space="preserve">R067</t>
  </si>
  <si>
    <t xml:space="preserve">3/4" MIP hose bib</t>
  </si>
  <si>
    <t xml:space="preserve">R068</t>
  </si>
  <si>
    <t xml:space="preserve">2" curb stop / ball valve (meter vault)</t>
  </si>
  <si>
    <t xml:space="preserve">Ford B88/B11/FB1700 variants - confirm the meter-vault valve model in the spec.</t>
  </si>
  <si>
    <t xml:space="preserve">R069</t>
  </si>
  <si>
    <t xml:space="preserve">Curb-stop handle (meter vault)</t>
  </si>
  <si>
    <t xml:space="preserve">Ferguson's $1,871.76 looks like a pricing error vs. Scholzen's $40.02.</t>
  </si>
  <si>
    <t xml:space="preserve">R070</t>
  </si>
  <si>
    <t xml:space="preserve">2" basket strainer (meter vault)</t>
  </si>
  <si>
    <t xml:space="preserve">HD Fowler: 'basket strainer &amp; water meter supplied by owner' (no bid).</t>
  </si>
  <si>
    <t xml:space="preserve">R071</t>
  </si>
  <si>
    <t xml:space="preserve">Joint restraints</t>
  </si>
  <si>
    <t xml:space="preserve">16" MJ restraint - for PVC pipe</t>
  </si>
  <si>
    <t xml:space="preserve">Ferguson line is tagged '*CVR*' (its 16" Stargrip elsewhere is $350.06).</t>
  </si>
  <si>
    <t xml:space="preserve">R072</t>
  </si>
  <si>
    <t xml:space="preserve">16" MJ restraint - for DI pipe</t>
  </si>
  <si>
    <t xml:space="preserve">R073</t>
  </si>
  <si>
    <t xml:space="preserve">12" MJ restraint - for PVC pipe</t>
  </si>
  <si>
    <t xml:space="preserve">R074</t>
  </si>
  <si>
    <t xml:space="preserve">12" MJ restraint - for DI pipe</t>
  </si>
  <si>
    <t xml:space="preserve">R075</t>
  </si>
  <si>
    <t xml:space="preserve">4" MJ restraint - for PVC pipe</t>
  </si>
  <si>
    <t xml:space="preserve">R076</t>
  </si>
  <si>
    <t xml:space="preserve">4" MJ restraint - for DI pipe</t>
  </si>
  <si>
    <t xml:space="preserve">R077</t>
  </si>
  <si>
    <t xml:space="preserve">Flange bolts &amp; gaskets</t>
  </si>
  <si>
    <t xml:space="preserve">16" flange bolt &amp; gasket set</t>
  </si>
  <si>
    <t xml:space="preserve">SET</t>
  </si>
  <si>
    <t xml:space="preserve">F &amp; H = full-face NSF-61 gasket + bolt kit priced separately; M = bolt pack w/ red-rubber ring gasket.</t>
  </si>
  <si>
    <t xml:space="preserve">R078</t>
  </si>
  <si>
    <t xml:space="preserve">12" flange bolt &amp; gasket set</t>
  </si>
  <si>
    <t xml:space="preserve">see 16" set. Ferguson gasket qty (8) = bolt-set qty (8).</t>
  </si>
  <si>
    <t xml:space="preserve">R079</t>
  </si>
  <si>
    <t xml:space="preserve">10" flange bolt &amp; gasket set</t>
  </si>
  <si>
    <t xml:space="preserve">R080</t>
  </si>
  <si>
    <t xml:space="preserve">8" flange bolt &amp; gasket set</t>
  </si>
  <si>
    <t xml:space="preserve">ALT SPEC. HD Fowler listed 7 gaskets but only 3 standard bolt kits (+2 BFV lug kits).</t>
  </si>
  <si>
    <t xml:space="preserve">R081</t>
  </si>
  <si>
    <t xml:space="preserve">8" butterfly-valve lug bolt set (long bolts)</t>
  </si>
  <si>
    <t xml:space="preserve">R082</t>
  </si>
  <si>
    <t xml:space="preserve">4" flange bolt pack</t>
  </si>
  <si>
    <t xml:space="preserve">R083</t>
  </si>
  <si>
    <t xml:space="preserve">Supports, sleeves &amp; seals</t>
  </si>
  <si>
    <t xml:space="preserve">12" pipe support</t>
  </si>
  <si>
    <t xml:space="preserve">F = adjustable pipe support; M = S-9212 zinc-plated; S = Anvil 259 — different support types. HD Fowler: all pipe supports/hangers 'by others'.</t>
  </si>
  <si>
    <t xml:space="preserve">R084</t>
  </si>
  <si>
    <t xml:space="preserve">10" J-hanger</t>
  </si>
  <si>
    <t xml:space="preserve">R085</t>
  </si>
  <si>
    <t xml:space="preserve">Wall sleeve for 12" pipe (vault wall)</t>
  </si>
  <si>
    <t xml:space="preserve">M = 16" x 1' HDG sleeve; S = 12" x 6" galvanized wall sleeve.</t>
  </si>
  <si>
    <t xml:space="preserve">R086</t>
  </si>
  <si>
    <t xml:space="preserve">Link-Seal LS-575-S (EPDM / 316SS)</t>
  </si>
  <si>
    <t xml:space="preserve">R087</t>
  </si>
  <si>
    <t xml:space="preserve">Link-Seal LS-360-C (EPDM)</t>
  </si>
  <si>
    <t xml:space="preserve">R088</t>
  </si>
  <si>
    <t xml:space="preserve">Link-Seal LS-325 S316 (14 links/sleeve)</t>
  </si>
  <si>
    <t xml:space="preserve">R089</t>
  </si>
  <si>
    <t xml:space="preserve">Small piping &amp; fittings</t>
  </si>
  <si>
    <t xml:space="preserve">2" Sch 80 PVC pipe</t>
  </si>
  <si>
    <t xml:space="preserve">Ferguson priced this same pipe at $7.014/ft here but $3.507/ft in Item 12.</t>
  </si>
  <si>
    <t xml:space="preserve">R090</t>
  </si>
  <si>
    <t xml:space="preserve">2" Sch 40 PVC pipe</t>
  </si>
  <si>
    <t xml:space="preserve">R091</t>
  </si>
  <si>
    <t xml:space="preserve">4" Sch 80 PVC pipe</t>
  </si>
  <si>
    <t xml:space="preserve">Ferguson's $20.98/ft is 3-4x the others - verify.</t>
  </si>
  <si>
    <t xml:space="preserve">R092</t>
  </si>
  <si>
    <t xml:space="preserve">4" Sch 40 PVC pipe</t>
  </si>
  <si>
    <t xml:space="preserve">R093</t>
  </si>
  <si>
    <t xml:space="preserve">2" Sch 40 galvanized T&amp;C pipe</t>
  </si>
  <si>
    <t xml:space="preserve">R094</t>
  </si>
  <si>
    <t xml:space="preserve">2" Sch 80 galvanized steel pipe</t>
  </si>
  <si>
    <t xml:space="preserve">R095</t>
  </si>
  <si>
    <t xml:space="preserve">4" PVC 90° elbow</t>
  </si>
  <si>
    <t xml:space="preserve">F = DWV, M = Sch 40, H &amp; S = Sch 80.</t>
  </si>
  <si>
    <t xml:space="preserve">R096</t>
  </si>
  <si>
    <t xml:space="preserve">4" PVC 45° elbow</t>
  </si>
  <si>
    <t xml:space="preserve">F = DWV; H &amp; S = Sch 80.</t>
  </si>
  <si>
    <t xml:space="preserve">R097</t>
  </si>
  <si>
    <t xml:space="preserve">4" PVC tee (Sch 80)</t>
  </si>
  <si>
    <t xml:space="preserve">R098</t>
  </si>
  <si>
    <t xml:space="preserve">4" PVC cross</t>
  </si>
  <si>
    <t xml:space="preserve">H = Sch 80, M = Sch 40.</t>
  </si>
  <si>
    <t xml:space="preserve">R099</t>
  </si>
  <si>
    <t xml:space="preserve">4" DWV combination wye</t>
  </si>
  <si>
    <t xml:space="preserve">R100</t>
  </si>
  <si>
    <t xml:space="preserve">4" DWV 2-way cleanout tee</t>
  </si>
  <si>
    <t xml:space="preserve">R101</t>
  </si>
  <si>
    <t xml:space="preserve">4" x 2" PVC bushing</t>
  </si>
  <si>
    <t xml:space="preserve">F = DWV, H = Sch 80.</t>
  </si>
  <si>
    <t xml:space="preserve">R102</t>
  </si>
  <si>
    <t xml:space="preserve">4" PVC coupling (Sch 80)</t>
  </si>
  <si>
    <t xml:space="preserve">R103</t>
  </si>
  <si>
    <t xml:space="preserve">4" coupling (no-hub / strong-back)</t>
  </si>
  <si>
    <t xml:space="preserve">F = standard no-hub; H = Fernco strong-back.</t>
  </si>
  <si>
    <t xml:space="preserve">R104</t>
  </si>
  <si>
    <t xml:space="preserve">4" Macro wide-range coupling (Romac)</t>
  </si>
  <si>
    <t xml:space="preserve">R105</t>
  </si>
  <si>
    <t xml:space="preserve">3/4" PVC Sch 40 tee (as quoted)</t>
  </si>
  <si>
    <t xml:space="preserve">Mountainland's line is 3/4" (part 401-007) - likely a size error vs. the 4" fittings.</t>
  </si>
  <si>
    <t xml:space="preserve">R106</t>
  </si>
  <si>
    <t xml:space="preserve">2" PVC 90° elbow (drain)</t>
  </si>
  <si>
    <t xml:space="preserve">R107</t>
  </si>
  <si>
    <t xml:space="preserve">2" PVC Sch 80 45° elbow</t>
  </si>
  <si>
    <t xml:space="preserve">R108</t>
  </si>
  <si>
    <t xml:space="preserve">2" PVC male adapter (SxT)</t>
  </si>
  <si>
    <t xml:space="preserve">R109</t>
  </si>
  <si>
    <t xml:space="preserve">2" PVC female adapter (SocxFP)</t>
  </si>
  <si>
    <t xml:space="preserve">R110</t>
  </si>
  <si>
    <t xml:space="preserve">2" pack-joint x PVC adapter / coupling (meter vault)</t>
  </si>
  <si>
    <t xml:space="preserve">R111</t>
  </si>
  <si>
    <t xml:space="preserve">4" floor drain</t>
  </si>
  <si>
    <t xml:space="preserve">Scholzen's Zurn Z415 is a light-duty drain ($144 vs $372-$482) - not equal to the others.</t>
  </si>
  <si>
    <t xml:space="preserve">R112</t>
  </si>
  <si>
    <t xml:space="preserve">4" vent / drain screen</t>
  </si>
  <si>
    <t xml:space="preserve">M = 4" DI flange screen; S = rodent screen for IPS pipe.</t>
  </si>
  <si>
    <t xml:space="preserve">R113</t>
  </si>
  <si>
    <t xml:space="preserve">2" air-vac / vent screen</t>
  </si>
  <si>
    <t xml:space="preserve">Ferguson 20-mesh bug screen; others SS mesh / rodent screens.</t>
  </si>
  <si>
    <t xml:space="preserve">R114</t>
  </si>
  <si>
    <t xml:space="preserve">2" galvanized 90° elbow</t>
  </si>
  <si>
    <t xml:space="preserve">F = malleable 150#, H = Sch 40 galv.</t>
  </si>
  <si>
    <t xml:space="preserve">R115</t>
  </si>
  <si>
    <t xml:space="preserve">2" x 3" galvanized nipple</t>
  </si>
  <si>
    <t xml:space="preserve">R116</t>
  </si>
  <si>
    <t xml:space="preserve">2" x 4" galvanized nipple</t>
  </si>
  <si>
    <t xml:space="preserve">Ferguson's $24.25 is brass-nipple money (Mountainland's 2" x 3" brass nipple is $24.25) — verify.</t>
  </si>
  <si>
    <t xml:space="preserve">R117</t>
  </si>
  <si>
    <t xml:space="preserve">2" x 6" galvanized nipple</t>
  </si>
  <si>
    <t xml:space="preserve">R118</t>
  </si>
  <si>
    <t xml:space="preserve">2" x 12" galvanized nipple</t>
  </si>
  <si>
    <t xml:space="preserve">R119</t>
  </si>
  <si>
    <t xml:space="preserve">2" x 24" galvanized nipple / pipe</t>
  </si>
  <si>
    <t xml:space="preserve">R120</t>
  </si>
  <si>
    <t xml:space="preserve">2" x 36" galvanized pipe</t>
  </si>
  <si>
    <t xml:space="preserve">F = Ready-Cut pipe; M = welded nipple.</t>
  </si>
  <si>
    <t xml:space="preserve">R121</t>
  </si>
  <si>
    <t xml:space="preserve">2" x 48" galvanized Ready-Cut pipe</t>
  </si>
  <si>
    <t xml:space="preserve">R122</t>
  </si>
  <si>
    <t xml:space="preserve">2" x 60" galvanized nipple</t>
  </si>
  <si>
    <t xml:space="preserve">R123</t>
  </si>
  <si>
    <t xml:space="preserve">2" galvanized coupling</t>
  </si>
  <si>
    <t xml:space="preserve">R124</t>
  </si>
  <si>
    <t xml:space="preserve">2" x 1" galvanized tee / reducing tee</t>
  </si>
  <si>
    <t xml:space="preserve">R125</t>
  </si>
  <si>
    <t xml:space="preserve">2" x 1" brass tee</t>
  </si>
  <si>
    <t xml:space="preserve">R126</t>
  </si>
  <si>
    <t xml:space="preserve">2" x 3" brass nipple</t>
  </si>
  <si>
    <t xml:space="preserve">R127</t>
  </si>
  <si>
    <t xml:space="preserve">1" nipple, 3"-4" long (galv / brass / SS)</t>
  </si>
  <si>
    <t xml:space="preserve">material differs (F 304L SS, H galv, M brass).</t>
  </si>
  <si>
    <t xml:space="preserve">R128</t>
  </si>
  <si>
    <t xml:space="preserve">2" 316 SS 150# threaded tee</t>
  </si>
  <si>
    <t xml:space="preserve">R129</t>
  </si>
  <si>
    <t xml:space="preserve">2" x 1" 316 SS threaded bushing</t>
  </si>
  <si>
    <t xml:space="preserve">R130</t>
  </si>
  <si>
    <t xml:space="preserve">2" x 4" 316L SS welded nipple</t>
  </si>
  <si>
    <t xml:space="preserve">R131</t>
  </si>
  <si>
    <t xml:space="preserve">1" MIP x CTS quick-joint adapter</t>
  </si>
  <si>
    <t xml:space="preserve">R132</t>
  </si>
  <si>
    <t xml:space="preserve">1" CTS insert (SS) for PE pipe</t>
  </si>
  <si>
    <t xml:space="preserve">R133</t>
  </si>
  <si>
    <t xml:space="preserve">1" CTS PE pipe</t>
  </si>
  <si>
    <t xml:space="preserve">R134</t>
  </si>
  <si>
    <t xml:space="preserve">1/2" sleeved PEX pipe</t>
  </si>
  <si>
    <t xml:space="preserve">R135</t>
  </si>
  <si>
    <t xml:space="preserve">1/2" hard copper</t>
  </si>
  <si>
    <t xml:space="preserve">R136</t>
  </si>
  <si>
    <t xml:space="preserve">3" x 12" black nipple</t>
  </si>
  <si>
    <t xml:space="preserve">R137</t>
  </si>
  <si>
    <t xml:space="preserve">1" x 6" black nipple</t>
  </si>
  <si>
    <t xml:space="preserve">R138</t>
  </si>
  <si>
    <t xml:space="preserve">1" black coupling</t>
  </si>
  <si>
    <t xml:space="preserve">BID ITEM 6  —  6" C900 PVC pipeline</t>
  </si>
  <si>
    <t xml:space="preserve">R139</t>
  </si>
  <si>
    <t xml:space="preserve">Item 6</t>
  </si>
  <si>
    <t xml:space="preserve">6" C900 DR18 PVC pipe (gasketed)</t>
  </si>
  <si>
    <t xml:space="preserve">R140</t>
  </si>
  <si>
    <t xml:space="preserve">Tracer wire &amp; tape</t>
  </si>
  <si>
    <t xml:space="preserve">12-ga blue tracer wire</t>
  </si>
  <si>
    <t xml:space="preserve">H priced by 500' roll, M by the foot; qty differences are roll-rounding.</t>
  </si>
  <si>
    <t xml:space="preserve">R141</t>
  </si>
  <si>
    <t xml:space="preserve">3" blue detectable water tape (1,000' roll)</t>
  </si>
  <si>
    <t xml:space="preserve">R142</t>
  </si>
  <si>
    <t xml:space="preserve">6" bell-joint restraint (pipe-to-pipe, C900)</t>
  </si>
  <si>
    <t xml:space="preserve">Ferguson &amp; Mountainland listed these under Item 9.1; HD Fowler priced but left qty to contractor (not in its total).</t>
  </si>
  <si>
    <t xml:space="preserve">R143</t>
  </si>
  <si>
    <t xml:space="preserve">Ancillary (single supplier)</t>
  </si>
  <si>
    <t xml:space="preserve">Polywrap bag, 4"-8" x 18' pipe (8 mil)</t>
  </si>
  <si>
    <t xml:space="preserve">R144</t>
  </si>
  <si>
    <t xml:space="preserve">Poly-wrap tape 2" x 100' (10 mil)</t>
  </si>
  <si>
    <t xml:space="preserve">RL</t>
  </si>
  <si>
    <t xml:space="preserve">R145</t>
  </si>
  <si>
    <t xml:space="preserve">Granular chlorine (HTH) 5-lb jug</t>
  </si>
  <si>
    <t xml:space="preserve">R146</t>
  </si>
  <si>
    <t xml:space="preserve">Nevastane HD2T food-grade grease (42-lb pail)</t>
  </si>
  <si>
    <t xml:space="preserve">Priced, qty by contractor; not in HD Fowler's total.</t>
  </si>
  <si>
    <t xml:space="preserve">BID ITEM 7  —  16" C900/C905 PVC pipeline</t>
  </si>
  <si>
    <t xml:space="preserve">R147</t>
  </si>
  <si>
    <t xml:space="preserve">Item 7</t>
  </si>
  <si>
    <t xml:space="preserve">16" DR18 PVC pipe (gasketed)</t>
  </si>
  <si>
    <t xml:space="preserve">Ferguson quoted C905; H, M &amp; S quoted C900 (C905 is the correct spec for 16").</t>
  </si>
  <si>
    <t xml:space="preserve">R148</t>
  </si>
  <si>
    <t xml:space="preserve">R149</t>
  </si>
  <si>
    <t xml:space="preserve">R150</t>
  </si>
  <si>
    <t xml:space="preserve">16" bell-joint restraint (pipe-to-pipe, C900/C905)</t>
  </si>
  <si>
    <t xml:space="preserve">Ferguson &amp; Mountainland listed these under Item 9.4; HD Fowler priced but left qty to contractor (not in its total).</t>
  </si>
  <si>
    <t xml:space="preserve">R151</t>
  </si>
  <si>
    <t xml:space="preserve">16" MJ cap</t>
  </si>
  <si>
    <t xml:space="preserve">R152</t>
  </si>
  <si>
    <t xml:space="preserve">Polywrap bag, 14"-18" x 18' pipe (8 mil)</t>
  </si>
  <si>
    <t xml:space="preserve">R153</t>
  </si>
  <si>
    <t xml:space="preserve">R154</t>
  </si>
  <si>
    <t xml:space="preserve">R155</t>
  </si>
  <si>
    <t xml:space="preserve">BID ITEM 8  —  12" C900 PVC pipeline</t>
  </si>
  <si>
    <t xml:space="preserve">R156</t>
  </si>
  <si>
    <t xml:space="preserve">Item 8</t>
  </si>
  <si>
    <t xml:space="preserve">12" C900 DR18 PVC pipe (gasketed)</t>
  </si>
  <si>
    <t xml:space="preserve">R157</t>
  </si>
  <si>
    <t xml:space="preserve">R158</t>
  </si>
  <si>
    <t xml:space="preserve">R159</t>
  </si>
  <si>
    <t xml:space="preserve">12" bell-joint restraint (pipe-to-pipe, C900)</t>
  </si>
  <si>
    <t xml:space="preserve">Ferguson &amp; Mountainland listed these under Item 9.3; HD Fowler priced but left qty to contractor (not in its total).</t>
  </si>
  <si>
    <t xml:space="preserve">R160</t>
  </si>
  <si>
    <t xml:space="preserve">R161</t>
  </si>
  <si>
    <t xml:space="preserve">R162</t>
  </si>
  <si>
    <t xml:space="preserve">R163</t>
  </si>
  <si>
    <t xml:space="preserve">BID ITEM 9.1  —  6" gate valves</t>
  </si>
  <si>
    <t xml:space="preserve">R164</t>
  </si>
  <si>
    <t xml:space="preserve">Item 9.1</t>
  </si>
  <si>
    <t xml:space="preserve">6" MJ x flange resilient-wedge gate valve</t>
  </si>
  <si>
    <t xml:space="preserve">R165</t>
  </si>
  <si>
    <t xml:space="preserve">Valve box set (base + top + lid)</t>
  </si>
  <si>
    <t xml:space="preserve">F &amp; H priced base / top / lid separately; M &amp; S priced complete kits.</t>
  </si>
  <si>
    <t xml:space="preserve">R166</t>
  </si>
  <si>
    <t xml:space="preserve">6" MJ restraint - for PVC pipe</t>
  </si>
  <si>
    <t xml:space="preserve">R167</t>
  </si>
  <si>
    <t xml:space="preserve">6" flange bolt &amp; gasket set</t>
  </si>
  <si>
    <t xml:space="preserve">Scholzen did not quote flange bolts for the 6" valves.</t>
  </si>
  <si>
    <t xml:space="preserve">BID ITEM 9.2  —  8" gate valves</t>
  </si>
  <si>
    <t xml:space="preserve">R168</t>
  </si>
  <si>
    <t xml:space="preserve">Item 9.2</t>
  </si>
  <si>
    <t xml:space="preserve">8" MJ x flange resilient-wedge gate valve</t>
  </si>
  <si>
    <t xml:space="preserve">R169</t>
  </si>
  <si>
    <t xml:space="preserve">R170</t>
  </si>
  <si>
    <t xml:space="preserve">8" MJ restraint - for PVC pipe</t>
  </si>
  <si>
    <t xml:space="preserve">R171</t>
  </si>
  <si>
    <t xml:space="preserve">8" MJ restraint - for DI pipe</t>
  </si>
  <si>
    <t xml:space="preserve">R172</t>
  </si>
  <si>
    <t xml:space="preserve">Scholzen did not quote flange bolts for the 8" valves.</t>
  </si>
  <si>
    <t xml:space="preserve">R173</t>
  </si>
  <si>
    <t xml:space="preserve">8" MJ plug</t>
  </si>
  <si>
    <t xml:space="preserve">R174</t>
  </si>
  <si>
    <t xml:space="preserve">8" MJ accessory pack</t>
  </si>
  <si>
    <t xml:space="preserve">R175</t>
  </si>
  <si>
    <t xml:space="preserve">8" bell-joint restraint (C900/DI)</t>
  </si>
  <si>
    <t xml:space="preserve">BID ITEM 9.3  —  12" gate valves</t>
  </si>
  <si>
    <t xml:space="preserve">R176</t>
  </si>
  <si>
    <t xml:space="preserve">Item 9.3</t>
  </si>
  <si>
    <t xml:space="preserve">R177</t>
  </si>
  <si>
    <t xml:space="preserve">R178</t>
  </si>
  <si>
    <t xml:space="preserve">R179</t>
  </si>
  <si>
    <t xml:space="preserve">R180</t>
  </si>
  <si>
    <t xml:space="preserve">Scholzen did not quote flange bolts for the 12" valves.</t>
  </si>
  <si>
    <t xml:space="preserve">R181</t>
  </si>
  <si>
    <t xml:space="preserve">12" MJ plug</t>
  </si>
  <si>
    <t xml:space="preserve">R182</t>
  </si>
  <si>
    <t xml:space="preserve">12" MJ accessory pack</t>
  </si>
  <si>
    <t xml:space="preserve">BID ITEM 9.4  —  16" butterfly valves</t>
  </si>
  <si>
    <t xml:space="preserve">R183</t>
  </si>
  <si>
    <t xml:space="preserve">Item 9.4</t>
  </si>
  <si>
    <t xml:space="preserve">16" MJ x flange butterfly valve (AWWA C504 Class 250B / 150B)</t>
  </si>
  <si>
    <t xml:space="preserve">F = 250B EPDM; H = M&amp;H 4500-13 CL150B (AIS compliant); M = Crispin K-Flo 250B; S = K-Flo 250B. Confirm pressure class.</t>
  </si>
  <si>
    <t xml:space="preserve">R184</t>
  </si>
  <si>
    <t xml:space="preserve">R185</t>
  </si>
  <si>
    <t xml:space="preserve">R186</t>
  </si>
  <si>
    <t xml:space="preserve">R187</t>
  </si>
  <si>
    <t xml:space="preserve">16" flange bolt &amp; gasket set (butterfly valve)</t>
  </si>
  <si>
    <t xml:space="preserve">Scholzen did not quote flange bolts for the 16" valves. M's cap screws (48) converted to 12 sets (4 per valve).</t>
  </si>
  <si>
    <t xml:space="preserve">R188</t>
  </si>
  <si>
    <t xml:space="preserve">16" MJ plug</t>
  </si>
  <si>
    <t xml:space="preserve">R189</t>
  </si>
  <si>
    <t xml:space="preserve">16" x 2" MJ tapped plug</t>
  </si>
  <si>
    <t xml:space="preserve">R190</t>
  </si>
  <si>
    <t xml:space="preserve">2" brass plug</t>
  </si>
  <si>
    <t xml:space="preserve">BID ITEM 10.1  —  12" 11-1/4° bends</t>
  </si>
  <si>
    <t xml:space="preserve">R191</t>
  </si>
  <si>
    <t xml:space="preserve">Item 10.1</t>
  </si>
  <si>
    <t xml:space="preserve">12" MJ 11-1/4° bend</t>
  </si>
  <si>
    <t xml:space="preserve">R192</t>
  </si>
  <si>
    <t xml:space="preserve">BID ITEM 10.2  —  12" 45° bends</t>
  </si>
  <si>
    <t xml:space="preserve">R193</t>
  </si>
  <si>
    <t xml:space="preserve">Item 10.2</t>
  </si>
  <si>
    <t xml:space="preserve">12" MJ 45° bend</t>
  </si>
  <si>
    <t xml:space="preserve">R194</t>
  </si>
  <si>
    <t xml:space="preserve">BID ITEM 10.3  —  12" x 6" tees &amp; 12" adapters</t>
  </si>
  <si>
    <t xml:space="preserve">R195</t>
  </si>
  <si>
    <t xml:space="preserve">Item 10.3</t>
  </si>
  <si>
    <t xml:space="preserve">12" x 6" flanged tee</t>
  </si>
  <si>
    <t xml:space="preserve">R196</t>
  </si>
  <si>
    <t xml:space="preserve">12" x 6" MJ x flange tee</t>
  </si>
  <si>
    <t xml:space="preserve">R197</t>
  </si>
  <si>
    <t xml:space="preserve">HD Fowler listed its 7 adapters and accessories under Item 8.</t>
  </si>
  <si>
    <t xml:space="preserve">R198</t>
  </si>
  <si>
    <t xml:space="preserve">R199</t>
  </si>
  <si>
    <t xml:space="preserve">see Item 5 bolt sets. S quoted 22 sets (both tee ends).</t>
  </si>
  <si>
    <t xml:space="preserve">R200</t>
  </si>
  <si>
    <t xml:space="preserve">BID ITEM 10.4  —  16" x 6" tees</t>
  </si>
  <si>
    <t xml:space="preserve">R201</t>
  </si>
  <si>
    <t xml:space="preserve">Item 10.4</t>
  </si>
  <si>
    <t xml:space="preserve">16" x 6" flanged tee</t>
  </si>
  <si>
    <t xml:space="preserve">R202</t>
  </si>
  <si>
    <t xml:space="preserve">16" x 6" MJ x flange tee</t>
  </si>
  <si>
    <t xml:space="preserve">R203</t>
  </si>
  <si>
    <t xml:space="preserve">16" MJ x flange adapter</t>
  </si>
  <si>
    <t xml:space="preserve">R204</t>
  </si>
  <si>
    <t xml:space="preserve">Ferguson line tagged '*CVR*'.</t>
  </si>
  <si>
    <t xml:space="preserve">R205</t>
  </si>
  <si>
    <t xml:space="preserve">S = 16" BNG kit with cap screws (M&amp;H butterfly kit).</t>
  </si>
  <si>
    <t xml:space="preserve">R206</t>
  </si>
  <si>
    <t xml:space="preserve">BID ITEM 10.5  —  16" x 12" tee &amp; sleeve</t>
  </si>
  <si>
    <t xml:space="preserve">R207</t>
  </si>
  <si>
    <t xml:space="preserve">Item 10.5</t>
  </si>
  <si>
    <t xml:space="preserve">16" x 12" flanged tee</t>
  </si>
  <si>
    <t xml:space="preserve">R208</t>
  </si>
  <si>
    <t xml:space="preserve">16" MJ long sleeve</t>
  </si>
  <si>
    <t xml:space="preserve">HD Fowler listed under Item 7; Ferguson's is a 16x15 long sleeve.</t>
  </si>
  <si>
    <t xml:space="preserve">R209</t>
  </si>
  <si>
    <t xml:space="preserve">HD Fowler listed 3 under Item 7.</t>
  </si>
  <si>
    <t xml:space="preserve">R210</t>
  </si>
  <si>
    <t xml:space="preserve">Only Scholzen priced hardware for this tee.</t>
  </si>
  <si>
    <t xml:space="preserve">R211</t>
  </si>
  <si>
    <t xml:space="preserve">BID ITEM 10.6  —  36" x 24" tee &amp; sleeve</t>
  </si>
  <si>
    <t xml:space="preserve">R212</t>
  </si>
  <si>
    <t xml:space="preserve">Item 10.6</t>
  </si>
  <si>
    <t xml:space="preserve">36" x 24" MJ x flange tee</t>
  </si>
  <si>
    <t xml:space="preserve">R213</t>
  </si>
  <si>
    <t xml:space="preserve">36" MJ long / solid sleeve</t>
  </si>
  <si>
    <t xml:space="preserve">R214</t>
  </si>
  <si>
    <t xml:space="preserve">36" MJ restraint (DI)</t>
  </si>
  <si>
    <t xml:space="preserve">restraint brands differ (EBAA 3000 / EZ Grip / Ford UFR1400 / Mega Lug).</t>
  </si>
  <si>
    <t xml:space="preserve">R215</t>
  </si>
  <si>
    <t xml:space="preserve">36" CL51 DI pipe (TJ)</t>
  </si>
  <si>
    <t xml:space="preserve">R216</t>
  </si>
  <si>
    <t xml:space="preserve">24" flange bolt &amp; gasket set</t>
  </si>
  <si>
    <t xml:space="preserve">BID ITEM 10.7  —  16" flanged crosses</t>
  </si>
  <si>
    <t xml:space="preserve">R217</t>
  </si>
  <si>
    <t xml:space="preserve">Item 10.7</t>
  </si>
  <si>
    <t xml:space="preserve">16" flanged cross</t>
  </si>
  <si>
    <t xml:space="preserve">R218</t>
  </si>
  <si>
    <t xml:space="preserve">16" BNG kit w/ cap screws (M&amp;H butterfly kit)</t>
  </si>
  <si>
    <t xml:space="preserve">R219</t>
  </si>
  <si>
    <t xml:space="preserve">BID ITEM 10.8  —  8" x 6" reducers</t>
  </si>
  <si>
    <t xml:space="preserve">R220</t>
  </si>
  <si>
    <t xml:space="preserve">Item 10.8</t>
  </si>
  <si>
    <t xml:space="preserve">8" x 6" MJ reducer (small-end bell)</t>
  </si>
  <si>
    <t xml:space="preserve">Scholzen listed under Item 9.2.</t>
  </si>
  <si>
    <t xml:space="preserve">R221</t>
  </si>
  <si>
    <t xml:space="preserve">8" x 6" flanged reducer</t>
  </si>
  <si>
    <t xml:space="preserve">R222</t>
  </si>
  <si>
    <t xml:space="preserve">Scholzen listed its 2 under Item 9.2.</t>
  </si>
  <si>
    <t xml:space="preserve">R223</t>
  </si>
  <si>
    <t xml:space="preserve">R224</t>
  </si>
  <si>
    <t xml:space="preserve">BID ITEM 10.9  —  16" x 6" reducer</t>
  </si>
  <si>
    <t xml:space="preserve">R225</t>
  </si>
  <si>
    <t xml:space="preserve">Item 10.9</t>
  </si>
  <si>
    <t xml:space="preserve">16" x 6" flanged concentric reducer</t>
  </si>
  <si>
    <t xml:space="preserve">R226</t>
  </si>
  <si>
    <t xml:space="preserve">R227</t>
  </si>
  <si>
    <t xml:space="preserve">BID ITEM 10.10  —  16" x 8" reducers</t>
  </si>
  <si>
    <t xml:space="preserve">R228</t>
  </si>
  <si>
    <t xml:space="preserve">Item 10.10</t>
  </si>
  <si>
    <t xml:space="preserve">16" x 8" flanged concentric reducer</t>
  </si>
  <si>
    <t xml:space="preserve">R229</t>
  </si>
  <si>
    <t xml:space="preserve">R230</t>
  </si>
  <si>
    <t xml:space="preserve">BID ITEM 10.11  —  16" x 12" reducer</t>
  </si>
  <si>
    <t xml:space="preserve">R231</t>
  </si>
  <si>
    <t xml:space="preserve">Item 10.11</t>
  </si>
  <si>
    <t xml:space="preserve">R232</t>
  </si>
  <si>
    <t xml:space="preserve">R233</t>
  </si>
  <si>
    <t xml:space="preserve">BID ITEM 10.12  —  24" x 16" reducer</t>
  </si>
  <si>
    <t xml:space="preserve">R234</t>
  </si>
  <si>
    <t xml:space="preserve">Item 10.12</t>
  </si>
  <si>
    <t xml:space="preserve">24" x 16" flanged concentric reducer</t>
  </si>
  <si>
    <t xml:space="preserve">R235</t>
  </si>
  <si>
    <t xml:space="preserve">Scholzen priced only a 16" kit for this reducer.</t>
  </si>
  <si>
    <t xml:space="preserve">R236</t>
  </si>
  <si>
    <t xml:space="preserve">BID ITEM 11  —  Fire hydrants</t>
  </si>
  <si>
    <t xml:space="preserve">R237</t>
  </si>
  <si>
    <t xml:space="preserve">Item 11</t>
  </si>
  <si>
    <t xml:space="preserve">Fire hydrants</t>
  </si>
  <si>
    <t xml:space="preserve">Fire hydrant, MJ inlet, 6" (red)</t>
  </si>
  <si>
    <t xml:space="preserve">F = Mueller A423 4'6" bury; H = Waterous WB67 5'6" bury; M/S = WB67 4'6" bury. F &amp; H quoted 16 MJ + 1 flanged-boot; M &amp; S quoted 17 MJ.</t>
  </si>
  <si>
    <t xml:space="preserve">R238</t>
  </si>
  <si>
    <t xml:space="preserve">Fire hydrant, flanged boot (red)</t>
  </si>
  <si>
    <t xml:space="preserve">R239</t>
  </si>
  <si>
    <t xml:space="preserve">6" hydrant-leg restraint (PVC)</t>
  </si>
  <si>
    <t xml:space="preserve">F = Ford UFR1500 one-piece; H = EZ Grip; S = Mega Lug.</t>
  </si>
  <si>
    <t xml:space="preserve">BID ITEM 12  —  2" air-vac assemblies &amp; relocation</t>
  </si>
  <si>
    <t xml:space="preserve">R240</t>
  </si>
  <si>
    <t xml:space="preserve">Item 12</t>
  </si>
  <si>
    <t xml:space="preserve">F = 2" CI w/ NPT; H = APCO 145C; M = Crispin UL20.1; S = UL20.1 20-150#.</t>
  </si>
  <si>
    <t xml:space="preserve">R241</t>
  </si>
  <si>
    <t xml:space="preserve">12" x 2" IP saddle (13.20" OD C900)</t>
  </si>
  <si>
    <t xml:space="preserve">F = bronze; H = Romac 306 SS; M &amp; S = brass.</t>
  </si>
  <si>
    <t xml:space="preserve">R242</t>
  </si>
  <si>
    <t xml:space="preserve">16" x 2" IP saddle</t>
  </si>
  <si>
    <t xml:space="preserve">F = double-strap bronze; H = Romac 305 SS; M/S = brass.</t>
  </si>
  <si>
    <t xml:space="preserve">R243</t>
  </si>
  <si>
    <t xml:space="preserve">2" ball valve, threaded brass (lead-free)</t>
  </si>
  <si>
    <t xml:space="preserve">R244</t>
  </si>
  <si>
    <t xml:space="preserve">Ferguson quoted 2 x 4 nipples ($30.84).</t>
  </si>
  <si>
    <t xml:space="preserve">R245</t>
  </si>
  <si>
    <t xml:space="preserve">2" PVC Sch 80 male adapter</t>
  </si>
  <si>
    <t xml:space="preserve">R246</t>
  </si>
  <si>
    <t xml:space="preserve">2" PVC Sch 80 90° elbow</t>
  </si>
  <si>
    <t xml:space="preserve">R247</t>
  </si>
  <si>
    <t xml:space="preserve">2" PVC union (slip x slip)</t>
  </si>
  <si>
    <t xml:space="preserve">F EPDM, H gray 235 psi, M Viton, S EPDM.</t>
  </si>
  <si>
    <t xml:space="preserve">R248</t>
  </si>
  <si>
    <t xml:space="preserve">2" PVC Sch 80 pipe</t>
  </si>
  <si>
    <t xml:space="preserve">R249</t>
  </si>
  <si>
    <t xml:space="preserve">2" galvanized malleable 90° elbow</t>
  </si>
  <si>
    <t xml:space="preserve">F = 150# malleable iron; M = 'IMP' (imported) malleable — origin / rating may differ.</t>
  </si>
  <si>
    <t xml:space="preserve">R250</t>
  </si>
  <si>
    <t xml:space="preserve">F = 150# malleable iron; S = standard galvanized coupling.</t>
  </si>
  <si>
    <t xml:space="preserve">R251</t>
  </si>
  <si>
    <t xml:space="preserve">2" x 24" galvanized Ready-Cut pipe</t>
  </si>
  <si>
    <t xml:space="preserve">R252</t>
  </si>
  <si>
    <t xml:space="preserve">2" x 18" galvanized Ready-Cut pipe</t>
  </si>
  <si>
    <t xml:space="preserve">Ferguson's 18" piece ($107.98) costs 3x its 24" piece - verify.</t>
  </si>
  <si>
    <t xml:space="preserve">R253</t>
  </si>
  <si>
    <t xml:space="preserve">2" x 36" galvanized nipple</t>
  </si>
  <si>
    <t xml:space="preserve">R254</t>
  </si>
  <si>
    <t xml:space="preserve">2" x 48" galvanized nipple</t>
  </si>
  <si>
    <t xml:space="preserve">R255</t>
  </si>
  <si>
    <t xml:space="preserve">R256</t>
  </si>
  <si>
    <t xml:space="preserve">2" galvanized return bend</t>
  </si>
  <si>
    <t xml:space="preserve">R257</t>
  </si>
  <si>
    <t xml:space="preserve">2" air-vac vent screen</t>
  </si>
  <si>
    <t xml:space="preserve">F PVC bug screen; H SS mesh screen; M galvanized mushroom vent cap; S rodent screen.</t>
  </si>
  <si>
    <t xml:space="preserve">R258</t>
  </si>
  <si>
    <t xml:space="preserve">Saddle for relocated air valve on 20" DI (2" IP)</t>
  </si>
  <si>
    <t xml:space="preserve">HD Fowler listed under Item 16 ('air release relocate'). ALT SPEC: F = Romac 305 21.90 x 2; H = 20 x 2 IP 305 SS.</t>
  </si>
  <si>
    <t xml:space="preserve">R259</t>
  </si>
  <si>
    <t xml:space="preserve">2" corp stop, MIP x PE/CTS (relocation)</t>
  </si>
  <si>
    <t xml:space="preserve">joint style differs (PE pack-joint / CTS quick-joint).</t>
  </si>
  <si>
    <t xml:space="preserve">R260</t>
  </si>
  <si>
    <t xml:space="preserve">2" MIP x PE/CTS coupling / adapter (relocation)</t>
  </si>
  <si>
    <t xml:space="preserve">R261</t>
  </si>
  <si>
    <t xml:space="preserve">2" brass 90° street elbow (relocation)</t>
  </si>
  <si>
    <t xml:space="preserve">R262</t>
  </si>
  <si>
    <t xml:space="preserve">2" poly pipe (relocation)</t>
  </si>
  <si>
    <t xml:space="preserve">H quoted SDR-9 CTS (SDR-7 not offered); subject to engineer approval.</t>
  </si>
  <si>
    <t xml:space="preserve">R263</t>
  </si>
  <si>
    <t xml:space="preserve">2" pipe insert / stiffener (relocation)</t>
  </si>
  <si>
    <t xml:space="preserve">R264</t>
  </si>
  <si>
    <t xml:space="preserve">Casing &amp; conduit</t>
  </si>
  <si>
    <t xml:space="preserve">30" x 20' AASHTO watertight HDPE pipe, bell end</t>
  </si>
  <si>
    <t xml:space="preserve">R265</t>
  </si>
  <si>
    <t xml:space="preserve">30" manhole ring &amp; cover</t>
  </si>
  <si>
    <t xml:space="preserve">BID ITEM 13  —  2" meter installation</t>
  </si>
  <si>
    <t xml:space="preserve">R266</t>
  </si>
  <si>
    <t xml:space="preserve">Item 13</t>
  </si>
  <si>
    <t xml:space="preserve">Water service</t>
  </si>
  <si>
    <t xml:space="preserve">2" x 3/4" brass bell reducer</t>
  </si>
  <si>
    <t xml:space="preserve">R267</t>
  </si>
  <si>
    <t xml:space="preserve">2" x 12" brass nipple</t>
  </si>
  <si>
    <t xml:space="preserve">R268</t>
  </si>
  <si>
    <t xml:space="preserve">2" Macro wide-range coupling (Romac)</t>
  </si>
  <si>
    <t xml:space="preserve">BID ITEM 14  —  3/4" water service</t>
  </si>
  <si>
    <t xml:space="preserve">R269</t>
  </si>
  <si>
    <t xml:space="preserve">Item 14</t>
  </si>
  <si>
    <t xml:space="preserve">Service saddle, 6" pipe x 3/4" (6.63-6.90 OD)</t>
  </si>
  <si>
    <t xml:space="preserve">H quoted a 6.90 x 1" Romac 304 SS saddle. HD Fowler listed this service kit under its Item 13.</t>
  </si>
  <si>
    <t xml:space="preserve">R270</t>
  </si>
  <si>
    <t xml:space="preserve">3/4" corp stop (MIP x PE / quick-joint)</t>
  </si>
  <si>
    <t xml:space="preserve">H = Ford quick-joint; F/M/S = grip-joint.</t>
  </si>
  <si>
    <t xml:space="preserve">R271</t>
  </si>
  <si>
    <t xml:space="preserve">3/4" IPS SIDR-7 poly service pipe</t>
  </si>
  <si>
    <t xml:space="preserve">R272</t>
  </si>
  <si>
    <t xml:space="preserve">Meter setter 5/8" x 3/4" (Ford VBHC72)</t>
  </si>
  <si>
    <t xml:space="preserve">H = 18" angle setter; others VBHC72-95166-015.</t>
  </si>
  <si>
    <t xml:space="preserve">R273</t>
  </si>
  <si>
    <t xml:space="preserve">3/4" MIP x PE coupling / adapter</t>
  </si>
  <si>
    <t xml:space="preserve">R274</t>
  </si>
  <si>
    <t xml:space="preserve">Meter box, 18" deep w/ reader lid</t>
  </si>
  <si>
    <t xml:space="preserve">HD Fowler quoted meter-box extensions + valve-box body (separate rows).</t>
  </si>
  <si>
    <t xml:space="preserve">R275</t>
  </si>
  <si>
    <t xml:space="preserve">Meter box extension 13" x 20" x 6"</t>
  </si>
  <si>
    <t xml:space="preserve">R276</t>
  </si>
  <si>
    <t xml:space="preserve">Valve box body &amp; cover, green "ICV" (13x20x12)</t>
  </si>
  <si>
    <t xml:space="preserve">R277</t>
  </si>
  <si>
    <t xml:space="preserve">3/4" IPS pipe stiffener / insert</t>
  </si>
  <si>
    <t xml:space="preserve">R278</t>
  </si>
  <si>
    <t xml:space="preserve">12-ga blue tracer wire (service)</t>
  </si>
  <si>
    <t xml:space="preserve">R279</t>
  </si>
  <si>
    <t xml:space="preserve">2" brass square-head cored plug</t>
  </si>
  <si>
    <t xml:space="preserve">BID ITEM 16  —  16" DI crossing (SR-7) incl. 36" casing</t>
  </si>
  <si>
    <t xml:space="preserve">R280</t>
  </si>
  <si>
    <t xml:space="preserve">Item 16</t>
  </si>
  <si>
    <t xml:space="preserve">16" CL51 DI pipe (TJ)</t>
  </si>
  <si>
    <t xml:space="preserve">Quoted footage differs by supplier (620 / 657 / 684 / 653 ft) - rounding &amp; waste.</t>
  </si>
  <si>
    <t xml:space="preserve">R281</t>
  </si>
  <si>
    <t xml:space="preserve">16" bell restraint for DI pipe (Fast-Grip / bell restraint)</t>
  </si>
  <si>
    <t xml:space="preserve">F = Fast-Grip gasket; H = EZ Grip bell restraint; M = Ford UFR1390; S = split Stargrip retrofit ($1,083 ea).</t>
  </si>
  <si>
    <t xml:space="preserve">R282</t>
  </si>
  <si>
    <t xml:space="preserve">20" x 16" MJ reducer</t>
  </si>
  <si>
    <t xml:space="preserve">R283</t>
  </si>
  <si>
    <t xml:space="preserve">16" MJ 22-1/2° bend</t>
  </si>
  <si>
    <t xml:space="preserve">R284</t>
  </si>
  <si>
    <t xml:space="preserve">16" MJ x flange 22-1/2° bend</t>
  </si>
  <si>
    <t xml:space="preserve">S quoted a flange x flange 22-1/2° bend.</t>
  </si>
  <si>
    <t xml:space="preserve">R285</t>
  </si>
  <si>
    <t xml:space="preserve">16" x 18' flange x PE DI spool</t>
  </si>
  <si>
    <t xml:space="preserve">R286</t>
  </si>
  <si>
    <t xml:space="preserve">20" MJ restraint - for DI pipe</t>
  </si>
  <si>
    <t xml:space="preserve">R287</t>
  </si>
  <si>
    <t xml:space="preserve">R288</t>
  </si>
  <si>
    <t xml:space="preserve">20" MJ gasket &amp; T-bolt set</t>
  </si>
  <si>
    <t xml:space="preserve">R289</t>
  </si>
  <si>
    <t xml:space="preserve">R290</t>
  </si>
  <si>
    <t xml:space="preserve">3" Sch 40 PVC conduit (20' lengths)</t>
  </si>
  <si>
    <t xml:space="preserve">R291</t>
  </si>
  <si>
    <t xml:space="preserve">3" conduit sweep 90° elbow (Sch 40)</t>
  </si>
  <si>
    <t xml:space="preserve">H quoted a 22° sweep elbow.</t>
  </si>
  <si>
    <t xml:space="preserve">R292</t>
  </si>
  <si>
    <t xml:space="preserve">3" Sch 80 PVC pipe</t>
  </si>
  <si>
    <t xml:space="preserve">Scholzen quoted both Sch 80 and Sch 40 3" conduit - possible duplicate.</t>
  </si>
  <si>
    <t xml:space="preserve">R293</t>
  </si>
  <si>
    <t xml:space="preserve">3" PVC 45° elbow (Sch 80)</t>
  </si>
  <si>
    <t xml:space="preserve">R294</t>
  </si>
  <si>
    <t xml:space="preserve">3" threaded flange for steel pipe</t>
  </si>
  <si>
    <t xml:space="preserve">R295</t>
  </si>
  <si>
    <t xml:space="preserve">Mule tape, 1,250 lb</t>
  </si>
  <si>
    <t xml:space="preserve">R296</t>
  </si>
  <si>
    <t xml:space="preserve">36" steel casing pipe</t>
  </si>
  <si>
    <t xml:space="preserve">No bid</t>
  </si>
  <si>
    <t xml:space="preserve">F = .572" wall; M = .625" spiral-weld A252. HD Fowler: NO BID (its line reads .562" wall). Scholzen: not quoted.</t>
  </si>
  <si>
    <t xml:space="preserve">R297</t>
  </si>
  <si>
    <t xml:space="preserve">Casing spacers (stainless, multi-carrier cluster)</t>
  </si>
  <si>
    <t xml:space="preserve">Price to follow</t>
  </si>
  <si>
    <t xml:space="preserve">HD Fowler: price to follow. Scholzen: not quoted.</t>
  </si>
  <si>
    <t xml:space="preserve">R298</t>
  </si>
  <si>
    <t xml:space="preserve">Casing end seals</t>
  </si>
  <si>
    <t xml:space="preserve">R299</t>
  </si>
  <si>
    <t xml:space="preserve">Polywrap bag, 20"-24" x 18' pipe (8 mil)</t>
  </si>
  <si>
    <t xml:space="preserve">R300</t>
  </si>
  <si>
    <t xml:space="preserve">R301</t>
  </si>
  <si>
    <t xml:space="preserve">R302</t>
  </si>
  <si>
    <t xml:space="preserve">R303</t>
  </si>
  <si>
    <t xml:space="preserve">2" PVC Sch 80 pipe (Item 16)</t>
  </si>
  <si>
    <t xml:space="preserve">R304</t>
  </si>
  <si>
    <t xml:space="preserve">2" PVC Sch 80 coupling</t>
  </si>
  <si>
    <t xml:space="preserve">FEES &amp; ADDERS  —  Quote fees &amp; adders</t>
  </si>
  <si>
    <t xml:space="preserve">R305</t>
  </si>
  <si>
    <t xml:space="preserve">Fees</t>
  </si>
  <si>
    <t xml:space="preserve">Fees &amp; adders</t>
  </si>
  <si>
    <t xml:space="preserve">Estimated submittal packet fee</t>
  </si>
  <si>
    <t xml:space="preserve">R306</t>
  </si>
  <si>
    <t xml:space="preserve">Estimated outbound freight</t>
  </si>
  <si>
    <t xml:space="preserve">Only HD Fowler itemized freight; other quotes do not state delivery charges.</t>
  </si>
  <si>
    <t xml:space="preserve">TOTAL @ ref qty — rows each supplier quoted (not like-for-like; see Summary)</t>
  </si>
  <si>
    <t xml:space="preserve">BY BID ITEM — comparable-basis totals</t>
  </si>
  <si>
    <t xml:space="preserve">Each supplier's cost at the reference quantities, over every row that at least two suppliers priced. Rows a supplier skipped are filled at the lowest competing price so scope gaps don't make a bid look cheap.</t>
  </si>
  <si>
    <t xml:space="preserve">Description</t>
  </si>
  <si>
    <t xml:space="preserve">Rows compared</t>
  </si>
  <si>
    <t xml:space="preserve">Lowest total</t>
  </si>
  <si>
    <t xml:space="preserve">$ spread (high – low)</t>
  </si>
  <si>
    <t xml:space="preserve">Ferguson
rows priced</t>
  </si>
  <si>
    <t xml:space="preserve">HD Fowler
rows priced</t>
  </si>
  <si>
    <t xml:space="preserve">Mountainland
rows priced</t>
  </si>
  <si>
    <t xml:space="preserve">Scholzen
rows priced</t>
  </si>
  <si>
    <t xml:space="preserve">Pump station, meter vault &amp; valve vault</t>
  </si>
  <si>
    <t xml:space="preserve">6" C900 PVC pipeline</t>
  </si>
  <si>
    <t xml:space="preserve">16" C900/C905 PVC pipeline</t>
  </si>
  <si>
    <t xml:space="preserve">12" C900 PVC pipeline</t>
  </si>
  <si>
    <t xml:space="preserve">6" gate valves</t>
  </si>
  <si>
    <t xml:space="preserve">8" gate valves</t>
  </si>
  <si>
    <t xml:space="preserve">12" gate valves</t>
  </si>
  <si>
    <t xml:space="preserve">16" butterfly valves</t>
  </si>
  <si>
    <t xml:space="preserve">12" 11-1/4° bends</t>
  </si>
  <si>
    <t xml:space="preserve">12" 45° bends</t>
  </si>
  <si>
    <t xml:space="preserve">12" x 6" tees &amp; 12" adapters</t>
  </si>
  <si>
    <t xml:space="preserve">16" x 6" tees</t>
  </si>
  <si>
    <t xml:space="preserve">16" x 12" tee &amp; sleeve</t>
  </si>
  <si>
    <t xml:space="preserve">36" x 24" tee &amp; sleeve</t>
  </si>
  <si>
    <t xml:space="preserve">16" flanged crosses</t>
  </si>
  <si>
    <t xml:space="preserve">8" x 6" reducers</t>
  </si>
  <si>
    <t xml:space="preserve">16" x 6" reducer</t>
  </si>
  <si>
    <t xml:space="preserve">16" x 8" reducers</t>
  </si>
  <si>
    <t xml:space="preserve">16" x 12" reducer</t>
  </si>
  <si>
    <t xml:space="preserve">24" x 16" reducer</t>
  </si>
  <si>
    <t xml:space="preserve">2" air-vac assemblies &amp; relocation</t>
  </si>
  <si>
    <t xml:space="preserve">2" meter installation</t>
  </si>
  <si>
    <t xml:space="preserve">3/4" water service</t>
  </si>
  <si>
    <t xml:space="preserve">16" DI crossing (SR-7) incl. 36" casing</t>
  </si>
  <si>
    <t xml:space="preserve">Quote fees &amp; adders</t>
  </si>
  <si>
    <t xml:space="preserve">TOTAL</t>
  </si>
  <si>
    <t xml:space="preserve">All bid items — comparable basis</t>
  </si>
  <si>
    <t xml:space="preserve">How to read: colors rank the four suppliers within each bid item (green lowest → red highest). 'Rows priced' shows how much of the comparable scope each supplier actually quoted — a low total with low coverage means the gap-fill is doing the work.</t>
  </si>
  <si>
    <t xml:space="preserve">Items 13 (2" meter) and Fees are priced by a single supplier and are excluded from comparable totals.</t>
  </si>
  <si>
    <t xml:space="preserve">QUOTE LINES — every line transcribed from the four supplier quotes (blue = input; edit a price here and the comparison recalculates)</t>
  </si>
  <si>
    <t xml:space="preserve">Line ID</t>
  </si>
  <si>
    <t xml:space="preserve">Quote section</t>
  </si>
  <si>
    <t xml:space="preserve">Description (as quoted)</t>
  </si>
  <si>
    <t xml:space="preserve">Qty quoted</t>
  </si>
  <si>
    <t xml:space="preserve">UoM quoted</t>
  </si>
  <si>
    <t xml:space="preserve">Unit price quoted ($)</t>
  </si>
  <si>
    <t xml:space="preserve">Extended quoted ($)</t>
  </si>
  <si>
    <t xml:space="preserve">Comparison row</t>
  </si>
  <si>
    <t xml:space="preserve">Comp #</t>
  </si>
  <si>
    <t xml:space="preserve">Qty basis (row UoM)</t>
  </si>
  <si>
    <t xml:space="preserve">In quote total?</t>
  </si>
  <si>
    <t xml:space="preserve">Note</t>
  </si>
  <si>
    <t xml:space="preserve">Ext used for comparison ($)</t>
  </si>
  <si>
    <t xml:space="preserve">Lookup key</t>
  </si>
  <si>
    <t xml:space="preserve">F001</t>
  </si>
  <si>
    <t xml:space="preserve">Meter Vault</t>
  </si>
  <si>
    <t xml:space="preserve">16 X 12 Mechanical Joint C153 Reducer Less Accessories</t>
  </si>
  <si>
    <t xml:space="preserve">Y</t>
  </si>
  <si>
    <t xml:space="preserve">F002</t>
  </si>
  <si>
    <t xml:space="preserve">12 X 7-1/2 Mechanical Joint C153 SHORT Sleeve Less Accessories</t>
  </si>
  <si>
    <t xml:space="preserve">F003</t>
  </si>
  <si>
    <t xml:space="preserve">12X2'6 Flange X PE Cement Lined Bituminous Tar Ductile Iron Spool</t>
  </si>
  <si>
    <t xml:space="preserve">F004</t>
  </si>
  <si>
    <t xml:space="preserve">12X4'6 Flange X PE Cement Lined Bituminous Tar Ductile Iron Spool</t>
  </si>
  <si>
    <t xml:space="preserve">F005</t>
  </si>
  <si>
    <t xml:space="preserve">Lead Law Compliant 2 B88-777-NL Ball Valve</t>
  </si>
  <si>
    <t xml:space="preserve">F006</t>
  </si>
  <si>
    <t xml:space="preserve">1-1/4 - 2 Straight LEV Handle</t>
  </si>
  <si>
    <t xml:space="preserve">F007</t>
  </si>
  <si>
    <t xml:space="preserve">Lead Law Compliant 2 FIP X PVC PJ Coupling</t>
  </si>
  <si>
    <t xml:space="preserve">F008</t>
  </si>
  <si>
    <t xml:space="preserve">*CVR* 16 PVC STARGRIP SER 4000 W/AC</t>
  </si>
  <si>
    <t xml:space="preserve">F009</t>
  </si>
  <si>
    <t xml:space="preserve">16 Ductile Iron Mechanical Joint Restraint 3000 Series With Accessories</t>
  </si>
  <si>
    <t xml:space="preserve">F010</t>
  </si>
  <si>
    <t xml:space="preserve">12 Ductile Iron Mechanical Joint Restraint 3000 Series With Accessories</t>
  </si>
  <si>
    <t xml:space="preserve">F011</t>
  </si>
  <si>
    <t xml:space="preserve">12 ZN 150# Flange NUT/BLT Set</t>
  </si>
  <si>
    <t xml:space="preserve">F012</t>
  </si>
  <si>
    <t xml:space="preserve">12 Flat Face 1/8 TORUSEAL NSF61 Flange Gasket</t>
  </si>
  <si>
    <t xml:space="preserve">F013</t>
  </si>
  <si>
    <t xml:space="preserve">12 Adjustable Pipe Support</t>
  </si>
  <si>
    <t xml:space="preserve">F014</t>
  </si>
  <si>
    <t xml:space="preserve">2 X 36 Galvanized Ready CUT Pipe</t>
  </si>
  <si>
    <t xml:space="preserve">F015</t>
  </si>
  <si>
    <t xml:space="preserve">Pump Station</t>
  </si>
  <si>
    <t xml:space="preserve">16X10'0 Flange X PE Cement Lined Bituminous Tar Ductile Iron Spool</t>
  </si>
  <si>
    <t xml:space="preserve">F016</t>
  </si>
  <si>
    <t xml:space="preserve">16X15'0 Flange X PE Cement Lined Bituminous Tar Ductile Iron Spool</t>
  </si>
  <si>
    <t xml:space="preserve">F017</t>
  </si>
  <si>
    <t xml:space="preserve">16X3'6 Flange X Flange Cement Lined Bituminous Tar Ductile Iron Spool</t>
  </si>
  <si>
    <t xml:space="preserve">F018</t>
  </si>
  <si>
    <t xml:space="preserve">10X4'6 Flange X Flange Cement Lined Bituminous Tar Ductile Iron Spool</t>
  </si>
  <si>
    <t xml:space="preserve">F019</t>
  </si>
  <si>
    <t xml:space="preserve">10X2'0 Flange X Flange Cement Lined Bituminous Tar Ductile Iron Spool</t>
  </si>
  <si>
    <t xml:space="preserve">F020</t>
  </si>
  <si>
    <t xml:space="preserve">8X2'6 Flange X Flange Cement Lined Bituminous Tar Ductile Iron Spool</t>
  </si>
  <si>
    <t xml:space="preserve">F021</t>
  </si>
  <si>
    <t xml:space="preserve">8IN CLAVAL SERIES 131 W/ POSITION IND TRANSMITTER VC-220 CONTROLLER</t>
  </si>
  <si>
    <t xml:space="preserve">F022</t>
  </si>
  <si>
    <t xml:space="preserve">Lead Law Compliant 8 Cast Iron Stainless Steel EPDM 255# Wafer Butterfly Valve Gear Operator</t>
  </si>
  <si>
    <t xml:space="preserve">F023</t>
  </si>
  <si>
    <t xml:space="preserve">16 Ductile Iron 125# C110 Flange 90 BEND</t>
  </si>
  <si>
    <t xml:space="preserve">F024</t>
  </si>
  <si>
    <t xml:space="preserve">16 X 10 Ductile Iron 125# C110 Flange Concentric Reducer</t>
  </si>
  <si>
    <t xml:space="preserve">F025</t>
  </si>
  <si>
    <t xml:space="preserve">16 X 12 Large End Mechanical Joint C153 Reducer Less Accessories</t>
  </si>
  <si>
    <t xml:space="preserve">F026</t>
  </si>
  <si>
    <t xml:space="preserve">F027</t>
  </si>
  <si>
    <t xml:space="preserve">12 Ductile Iron 125# C110 Flange Tee</t>
  </si>
  <si>
    <t xml:space="preserve">F028</t>
  </si>
  <si>
    <t xml:space="preserve">12 Mechanical Joint X Flange C153 45 BEND Less Accessories</t>
  </si>
  <si>
    <t xml:space="preserve">F029</t>
  </si>
  <si>
    <t xml:space="preserve">12 X 12 Mechanical Joint C153 Long Sleeve Less Accessories</t>
  </si>
  <si>
    <t xml:space="preserve">F030</t>
  </si>
  <si>
    <t xml:space="preserve">12 Mechanical Joint X Flange C153 22-1/2 BEND Less Accessories</t>
  </si>
  <si>
    <t xml:space="preserve">F031</t>
  </si>
  <si>
    <t xml:space="preserve">12 Mechanical Joint X Flange C153 Adapter Less Accessories</t>
  </si>
  <si>
    <t xml:space="preserve">F032</t>
  </si>
  <si>
    <t xml:space="preserve">10 Ductile Iron 125# C110 Flange Tee</t>
  </si>
  <si>
    <t xml:space="preserve">F033</t>
  </si>
  <si>
    <t xml:space="preserve">10 X 8 Ductile Iron 125# C110 Flange Tee</t>
  </si>
  <si>
    <t xml:space="preserve">F034</t>
  </si>
  <si>
    <t xml:space="preserve">10 X 2 Ductile Iron C110 125# IPT Tap on Pipe BLND Flange</t>
  </si>
  <si>
    <t xml:space="preserve">F035</t>
  </si>
  <si>
    <t xml:space="preserve">8 Ductile Iron 125# C110 Flange 90 BEND</t>
  </si>
  <si>
    <t xml:space="preserve">F036</t>
  </si>
  <si>
    <t xml:space="preserve">4 X 12 Mechanical Joint C153 Long Sleeve Less Accessories</t>
  </si>
  <si>
    <t xml:space="preserve">F037</t>
  </si>
  <si>
    <t xml:space="preserve">2 Combination Air &amp; VAC CI Valve With NPT Threaded</t>
  </si>
  <si>
    <t xml:space="preserve">F038</t>
  </si>
  <si>
    <t xml:space="preserve">4 CL350 Double Cement Lined Ductile Iron FASTITE Pipe</t>
  </si>
  <si>
    <t xml:space="preserve">F039</t>
  </si>
  <si>
    <t xml:space="preserve">4 X 20 FT PVC Schedule 80 BE Pipe</t>
  </si>
  <si>
    <t xml:space="preserve">C</t>
  </si>
  <si>
    <t xml:space="preserve">Price is per 100 ft; qty in ft</t>
  </si>
  <si>
    <t xml:space="preserve">F040</t>
  </si>
  <si>
    <t xml:space="preserve">4 X 20 FT PVC Schedule 40 BE Pipe</t>
  </si>
  <si>
    <t xml:space="preserve">F041</t>
  </si>
  <si>
    <t xml:space="preserve">2 X 20 FT PVC Schedule 80 BE Pipe</t>
  </si>
  <si>
    <t xml:space="preserve">F042</t>
  </si>
  <si>
    <t xml:space="preserve">2 X 20 FT PVC Schedule 40 BE Pipe</t>
  </si>
  <si>
    <t xml:space="preserve">F043</t>
  </si>
  <si>
    <t xml:space="preserve">4 PVC DWV Combination</t>
  </si>
  <si>
    <t xml:space="preserve">F044</t>
  </si>
  <si>
    <t xml:space="preserve">4 PVC DWV 2 - WAY Cleanout Tee</t>
  </si>
  <si>
    <t xml:space="preserve">F045</t>
  </si>
  <si>
    <t xml:space="preserve">4 PVC DWV Long Sweep 90 Elbow</t>
  </si>
  <si>
    <t xml:space="preserve">F046</t>
  </si>
  <si>
    <t xml:space="preserve">4 PVC DWV 45 Elbow</t>
  </si>
  <si>
    <t xml:space="preserve">F047</t>
  </si>
  <si>
    <t xml:space="preserve">4 X 2 PVC DWV Slip X Hub FLUSH Bushing</t>
  </si>
  <si>
    <t xml:space="preserve">F048</t>
  </si>
  <si>
    <t xml:space="preserve">2 PVC DWV LS 90 ELL</t>
  </si>
  <si>
    <t xml:space="preserve">F049</t>
  </si>
  <si>
    <t xml:space="preserve">4 STD No-Hub Coupling</t>
  </si>
  <si>
    <t xml:space="preserve">F050</t>
  </si>
  <si>
    <t xml:space="preserve">4 NL HD Floor Drain With 9 Strainer</t>
  </si>
  <si>
    <t xml:space="preserve">F051</t>
  </si>
  <si>
    <t xml:space="preserve">2 PVC Schedule 80 Slip X Slip 45 Elbow</t>
  </si>
  <si>
    <t xml:space="preserve">F052</t>
  </si>
  <si>
    <t xml:space="preserve">2 Stainless Steel 316 150# Thread Tee</t>
  </si>
  <si>
    <t xml:space="preserve">F053</t>
  </si>
  <si>
    <t xml:space="preserve">2 X 1 Stainless Steel 316 150# Thread Bushing</t>
  </si>
  <si>
    <t xml:space="preserve">F054</t>
  </si>
  <si>
    <t xml:space="preserve">2X4 SS S40 316L WLD NIP</t>
  </si>
  <si>
    <t xml:space="preserve">F055</t>
  </si>
  <si>
    <t xml:space="preserve">1X4 S40 304L WLD NIP TBE</t>
  </si>
  <si>
    <t xml:space="preserve">F056</t>
  </si>
  <si>
    <t xml:space="preserve">2 Stainless Steel 1000# Threaded 2 Piece Full Port BV Locking Lever</t>
  </si>
  <si>
    <t xml:space="preserve">F057</t>
  </si>
  <si>
    <t xml:space="preserve">2 X 48 Galvanized Ready CUT Pipe</t>
  </si>
  <si>
    <t xml:space="preserve">F058</t>
  </si>
  <si>
    <t xml:space="preserve">1 Stainless Steel 1000# Threaded 2 Piece Full Port BV Locking Lever</t>
  </si>
  <si>
    <t xml:space="preserve">F059</t>
  </si>
  <si>
    <t xml:space="preserve">F060</t>
  </si>
  <si>
    <t xml:space="preserve">2 X 12 Galvanized Steel Nipple</t>
  </si>
  <si>
    <t xml:space="preserve">F061</t>
  </si>
  <si>
    <t xml:space="preserve">2 X 4 Galvanized Steel Nipple</t>
  </si>
  <si>
    <t xml:space="preserve">F062</t>
  </si>
  <si>
    <t xml:space="preserve">2 Galvanized Malleable Iron 150# 90 Elbow</t>
  </si>
  <si>
    <t xml:space="preserve">F063</t>
  </si>
  <si>
    <t xml:space="preserve">2 Air VAC BUG SCRN 20 MESH</t>
  </si>
  <si>
    <t xml:space="preserve">F064</t>
  </si>
  <si>
    <t xml:space="preserve">F065</t>
  </si>
  <si>
    <t xml:space="preserve">12 PVC SGRIP SERIES 4000 G2 W/ ACC</t>
  </si>
  <si>
    <t xml:space="preserve">F066</t>
  </si>
  <si>
    <t xml:space="preserve">4 PVC SGRIP SERIES 4000 G2 W/ ACC</t>
  </si>
  <si>
    <t xml:space="preserve">F067</t>
  </si>
  <si>
    <t xml:space="preserve">16 ZN 150# Flange NUT/BLT Set</t>
  </si>
  <si>
    <t xml:space="preserve">F068</t>
  </si>
  <si>
    <t xml:space="preserve">16 Flat Face 1/8 TORUSEAL NSF61 Flange Gasket</t>
  </si>
  <si>
    <t xml:space="preserve">F069</t>
  </si>
  <si>
    <t xml:space="preserve">F070</t>
  </si>
  <si>
    <t xml:space="preserve">F071</t>
  </si>
  <si>
    <t xml:space="preserve">10 Flat Face 1/8 TORUSEAL NSF61 Flange Gasket</t>
  </si>
  <si>
    <t xml:space="preserve">F072</t>
  </si>
  <si>
    <t xml:space="preserve">10 ZN 150# Flange NUT/BLT Set</t>
  </si>
  <si>
    <t xml:space="preserve">F073</t>
  </si>
  <si>
    <t xml:space="preserve">8 Flat Face 1/8 TORUSEAL NSF61 Flange Gasket</t>
  </si>
  <si>
    <t xml:space="preserve">F074</t>
  </si>
  <si>
    <t xml:space="preserve">8 ZN 150# Flange NUT/BLT Set</t>
  </si>
  <si>
    <t xml:space="preserve">F075</t>
  </si>
  <si>
    <t xml:space="preserve">8 ZN 150# A307B LUG BFV BLT SET</t>
  </si>
  <si>
    <t xml:space="preserve">F076</t>
  </si>
  <si>
    <t xml:space="preserve">Valve Vault</t>
  </si>
  <si>
    <t xml:space="preserve">12IN AVTEK DBLOFF BFV W/ ACTUATION</t>
  </si>
  <si>
    <t xml:space="preserve">F077</t>
  </si>
  <si>
    <t xml:space="preserve">F078</t>
  </si>
  <si>
    <t xml:space="preserve">12X3'0 Flange X PE Cement Lined Bituminous Tar Ductile Iron Spool</t>
  </si>
  <si>
    <t xml:space="preserve">F079</t>
  </si>
  <si>
    <t xml:space="preserve">12X5'0 Flange X PE Cement Lined Bituminous Tar Ductile Iron Spool</t>
  </si>
  <si>
    <t xml:space="preserve">F080</t>
  </si>
  <si>
    <t xml:space="preserve">F081</t>
  </si>
  <si>
    <t xml:space="preserve">F082</t>
  </si>
  <si>
    <t xml:space="preserve">F083</t>
  </si>
  <si>
    <t xml:space="preserve">6 C900 DR18 PVC Gasket Joint Blue Pipe</t>
  </si>
  <si>
    <t xml:space="preserve">F084</t>
  </si>
  <si>
    <t xml:space="preserve">12 Gauge 500 FT Irrigation Underground Feeder WIRE Blue</t>
  </si>
  <si>
    <t xml:space="preserve">M</t>
  </si>
  <si>
    <t xml:space="preserve">Price is per 1,000 ft; qty in ft</t>
  </si>
  <si>
    <t xml:space="preserve">F085</t>
  </si>
  <si>
    <t xml:space="preserve">3 X 1000 Underground Detectable Water Blue</t>
  </si>
  <si>
    <t xml:space="preserve">F086</t>
  </si>
  <si>
    <t xml:space="preserve">16 C905 DR18 CL235 PVC Gasket Joint Blue Pipe</t>
  </si>
  <si>
    <t xml:space="preserve">F087</t>
  </si>
  <si>
    <t xml:space="preserve">F088</t>
  </si>
  <si>
    <t xml:space="preserve">F089</t>
  </si>
  <si>
    <t xml:space="preserve">12 C900 DR18 PVC Gasket Joint Blue Pipe</t>
  </si>
  <si>
    <t xml:space="preserve">F090</t>
  </si>
  <si>
    <t xml:space="preserve">F091</t>
  </si>
  <si>
    <t xml:space="preserve">F092</t>
  </si>
  <si>
    <t xml:space="preserve">6 Mechanical Joint X Flanged Ductile Iron Resilient Wedge Open Left GATE Valve Less Accessories</t>
  </si>
  <si>
    <t xml:space="preserve">F093</t>
  </si>
  <si>
    <t xml:space="preserve">6 PVC SGRIP SERIES 4000 G2 W/ ACC</t>
  </si>
  <si>
    <t xml:space="preserve">F094</t>
  </si>
  <si>
    <t xml:space="preserve">6 Flat Face 1/8 TORUSEAL NSF61 Flange Gasket</t>
  </si>
  <si>
    <t xml:space="preserve">F095</t>
  </si>
  <si>
    <t xml:space="preserve">6 ZN 150# Flange NUT/BLT Set</t>
  </si>
  <si>
    <t xml:space="preserve">F096</t>
  </si>
  <si>
    <t xml:space="preserve">6IN UFR1390-C-U Restrainer</t>
  </si>
  <si>
    <t xml:space="preserve">F097</t>
  </si>
  <si>
    <t xml:space="preserve">16 Slip Valve Box TOP SECT</t>
  </si>
  <si>
    <t xml:space="preserve">F098</t>
  </si>
  <si>
    <t xml:space="preserve">36 Slip Valve Box BOT SECT</t>
  </si>
  <si>
    <t xml:space="preserve">F099</t>
  </si>
  <si>
    <t xml:space="preserve">5-1/4 Cast Iron Valve Box LID Water</t>
  </si>
  <si>
    <t xml:space="preserve">F100</t>
  </si>
  <si>
    <t xml:space="preserve">8 Mechanical Joint X FL Ductile Iron Resilient Wedge Open Left GATE Valve Less Accessories</t>
  </si>
  <si>
    <t xml:space="preserve">F101</t>
  </si>
  <si>
    <t xml:space="preserve">8 PVC SGRIP SERIES 4000 G2 W/ ACC</t>
  </si>
  <si>
    <t xml:space="preserve">F102</t>
  </si>
  <si>
    <t xml:space="preserve">F103</t>
  </si>
  <si>
    <t xml:space="preserve">F104</t>
  </si>
  <si>
    <t xml:space="preserve">F105</t>
  </si>
  <si>
    <t xml:space="preserve">F106</t>
  </si>
  <si>
    <t xml:space="preserve">F107</t>
  </si>
  <si>
    <t xml:space="preserve">12 Mechanical Joint X Flanged Ductile Iron Resilient Wedge Open Left GATE Valve Less Accessories</t>
  </si>
  <si>
    <t xml:space="preserve">F108</t>
  </si>
  <si>
    <t xml:space="preserve">F109</t>
  </si>
  <si>
    <t xml:space="preserve">F110</t>
  </si>
  <si>
    <t xml:space="preserve">F111</t>
  </si>
  <si>
    <t xml:space="preserve">12IN UFR1390-C-U Restrainer</t>
  </si>
  <si>
    <t xml:space="preserve">F112</t>
  </si>
  <si>
    <t xml:space="preserve">F113</t>
  </si>
  <si>
    <t xml:space="preserve">F114</t>
  </si>
  <si>
    <t xml:space="preserve">F115</t>
  </si>
  <si>
    <t xml:space="preserve">16 250B Mechanical Joint X 125 Flanged EPDM Butterfly Valve</t>
  </si>
  <si>
    <t xml:space="preserve">F116</t>
  </si>
  <si>
    <t xml:space="preserve">16 PVC STARGRIP SER 4000 W/AC</t>
  </si>
  <si>
    <t xml:space="preserve">F117</t>
  </si>
  <si>
    <t xml:space="preserve">F118</t>
  </si>
  <si>
    <t xml:space="preserve">F119</t>
  </si>
  <si>
    <t xml:space="preserve">16IN UFR1390-C-U RESTRAINER</t>
  </si>
  <si>
    <t xml:space="preserve">F120</t>
  </si>
  <si>
    <t xml:space="preserve">F121</t>
  </si>
  <si>
    <t xml:space="preserve">F122</t>
  </si>
  <si>
    <t xml:space="preserve">F123</t>
  </si>
  <si>
    <t xml:space="preserve">12 Mechanical Joint C153 11-1/4 BEND Less Accessories</t>
  </si>
  <si>
    <t xml:space="preserve">F124</t>
  </si>
  <si>
    <t xml:space="preserve">F125</t>
  </si>
  <si>
    <t xml:space="preserve">12 Mechanical Joint C153 45 BEND Less Accessories</t>
  </si>
  <si>
    <t xml:space="preserve">F126</t>
  </si>
  <si>
    <t xml:space="preserve">F127</t>
  </si>
  <si>
    <t xml:space="preserve">12 X 6 Ductile Iron 125# C110 Flange Tee</t>
  </si>
  <si>
    <t xml:space="preserve">F128</t>
  </si>
  <si>
    <t xml:space="preserve">12 X 6 Mechanical Joint X Flange C153 Tee Less Accessories</t>
  </si>
  <si>
    <t xml:space="preserve">F129</t>
  </si>
  <si>
    <t xml:space="preserve">F130</t>
  </si>
  <si>
    <t xml:space="preserve">F131</t>
  </si>
  <si>
    <t xml:space="preserve">F132</t>
  </si>
  <si>
    <t xml:space="preserve">F133</t>
  </si>
  <si>
    <t xml:space="preserve">16 X 6 Ductile Iron 125# C110 Flange Tee</t>
  </si>
  <si>
    <t xml:space="preserve">F134</t>
  </si>
  <si>
    <t xml:space="preserve">16 Mechanical Joint X Flange C153 Adapter Less Accessories</t>
  </si>
  <si>
    <t xml:space="preserve">F135</t>
  </si>
  <si>
    <t xml:space="preserve">F136</t>
  </si>
  <si>
    <t xml:space="preserve">F137</t>
  </si>
  <si>
    <t xml:space="preserve">F138</t>
  </si>
  <si>
    <t xml:space="preserve">16 X 12 Ductile Iron 125# C110 Flange Tee</t>
  </si>
  <si>
    <t xml:space="preserve">F139</t>
  </si>
  <si>
    <t xml:space="preserve">16 X 15 Mechanical Joint C153 Long Sleeve Less Accessories</t>
  </si>
  <si>
    <t xml:space="preserve">F140</t>
  </si>
  <si>
    <t xml:space="preserve">F141</t>
  </si>
  <si>
    <t xml:space="preserve">36X24 MJXFLG C153 TEE L/A</t>
  </si>
  <si>
    <t xml:space="preserve">F142</t>
  </si>
  <si>
    <t xml:space="preserve">36 X 24 Mechanical Joint C153 Long Sleeve Less Accessories</t>
  </si>
  <si>
    <t xml:space="preserve">F143</t>
  </si>
  <si>
    <t xml:space="preserve">36 Ductile Iron Restraint Series 3000 With Accessories</t>
  </si>
  <si>
    <t xml:space="preserve">F144</t>
  </si>
  <si>
    <t xml:space="preserve">16 Ductile Iron 125# C110 Flange Cross</t>
  </si>
  <si>
    <t xml:space="preserve">F145</t>
  </si>
  <si>
    <t xml:space="preserve">8 X 6 Small End Mechanical Joint C153 Reducer Less Accessories</t>
  </si>
  <si>
    <t xml:space="preserve">F146</t>
  </si>
  <si>
    <t xml:space="preserve">8 DI SGRIP SERIES 3000 W/ ACCY</t>
  </si>
  <si>
    <t xml:space="preserve">F147</t>
  </si>
  <si>
    <t xml:space="preserve">F148</t>
  </si>
  <si>
    <t xml:space="preserve">16 X 6 Ductile Iron 125# C110 Flange Concentric Reducer</t>
  </si>
  <si>
    <t xml:space="preserve">F149</t>
  </si>
  <si>
    <t xml:space="preserve">F150</t>
  </si>
  <si>
    <t xml:space="preserve">F151</t>
  </si>
  <si>
    <t xml:space="preserve">16 X 8 Ductile Iron 125# C110 Flange Concentric Reducer</t>
  </si>
  <si>
    <t xml:space="preserve">F152</t>
  </si>
  <si>
    <t xml:space="preserve">F153</t>
  </si>
  <si>
    <t xml:space="preserve">F154</t>
  </si>
  <si>
    <t xml:space="preserve">16 X 12 Ductile Iron 125# C110 Flange Concentric Reducer</t>
  </si>
  <si>
    <t xml:space="preserve">F155</t>
  </si>
  <si>
    <t xml:space="preserve">F156</t>
  </si>
  <si>
    <t xml:space="preserve">F157</t>
  </si>
  <si>
    <t xml:space="preserve">24 X 16 Ductile Iron 125# C110 Flange Concentric Reducer</t>
  </si>
  <si>
    <t xml:space="preserve">F158</t>
  </si>
  <si>
    <t xml:space="preserve">24 ZN 150# Flange NUT/BLT Set</t>
  </si>
  <si>
    <t xml:space="preserve">F159</t>
  </si>
  <si>
    <t xml:space="preserve">24 Flat Face 1/8 TORUSEAL NSF61 Flange Gasket</t>
  </si>
  <si>
    <t xml:space="preserve">F160</t>
  </si>
  <si>
    <t xml:space="preserve">5-1/4 A423 Hydrant 4'6 6 Mechanical Joint Open Left Less Accessories</t>
  </si>
  <si>
    <t xml:space="preserve">F161</t>
  </si>
  <si>
    <t xml:space="preserve">5-1/4 A423 Hydrant 4'6 Flanged Open Left Less Accessories RED.</t>
  </si>
  <si>
    <t xml:space="preserve">F162</t>
  </si>
  <si>
    <t xml:space="preserve">6IN UFR1500-CA-OS-U JT RESTRAINER</t>
  </si>
  <si>
    <t xml:space="preserve">F163</t>
  </si>
  <si>
    <t xml:space="preserve">305-21.90 X 2 FIP SDL</t>
  </si>
  <si>
    <t xml:space="preserve">F164</t>
  </si>
  <si>
    <t xml:space="preserve">16 X 2 Iron Pipe Double Strap Bronze Saddle</t>
  </si>
  <si>
    <t xml:space="preserve">F165</t>
  </si>
  <si>
    <t xml:space="preserve">13.20 X 2 Iron Pipe Bronze Saddle</t>
  </si>
  <si>
    <t xml:space="preserve">F166</t>
  </si>
  <si>
    <t xml:space="preserve">Lead Law Compliant 2 Brass ST 90 Elbow</t>
  </si>
  <si>
    <t xml:space="preserve">F167</t>
  </si>
  <si>
    <t xml:space="preserve">Lead Law Compliant 2 MIP X PE PJ BALL Corp</t>
  </si>
  <si>
    <t xml:space="preserve">F168</t>
  </si>
  <si>
    <t xml:space="preserve">Lead Law Compliant 2 X 4 Brass Nipple GBL</t>
  </si>
  <si>
    <t xml:space="preserve">F169</t>
  </si>
  <si>
    <t xml:space="preserve">Lead Law Compliant 2 Brass 600 # WOG 2 Piece Threaded Full Port BV</t>
  </si>
  <si>
    <t xml:space="preserve">F170</t>
  </si>
  <si>
    <t xml:space="preserve">F171</t>
  </si>
  <si>
    <t xml:space="preserve">Lead Law Compliant 2 MIP X PE PJ Coupling</t>
  </si>
  <si>
    <t xml:space="preserve">F172</t>
  </si>
  <si>
    <t xml:space="preserve">2X100 250 PSI SIDR 7 BLUE</t>
  </si>
  <si>
    <t xml:space="preserve">F173</t>
  </si>
  <si>
    <t xml:space="preserve">F174</t>
  </si>
  <si>
    <t xml:space="preserve">2 PVC Schedule 80 Slip X Male Adapter</t>
  </si>
  <si>
    <t xml:space="preserve">F175</t>
  </si>
  <si>
    <t xml:space="preserve">2 PVC S80 SXS UNION EPDM</t>
  </si>
  <si>
    <t xml:space="preserve">F176</t>
  </si>
  <si>
    <t xml:space="preserve">2 PVC Schedule 80 Slip X Slip 90 Elbow</t>
  </si>
  <si>
    <t xml:space="preserve">F177</t>
  </si>
  <si>
    <t xml:space="preserve">2 PVC Schedule 80 Slip X Slip Union EPDM</t>
  </si>
  <si>
    <t xml:space="preserve">F178</t>
  </si>
  <si>
    <t xml:space="preserve">F179</t>
  </si>
  <si>
    <t xml:space="preserve">2 X 24 Galvanized Ready CUT Pipe</t>
  </si>
  <si>
    <t xml:space="preserve">F180</t>
  </si>
  <si>
    <t xml:space="preserve">2 Galvanized Malleable Iron 150# Coupling</t>
  </si>
  <si>
    <t xml:space="preserve">F181</t>
  </si>
  <si>
    <t xml:space="preserve">2 X 18 Galvanized Ready CUT Pipe</t>
  </si>
  <si>
    <t xml:space="preserve">F182</t>
  </si>
  <si>
    <t xml:space="preserve">F183</t>
  </si>
  <si>
    <t xml:space="preserve">2 PVC FIP BUG SCRN</t>
  </si>
  <si>
    <t xml:space="preserve">F184</t>
  </si>
  <si>
    <t xml:space="preserve">2 IPS PEP Insert STFNR</t>
  </si>
  <si>
    <t xml:space="preserve">F185</t>
  </si>
  <si>
    <t xml:space="preserve">30 X 20 AASHTO Watertight HDPE Pipe Bell End</t>
  </si>
  <si>
    <t xml:space="preserve">F186</t>
  </si>
  <si>
    <t xml:space="preserve">30 MANHOLE RING/COVER</t>
  </si>
  <si>
    <t xml:space="preserve">F187</t>
  </si>
  <si>
    <t xml:space="preserve">6 X 3/4 Iron Pipe Single Stainless Steel Strap Saddle 6.63-7.50</t>
  </si>
  <si>
    <t xml:space="preserve">F188</t>
  </si>
  <si>
    <t xml:space="preserve">Lead Law Compliant 3/4 F1101-3-G-NL IPS Corp ST</t>
  </si>
  <si>
    <t xml:space="preserve">F189</t>
  </si>
  <si>
    <t xml:space="preserve">3/4X300 250 PSI SIDR 7 BLUE</t>
  </si>
  <si>
    <t xml:space="preserve">F190</t>
  </si>
  <si>
    <t xml:space="preserve">Lead Law Compliant 3/4 C16-33-G-NL Coupling</t>
  </si>
  <si>
    <t xml:space="preserve">F191</t>
  </si>
  <si>
    <t xml:space="preserve">Lead Law Compliant VBHC72-95166-015-NL Copper Meter Setter</t>
  </si>
  <si>
    <t xml:space="preserve">F192</t>
  </si>
  <si>
    <t xml:space="preserve">18 Plastic Black Water Meter Box With Plastic Reader</t>
  </si>
  <si>
    <t xml:space="preserve">F193</t>
  </si>
  <si>
    <t xml:space="preserve">3/4 IPS Pep Insert Stfnr</t>
  </si>
  <si>
    <t xml:space="preserve">F194</t>
  </si>
  <si>
    <t xml:space="preserve">F195</t>
  </si>
  <si>
    <t xml:space="preserve">Lead Law Compliant 2 Brass Square HD CORED PLUG</t>
  </si>
  <si>
    <t xml:space="preserve">F196</t>
  </si>
  <si>
    <t xml:space="preserve">16 CL51 Cement Lined Ductile Iron FASTITE Pipe</t>
  </si>
  <si>
    <t xml:space="preserve">F197</t>
  </si>
  <si>
    <t xml:space="preserve">16 FAST GRIP Gasket</t>
  </si>
  <si>
    <t xml:space="preserve">F198</t>
  </si>
  <si>
    <t xml:space="preserve">20 X 16 Mechanical Joint C153 Reducer Less Accessories</t>
  </si>
  <si>
    <t xml:space="preserve">F199</t>
  </si>
  <si>
    <t xml:space="preserve">16 Mechanical Joint C153 22-1/2 BEND Less Accessories</t>
  </si>
  <si>
    <t xml:space="preserve">F200</t>
  </si>
  <si>
    <t xml:space="preserve">3 X 20 PVC Schedule 40 BE Conduit Pipe</t>
  </si>
  <si>
    <t xml:space="preserve">F201</t>
  </si>
  <si>
    <t xml:space="preserve">3 PVC Schedule 40 Conduit 36 90 Elbow BE</t>
  </si>
  <si>
    <t xml:space="preserve">F202</t>
  </si>
  <si>
    <t xml:space="preserve">1250 LB Standard MULE Tape</t>
  </si>
  <si>
    <t xml:space="preserve">F203</t>
  </si>
  <si>
    <t xml:space="preserve">20 Ductile Iron Restraint Series 3000 With Accessories</t>
  </si>
  <si>
    <t xml:space="preserve">F204</t>
  </si>
  <si>
    <t xml:space="preserve">16 Ductile Iron Restraint Series 3000 With Accessories</t>
  </si>
  <si>
    <t xml:space="preserve">F205</t>
  </si>
  <si>
    <t xml:space="preserve">36 X .572 STEEL CASING PIPE</t>
  </si>
  <si>
    <t xml:space="preserve">Quoted 'EA' but priced per foot (580 ft)</t>
  </si>
  <si>
    <t xml:space="preserve">F206</t>
  </si>
  <si>
    <t xml:space="preserve">SS MULTI CARRIER CASING SPACER 3.50(2)X17.40X36</t>
  </si>
  <si>
    <t xml:space="preserve">F207</t>
  </si>
  <si>
    <t xml:space="preserve">END SEAL 3.5(2)X17.40X36</t>
  </si>
  <si>
    <t xml:space="preserve">H010</t>
  </si>
  <si>
    <t xml:space="preserve">Pump Suction</t>
  </si>
  <si>
    <t xml:space="preserve">16" X 15' FLG X PE DI SPOOL, CML, BIT, IMPORT</t>
  </si>
  <si>
    <t xml:space="preserve">H011</t>
  </si>
  <si>
    <t xml:space="preserve">16" FL 90 ELBOW DI, AWWA C110, C/L (430 LBS)</t>
  </si>
  <si>
    <t xml:space="preserve">H012</t>
  </si>
  <si>
    <t xml:space="preserve">16" X 4' FLG X FLG DI SPOOL, CML, TN140, IMPORT</t>
  </si>
  <si>
    <t xml:space="preserve">H013</t>
  </si>
  <si>
    <t xml:space="preserve">16" X 10" FL CONCENTRIC REDUCER DI, AWWA C110, C/L W/TNEMEC SERIES TN140 PRIME COATING</t>
  </si>
  <si>
    <t xml:space="preserve">H014</t>
  </si>
  <si>
    <t xml:space="preserve">10" X 8" FL TEE DI, AWWA C110, C/L (254 LBS) W/TNEMEC SERIES TN140 PRIME COATING</t>
  </si>
  <si>
    <t xml:space="preserve">H015</t>
  </si>
  <si>
    <t xml:space="preserve">10" X 2' FLG X FLG DI SPOOL, CML, TN140, IMPORT</t>
  </si>
  <si>
    <t xml:space="preserve">H016</t>
  </si>
  <si>
    <t xml:space="preserve">10" FL TEE DI, AWWA C110, C/L (291 LBS) W/TNEMEC SERIES TN140 PRIME COATING</t>
  </si>
  <si>
    <t xml:space="preserve">H017</t>
  </si>
  <si>
    <t xml:space="preserve">10" X 4'6" FLG X FLG DI SPOOL, CML, TN140, IMPORT</t>
  </si>
  <si>
    <t xml:space="preserve">H018</t>
  </si>
  <si>
    <t xml:space="preserve">16" PLATED BOLT &amp; NUT KIT, A307 GRADE A, (16EA 1" X 4-1/2" BOLT WITH NUT) IMPORT</t>
  </si>
  <si>
    <t xml:space="preserve">H019</t>
  </si>
  <si>
    <t xml:space="preserve">16" 1/8" FULL FACE GASKET, NSF-61 EPDM, 150# DOMESTIC</t>
  </si>
  <si>
    <t xml:space="preserve">H020</t>
  </si>
  <si>
    <t xml:space="preserve">10" PLATED BOLT &amp; NUT KIT, A307 GRADE A, (12EA 7/8" X 4" BOLTS WITH NUTS) IMPORT</t>
  </si>
  <si>
    <t xml:space="preserve">H021</t>
  </si>
  <si>
    <t xml:space="preserve">10" 1/8" FULL FACE GASKET, NSF-61 EPDM, 150# DOMESTIC</t>
  </si>
  <si>
    <t xml:space="preserve">H023</t>
  </si>
  <si>
    <t xml:space="preserve">Pump Discharge</t>
  </si>
  <si>
    <t xml:space="preserve">H024</t>
  </si>
  <si>
    <t xml:space="preserve">H025</t>
  </si>
  <si>
    <t xml:space="preserve">H026</t>
  </si>
  <si>
    <t xml:space="preserve">H027</t>
  </si>
  <si>
    <t xml:space="preserve">H028</t>
  </si>
  <si>
    <t xml:space="preserve">H029</t>
  </si>
  <si>
    <t xml:space="preserve">H030</t>
  </si>
  <si>
    <t xml:space="preserve">16" X 10'6" FLG X FLG DI SPOOL, CML, BIT, IMPORT</t>
  </si>
  <si>
    <t xml:space="preserve">H031</t>
  </si>
  <si>
    <t xml:space="preserve">16" X 12" FL CONCENTRIC REDUCER DI, AWWA C110, C/L (285 LBS)</t>
  </si>
  <si>
    <t xml:space="preserve">H032</t>
  </si>
  <si>
    <t xml:space="preserve">12" FL X FL RESILIENT WEDGE GATE VALVE W/2" OP-NUT AFC MODEL 2512, AWWA C515, NRS</t>
  </si>
  <si>
    <t xml:space="preserve">H033</t>
  </si>
  <si>
    <t xml:space="preserve">12" FL TEE DI, AWWA C110, C/L (385 LBS)</t>
  </si>
  <si>
    <t xml:space="preserve">H034</t>
  </si>
  <si>
    <t xml:space="preserve">12" MJ X FLG RESILIENT WEDGE GATE VALVE, W/2" OP NUT AFC MODEL 2512, AWWA C515, LESS MJ ACC</t>
  </si>
  <si>
    <t xml:space="preserve">H035</t>
  </si>
  <si>
    <t xml:space="preserve">36" VALVE BOX BASE</t>
  </si>
  <si>
    <t xml:space="preserve">H036</t>
  </si>
  <si>
    <t xml:space="preserve">16" CI VALVE BOX TOP SLIP TYPE M-8058 D&amp;L</t>
  </si>
  <si>
    <t xml:space="preserve">H037</t>
  </si>
  <si>
    <t xml:space="preserve">5-1/4" CI VALVE BOX LID MARKED WATER</t>
  </si>
  <si>
    <t xml:space="preserve">H038</t>
  </si>
  <si>
    <t xml:space="preserve">12" EZ GRIP MJ WEDGE RESTRAINT SERIES EZP FOR PVC WITH ACCESSORIES EZPVCUP12 SIP</t>
  </si>
  <si>
    <t xml:space="preserve">H039</t>
  </si>
  <si>
    <t xml:space="preserve">H040</t>
  </si>
  <si>
    <t xml:space="preserve">H041</t>
  </si>
  <si>
    <t xml:space="preserve">12" PLATED BOLT &amp; NUT KIT, A307 GRADE A, (12EA 7/8" X 4" BOLT WITH NUT) IMPORT</t>
  </si>
  <si>
    <t xml:space="preserve">H042</t>
  </si>
  <si>
    <t xml:space="preserve">12" 1/8" FULL FACE GASKET, NSF-61 EPDM, 150# DOMESTIC</t>
  </si>
  <si>
    <t xml:space="preserve">H043</t>
  </si>
  <si>
    <t xml:space="preserve">H044</t>
  </si>
  <si>
    <t xml:space="preserve">H046</t>
  </si>
  <si>
    <t xml:space="preserve">Control Valve Piping</t>
  </si>
  <si>
    <t xml:space="preserve">General Service BFV, 8", CL 150 Lug, DI Body, CF8M Disc, 431SS Shaft, EPDM Seat</t>
  </si>
  <si>
    <t xml:space="preserve">H047</t>
  </si>
  <si>
    <t xml:space="preserve">8" FL 90 ELBOW DI, AWWA C110, C/L (118 LBS) W/TNEMEC SERIES TN140 PRIME COATING</t>
  </si>
  <si>
    <t xml:space="preserve">H048</t>
  </si>
  <si>
    <t xml:space="preserve">8'' Model 131-01 BYKC Electronic Control Valve * Ductile Iron, Globe Pattern Style Body - * ANSI 150 Flanged Ends - * NSF61 Fusion Bonded Epoxy Lined &amp; Coated - * SST Trim and SST Fasteners - * Copper Tubing and Brass Fittings - * 120V Solenoid(s) - * B- CK2 SST Ball Valves - * Y- X43 Y Pattern Strainer - * KC- Epoxy Coating - * D- Check Valves With SST Isolation Valve - * KX Option- X117 Position Transmitter</t>
  </si>
  <si>
    <t xml:space="preserve">H049</t>
  </si>
  <si>
    <t xml:space="preserve">VC-22D CONTROLLER FOR CLA-VAL 131-01</t>
  </si>
  <si>
    <t xml:space="preserve">H050</t>
  </si>
  <si>
    <t xml:space="preserve">8" X 3' FLG X FLG DI SPOOL, CML, TN140, IMPORT</t>
  </si>
  <si>
    <t xml:space="preserve">H051</t>
  </si>
  <si>
    <t xml:space="preserve">H052</t>
  </si>
  <si>
    <t xml:space="preserve">H053</t>
  </si>
  <si>
    <t xml:space="preserve">8" PLATED BOLT &amp; NUT KIT, A307 GRADE A, (8EA 3/4" X 3-1/2" BOLT WITH NUT) IMPORT</t>
  </si>
  <si>
    <t xml:space="preserve">H054</t>
  </si>
  <si>
    <t xml:space="preserve">8" WAFER BFV PLATED BOLT &amp; NUT KIT, A307 GRADE A, 8EA 3/4" X 7" BOLT WITH NUT, 2 WASHERS, IMPORT</t>
  </si>
  <si>
    <t xml:space="preserve">H055</t>
  </si>
  <si>
    <t xml:space="preserve">8" 1/8" FULL FACE GASKET, NSF-61 EPDM, 150# DOMESTIC</t>
  </si>
  <si>
    <t xml:space="preserve">H057</t>
  </si>
  <si>
    <t xml:space="preserve">Air Release</t>
  </si>
  <si>
    <t xml:space="preserve">10" X 2" IP TAPT BLIND FLANGE DI, AWWA C110, (62 LBS) W/TNEMEC SERIES TN140 PRIME COATING</t>
  </si>
  <si>
    <t xml:space="preserve">H058</t>
  </si>
  <si>
    <t xml:space="preserve">2" X 3" SCH 40 GALVANIZED NIPPLE A53 ERW</t>
  </si>
  <si>
    <t xml:space="preserve">H059</t>
  </si>
  <si>
    <t xml:space="preserve">2" X 2" X 1" SCH 40 GALVANIZED TEE IMPORT</t>
  </si>
  <si>
    <t xml:space="preserve">H060</t>
  </si>
  <si>
    <t xml:space="preserve">1" X 3" SCH 40 GALVANIZED NIPPLE A53 ERW</t>
  </si>
  <si>
    <t xml:space="preserve">H061</t>
  </si>
  <si>
    <t xml:space="preserve">1" 316 STAINLESS STEEL BALL VALVE STD PORT THREADED</t>
  </si>
  <si>
    <t xml:space="preserve">H062</t>
  </si>
  <si>
    <t xml:space="preserve">AIR COOLER PIPING BY OTHERS</t>
  </si>
  <si>
    <t xml:space="preserve">N</t>
  </si>
  <si>
    <t xml:space="preserve">NO BID on this line; 'Air cooler piping by others' - no bid</t>
  </si>
  <si>
    <t xml:space="preserve">H063</t>
  </si>
  <si>
    <t xml:space="preserve">H064</t>
  </si>
  <si>
    <t xml:space="preserve">2" 316 STAINLESS STEEL BALL VALVE STD PORT THREADED</t>
  </si>
  <si>
    <t xml:space="preserve">H065</t>
  </si>
  <si>
    <t xml:space="preserve">H066</t>
  </si>
  <si>
    <t xml:space="preserve">2" 145C COMBINATION AIR RELEASE VALVE DI BODY SS TRIM 2" &amp; .094" DOUBLE ORIFICE 300PSI APCO</t>
  </si>
  <si>
    <t xml:space="preserve">H068</t>
  </si>
  <si>
    <t xml:space="preserve">2" SCH 80 GALVANIZED STEEL PIPE, PE, 21' LENGTHS, IMPORT</t>
  </si>
  <si>
    <t xml:space="preserve">H069</t>
  </si>
  <si>
    <t xml:space="preserve">2" SCH 40 GALVANIZED 90 ELBOW IMPORT</t>
  </si>
  <si>
    <t xml:space="preserve">H070</t>
  </si>
  <si>
    <t xml:space="preserve">2" BUG SCREEN W/ CLAMP #14 STAINLESS STEEL MESH</t>
  </si>
  <si>
    <t xml:space="preserve">H071</t>
  </si>
  <si>
    <t xml:space="preserve">H072</t>
  </si>
  <si>
    <t xml:space="preserve">H074</t>
  </si>
  <si>
    <t xml:space="preserve">12" X 7' FLG X FLG DI SPOOL, CML, TN140, IMPORT</t>
  </si>
  <si>
    <t xml:space="preserve">H075</t>
  </si>
  <si>
    <t xml:space="preserve">12" AV-TEK DOUBLE ECCENTRIC BUTTERFLY, 150# FLG, 275 PSI CWP, DI BODY/DISC, FBE LINED/COATED, MOUNTED WITH ROTORK IQT2000 ELECTRIC ACTUATOR</t>
  </si>
  <si>
    <t xml:space="preserve">H076</t>
  </si>
  <si>
    <t xml:space="preserve">12" X 2' FLG X PE DI SPOOL, CML, TN140, IMPORT</t>
  </si>
  <si>
    <t xml:space="preserve">H077</t>
  </si>
  <si>
    <t xml:space="preserve">12" MJ SLEEVE LONG PATTERN DI, AWWA C153, LESS ACCESSORIES (76 LBS)</t>
  </si>
  <si>
    <t xml:space="preserve">H078</t>
  </si>
  <si>
    <t xml:space="preserve">12" X 5'6" FLG X PE DI SPOOL, CML, TN140, IMPORT</t>
  </si>
  <si>
    <t xml:space="preserve">H079</t>
  </si>
  <si>
    <t xml:space="preserve">12" MJ X FL 22-1/2 ELBOW DI, AWWA C153, C/L LESS ACCESSORIES (159 LBS)</t>
  </si>
  <si>
    <t xml:space="preserve">H080</t>
  </si>
  <si>
    <t xml:space="preserve">12" MJ 45 ELBOW DI, AWWA C153, C/L LESS ACCESSORIES (86 LBS)</t>
  </si>
  <si>
    <t xml:space="preserve">H081</t>
  </si>
  <si>
    <t xml:space="preserve">H082</t>
  </si>
  <si>
    <t xml:space="preserve">H083</t>
  </si>
  <si>
    <t xml:space="preserve">H084</t>
  </si>
  <si>
    <t xml:space="preserve">LINK-SEAL LS-575-S EPDM &amp; 316SS FASTENERS</t>
  </si>
  <si>
    <t xml:space="preserve">H086</t>
  </si>
  <si>
    <t xml:space="preserve">16" X 12" MJ BXB REDUCER DI, AWWA C153, C/L LESS ACCESSORIES (125 LBS)</t>
  </si>
  <si>
    <t xml:space="preserve">H087</t>
  </si>
  <si>
    <t xml:space="preserve">12" X 3' FLG X PE DI SPOOL, CML, TN140, IMPORT</t>
  </si>
  <si>
    <t xml:space="preserve">H089</t>
  </si>
  <si>
    <t xml:space="preserve">Basket Strainer &amp; Water Meter - Supplied By Owner No Bid</t>
  </si>
  <si>
    <t xml:space="preserve">FB1700-7-NL 2" MIP X FIP BALLCORP CORP STOP NO-LEAD FORD</t>
  </si>
  <si>
    <t xml:space="preserve">H090</t>
  </si>
  <si>
    <t xml:space="preserve">2" SCH 80 PVC MALE ADAPTER SXT</t>
  </si>
  <si>
    <t xml:space="preserve">H091</t>
  </si>
  <si>
    <t xml:space="preserve">2" SCH 80 IPS PVC PIPE 20' LENGTH</t>
  </si>
  <si>
    <t xml:space="preserve">H092</t>
  </si>
  <si>
    <t xml:space="preserve">2" SCH 80 PVC 45 ELBOW SXS</t>
  </si>
  <si>
    <t xml:space="preserve">H093</t>
  </si>
  <si>
    <t xml:space="preserve">12" X 1'6" FLG X PE DI SPOOL, CML, TN140, IMPORT</t>
  </si>
  <si>
    <t xml:space="preserve">H094</t>
  </si>
  <si>
    <t xml:space="preserve">H095</t>
  </si>
  <si>
    <t xml:space="preserve">12" X 4' PE X PE DI SPOOL, CML, TN140, IMPORT</t>
  </si>
  <si>
    <t xml:space="preserve">H096</t>
  </si>
  <si>
    <t xml:space="preserve">H097</t>
  </si>
  <si>
    <t xml:space="preserve">16" EZ GRIP MJ WEDGE RESTRAINT SERIES EZP FOR PVC WITH ACCESSORIES EZPVCP16 SIP</t>
  </si>
  <si>
    <t xml:space="preserve">H098</t>
  </si>
  <si>
    <t xml:space="preserve">H099</t>
  </si>
  <si>
    <t xml:space="preserve">H100</t>
  </si>
  <si>
    <t xml:space="preserve">H101</t>
  </si>
  <si>
    <t xml:space="preserve">H102</t>
  </si>
  <si>
    <t xml:space="preserve">ZURN Z-520Y-4NH FLOOR DRAIN</t>
  </si>
  <si>
    <t xml:space="preserve">H104</t>
  </si>
  <si>
    <t xml:space="preserve">Drain Piping</t>
  </si>
  <si>
    <t xml:space="preserve">4" SCH 80 IPS PVC PIPE 20' LENGTH</t>
  </si>
  <si>
    <t xml:space="preserve">H105</t>
  </si>
  <si>
    <t xml:space="preserve">4" CL 51 DI PIPE TJ 18.25' LENGTH ASPHALTIC COATED ANSI/AWWA C151/A21.51 AND CEMENT LINED ANSI/AWWA C104/A21.4 WITH SBR GASKET</t>
  </si>
  <si>
    <t xml:space="preserve">H106</t>
  </si>
  <si>
    <t xml:space="preserve">H107</t>
  </si>
  <si>
    <t xml:space="preserve">4" SCH 80 PVC CROSS, SXSXSXS</t>
  </si>
  <si>
    <t xml:space="preserve">H108</t>
  </si>
  <si>
    <t xml:space="preserve">4" SCH 80 PVC TEE SXSXS</t>
  </si>
  <si>
    <t xml:space="preserve">H109</t>
  </si>
  <si>
    <t xml:space="preserve">4" SCH 80 PVC 90 ELBOW SXS</t>
  </si>
  <si>
    <t xml:space="preserve">H110</t>
  </si>
  <si>
    <t xml:space="preserve">4" SCH 80 PVC 45 ELBOW SXS</t>
  </si>
  <si>
    <t xml:space="preserve">H111</t>
  </si>
  <si>
    <t xml:space="preserve">4" SCH 80 PVC COUPLING SXS</t>
  </si>
  <si>
    <t xml:space="preserve">H112</t>
  </si>
  <si>
    <t xml:space="preserve">4" X 2" SCH 80 PVC BUSHING SXS</t>
  </si>
  <si>
    <t xml:space="preserve">H113</t>
  </si>
  <si>
    <t xml:space="preserve">4" MACRO TWO-BOLT WIDE RANGE COUPLING 4.40 - 5.60 EPOXY L&amp;C EPDM GASKET 304SS B&amp;N HP (HIGH PERFORMANCE) ROMAC</t>
  </si>
  <si>
    <t xml:space="preserve">H114</t>
  </si>
  <si>
    <t xml:space="preserve">2" SCH 80 PVC 90 ELBOW SXS</t>
  </si>
  <si>
    <t xml:space="preserve">H115</t>
  </si>
  <si>
    <t xml:space="preserve">4" BUG SCREEN W/ CLAMP #14 STAINLESS STEEL MESH</t>
  </si>
  <si>
    <t xml:space="preserve">H116</t>
  </si>
  <si>
    <t xml:space="preserve">H117</t>
  </si>
  <si>
    <t xml:space="preserve">4" CI/PL STRONG BACK RC COUPLING 5056-44RC FERNCO</t>
  </si>
  <si>
    <t xml:space="preserve">H118</t>
  </si>
  <si>
    <t xml:space="preserve">H119</t>
  </si>
  <si>
    <t xml:space="preserve">6" CL235 DR18 C900 GASKETED PVC PIPE 20' LENGTH</t>
  </si>
  <si>
    <t xml:space="preserve">H120</t>
  </si>
  <si>
    <t xml:space="preserve">6" EZ GRIP PIPE TO PIPE BELL RESTRAINTS FOR C900/C905 PTPVC06 SIP</t>
  </si>
  <si>
    <t xml:space="preserve">TBD</t>
  </si>
  <si>
    <t xml:space="preserve">'***' - qty left to contractor; priced at 1 unit for the unit-price comparison; NOT in the quote total</t>
  </si>
  <si>
    <t xml:space="preserve">H121</t>
  </si>
  <si>
    <t xml:space="preserve">12 GA BLUE WIRE 500' ROLL</t>
  </si>
  <si>
    <t xml:space="preserve">Priced per 500' roll; qty basis converted to feet</t>
  </si>
  <si>
    <t xml:space="preserve">H122</t>
  </si>
  <si>
    <t xml:space="preserve">3" DETECTABLE TAPE WATER BLUE 1000' ROLL</t>
  </si>
  <si>
    <t xml:space="preserve">H123</t>
  </si>
  <si>
    <t xml:space="preserve">POLYWRAP BAG FOR 4", 6" &amp; 8" X 18' LONG PIPE, 20" WIDTH, 20' SECTIONS, 8 MIL</t>
  </si>
  <si>
    <t xml:space="preserve">H124</t>
  </si>
  <si>
    <t xml:space="preserve">2" X 100' POLY WRAP TAPE 10 MIL.</t>
  </si>
  <si>
    <t xml:space="preserve">H125</t>
  </si>
  <si>
    <t xml:space="preserve">KEYSTONE NEVASTANE HD2T FOOD GRADE GREASE 42LB PAIL</t>
  </si>
  <si>
    <t xml:space="preserve">H127</t>
  </si>
  <si>
    <t xml:space="preserve">GRANULAR CHLORINE (HTH), 5 LB JUG *HAZARDOUS MATERIAL*</t>
  </si>
  <si>
    <t xml:space="preserve">H128</t>
  </si>
  <si>
    <t xml:space="preserve">16" CL235 DR18 C900 GASKETED PVC PIPE 20' LENGTH</t>
  </si>
  <si>
    <t xml:space="preserve">H129</t>
  </si>
  <si>
    <t xml:space="preserve">16" EZ GRIP PIPE TO PIPE BELL RESTRAINTS FOR C900/C905 PTPVC16 SIP</t>
  </si>
  <si>
    <t xml:space="preserve">H130</t>
  </si>
  <si>
    <t xml:space="preserve">H131</t>
  </si>
  <si>
    <t xml:space="preserve">H132</t>
  </si>
  <si>
    <t xml:space="preserve">16" MJ SLEEVE LONG PATTERN DI, AWWA C153, LESS ACCESSORIES (172 LBS)</t>
  </si>
  <si>
    <t xml:space="preserve">H133</t>
  </si>
  <si>
    <t xml:space="preserve">16" MJ CAP DI, SSB, AWWA C153, LESS ACCESSORIES (93 LBS)</t>
  </si>
  <si>
    <t xml:space="preserve">H134</t>
  </si>
  <si>
    <t xml:space="preserve">H135</t>
  </si>
  <si>
    <t xml:space="preserve">POLYWRAP BAG FOR 14" TO 18" X 18' PIPE,37" WIDTH, 20' SECTIONS, 8 MIL</t>
  </si>
  <si>
    <t xml:space="preserve">H136</t>
  </si>
  <si>
    <t xml:space="preserve">H137</t>
  </si>
  <si>
    <t xml:space="preserve">H139</t>
  </si>
  <si>
    <t xml:space="preserve">H140</t>
  </si>
  <si>
    <t xml:space="preserve">12" CL235 DR18 C900 GASKETED PVC PIPE 20' LENGTH</t>
  </si>
  <si>
    <t xml:space="preserve">H141</t>
  </si>
  <si>
    <t xml:space="preserve">12" EZ GRIP PIPE TO PIPE BELL RESTRAINTS FOR C900/C905 PTPVC12 SIP</t>
  </si>
  <si>
    <t xml:space="preserve">H142</t>
  </si>
  <si>
    <t xml:space="preserve">H143</t>
  </si>
  <si>
    <t xml:space="preserve">H144</t>
  </si>
  <si>
    <t xml:space="preserve">12" MJ X FL ADAPTER DI, AWWA C153, C/L LESS ACCESSORIES (80 LBS)</t>
  </si>
  <si>
    <t xml:space="preserve">H145</t>
  </si>
  <si>
    <t xml:space="preserve">H146</t>
  </si>
  <si>
    <t xml:space="preserve">H147</t>
  </si>
  <si>
    <t xml:space="preserve">H148</t>
  </si>
  <si>
    <t xml:space="preserve">H149</t>
  </si>
  <si>
    <t xml:space="preserve">H150</t>
  </si>
  <si>
    <t xml:space="preserve">H152</t>
  </si>
  <si>
    <t xml:space="preserve">H153</t>
  </si>
  <si>
    <t xml:space="preserve">6" MJ X FLG RESILIENT WEDGE GATE VALVE, W/2" OP NUT AFC MODEL 2506, AWWA C515, LESS MJ ACC</t>
  </si>
  <si>
    <t xml:space="preserve">H154</t>
  </si>
  <si>
    <t xml:space="preserve">H155</t>
  </si>
  <si>
    <t xml:space="preserve">H156</t>
  </si>
  <si>
    <t xml:space="preserve">5-1/4" CI VALVE BOX LID MARKED FIRE M-8044 D&amp;L</t>
  </si>
  <si>
    <t xml:space="preserve">H157</t>
  </si>
  <si>
    <t xml:space="preserve">6" EZ GRIP MJ WEDGE RESTRAINT SERIES EZP FOR PVC WITH ACCESSORIES EZPVCUP06 SIP</t>
  </si>
  <si>
    <t xml:space="preserve">H158</t>
  </si>
  <si>
    <t xml:space="preserve">6" PLATED BOLT &amp; NUT KIT, A307 GRADE A, (8EA 3/4" X 3-1/2" BOLT WITH NUT) IMPORT</t>
  </si>
  <si>
    <t xml:space="preserve">H159</t>
  </si>
  <si>
    <t xml:space="preserve">6" 1/8" FULL FACE GASKET, NSF-61 EPDM, 150# DOMESTIC</t>
  </si>
  <si>
    <t xml:space="preserve">H160</t>
  </si>
  <si>
    <t xml:space="preserve">8" MJ X FLG RESILIENT WEDGE GATE VALVE, W/2" OP NUT AFC MODEL 2508, AWWA C515, LESS MJ ACC</t>
  </si>
  <si>
    <t xml:space="preserve">H161</t>
  </si>
  <si>
    <t xml:space="preserve">H162</t>
  </si>
  <si>
    <t xml:space="preserve">H163</t>
  </si>
  <si>
    <t xml:space="preserve">H164</t>
  </si>
  <si>
    <t xml:space="preserve">8" EZ GRIP MJ WEDGE RESTRAINT SERIES EZP FOR PVC WITH ACCESSORIES EZPVCUP08 SIP</t>
  </si>
  <si>
    <t xml:space="preserve">H165</t>
  </si>
  <si>
    <t xml:space="preserve">H166</t>
  </si>
  <si>
    <t xml:space="preserve">H167</t>
  </si>
  <si>
    <t xml:space="preserve">H168</t>
  </si>
  <si>
    <t xml:space="preserve">H169</t>
  </si>
  <si>
    <t xml:space="preserve">H170</t>
  </si>
  <si>
    <t xml:space="preserve">H171</t>
  </si>
  <si>
    <t xml:space="preserve">H172</t>
  </si>
  <si>
    <t xml:space="preserve">H173</t>
  </si>
  <si>
    <t xml:space="preserve">H174</t>
  </si>
  <si>
    <t xml:space="preserve">16" MJ X FLG BUTTERFLY VALVE, M&amp;H #4500-13, CL150B, AWWA C504, LESS MJ ACCESSORIES, FUSION BONDED EPOXY COATED IN AND OUT * AIS COMPLIANT * (645 LBS)</t>
  </si>
  <si>
    <t xml:space="preserve">H175</t>
  </si>
  <si>
    <t xml:space="preserve">H176</t>
  </si>
  <si>
    <t xml:space="preserve">H177</t>
  </si>
  <si>
    <t xml:space="preserve">H178</t>
  </si>
  <si>
    <t xml:space="preserve">H179</t>
  </si>
  <si>
    <t xml:space="preserve">16" BFV FLANGE PLATED BOLT &amp; NUT KIT, A307 GRADE A , (12) 1" X 4-1/2" BOLT WITH NUT &amp; (4) 1" X 3" CAP SCREW, IMPORT</t>
  </si>
  <si>
    <t xml:space="preserve">H180</t>
  </si>
  <si>
    <t xml:space="preserve">H181</t>
  </si>
  <si>
    <t xml:space="preserve">12" MJ 11-1/4 ELBOW DI, AWWA C153, C/L LESS ACCESSORIES (79 LBS)</t>
  </si>
  <si>
    <t xml:space="preserve">H182</t>
  </si>
  <si>
    <t xml:space="preserve">H183</t>
  </si>
  <si>
    <t xml:space="preserve">H184</t>
  </si>
  <si>
    <t xml:space="preserve">H185</t>
  </si>
  <si>
    <t xml:space="preserve">12" X 6" FL TEE DI, AWWA C110, C/L (295 LBS)</t>
  </si>
  <si>
    <t xml:space="preserve">H186</t>
  </si>
  <si>
    <t xml:space="preserve">16" X 6" FL TEE DI, AWWA C110, C/L (540 LBS)</t>
  </si>
  <si>
    <t xml:space="preserve">H187</t>
  </si>
  <si>
    <t xml:space="preserve">16" X 6" MJ X FL TEE DI, AWWA C153, C/L LESS ACCESSORIES (239 LBS)</t>
  </si>
  <si>
    <t xml:space="preserve">H188</t>
  </si>
  <si>
    <t xml:space="preserve">H189</t>
  </si>
  <si>
    <t xml:space="preserve">16" X 12" FL TEE DI, AWWA C110, C/L (590 LBS)</t>
  </si>
  <si>
    <t xml:space="preserve">H190</t>
  </si>
  <si>
    <t xml:space="preserve">36" X 24" MJ X FLG DI TEE, CML, BIT, IMPORT</t>
  </si>
  <si>
    <t xml:space="preserve">H191</t>
  </si>
  <si>
    <t xml:space="preserve">36" CL51 TYTON JOINT DI PIPE, CML, AC, 18.25' LENGTHS</t>
  </si>
  <si>
    <t xml:space="preserve">H192</t>
  </si>
  <si>
    <t xml:space="preserve">36" MJ LONG SLEEVE PATTERN, AWWA C153, C/L LESS ACCESSORIES</t>
  </si>
  <si>
    <t xml:space="preserve">H193</t>
  </si>
  <si>
    <t xml:space="preserve">36" EZ GRIP MJ RESTRAINT KIT FOR DI, STD HRDWR</t>
  </si>
  <si>
    <t xml:space="preserve">H194</t>
  </si>
  <si>
    <t xml:space="preserve">16" FL CROSS DI, AWWA C110, C/L</t>
  </si>
  <si>
    <t xml:space="preserve">H195</t>
  </si>
  <si>
    <t xml:space="preserve">8" X 6" MJ SEB REDUCER DI, AWWA C153, C/L LESS ACCESSORIES (37 LBS)</t>
  </si>
  <si>
    <t xml:space="preserve">H196</t>
  </si>
  <si>
    <t xml:space="preserve">H197</t>
  </si>
  <si>
    <t xml:space="preserve">16" X 6" FL CONCENTRIC REDUCER DI, AWWA C110, C/L</t>
  </si>
  <si>
    <t xml:space="preserve">H198</t>
  </si>
  <si>
    <t xml:space="preserve">H199</t>
  </si>
  <si>
    <t xml:space="preserve">H200</t>
  </si>
  <si>
    <t xml:space="preserve">16" X 8" FL CONCENTRIC REDUCER DI, AWWA C110, C/L (230 LBS)</t>
  </si>
  <si>
    <t xml:space="preserve">H201</t>
  </si>
  <si>
    <t xml:space="preserve">H202</t>
  </si>
  <si>
    <t xml:space="preserve">H203</t>
  </si>
  <si>
    <t xml:space="preserve">H204</t>
  </si>
  <si>
    <t xml:space="preserve">H205</t>
  </si>
  <si>
    <t xml:space="preserve">H206</t>
  </si>
  <si>
    <t xml:space="preserve">24" X 16" FL CONCENTRIC REDUCER DI, AWWA C110, C/L</t>
  </si>
  <si>
    <t xml:space="preserve">H207</t>
  </si>
  <si>
    <t xml:space="preserve">24" PLATED BOLT &amp; NUT KIT, A307 GRADE A, (20EA 1-1/4" X 5-1/2" BOLT WITH NUT) IMPORT</t>
  </si>
  <si>
    <t xml:space="preserve">H208</t>
  </si>
  <si>
    <t xml:space="preserve">24" 1/8" FULL FACE GASKET, NSF-61 EPDM, 150# DOMESTIC</t>
  </si>
  <si>
    <t xml:space="preserve">H209</t>
  </si>
  <si>
    <t xml:space="preserve">5'6" BURY, UTAH SPEC WATEROUS PACER WB67-250 FIRE HYDRANT, 5-1/4" MVO, 10" TRAFFIC SECTION, 4.5" NST PN, 1-1/2" PONOL, WITH CI TRAFFIC FLANGE, RED, MJ BOOT, LESS MJ ACC * AWWA (NOT UL/FM) *</t>
  </si>
  <si>
    <t xml:space="preserve">H210</t>
  </si>
  <si>
    <t xml:space="preserve">5'6" BURY, UTAH SPEC WATEROUS PACER WB67-250 FIRE HYDRANT, 5-1/4" MVO, 10" TRAFFIC SECTION, 4.5" NST PN, 1-1/2" PONOL, WITH CI TRAFFIC FLANGE, RED, FLANGED BOOT * AWWA (NOT UL/FM) *</t>
  </si>
  <si>
    <t xml:space="preserve">H211</t>
  </si>
  <si>
    <t xml:space="preserve">H212</t>
  </si>
  <si>
    <t xml:space="preserve">16" X 2" IP ROMAC 305 SS SADDLE</t>
  </si>
  <si>
    <t xml:space="preserve">H213</t>
  </si>
  <si>
    <t xml:space="preserve">13.20 X 2" IP 306SS SADDLE 12.75 - 13.20 ROMAC</t>
  </si>
  <si>
    <t xml:space="preserve">H214</t>
  </si>
  <si>
    <t xml:space="preserve">2" X 3" SCH 40 BRASS NIPPLE IMPORT</t>
  </si>
  <si>
    <t xml:space="preserve">H215</t>
  </si>
  <si>
    <t xml:space="preserve">2" BRASS BALL VALVE THREADED NO-LEAD</t>
  </si>
  <si>
    <t xml:space="preserve">H216</t>
  </si>
  <si>
    <t xml:space="preserve">H217</t>
  </si>
  <si>
    <t xml:space="preserve">H218</t>
  </si>
  <si>
    <t xml:space="preserve">H219</t>
  </si>
  <si>
    <t xml:space="preserve">H220</t>
  </si>
  <si>
    <t xml:space="preserve">H221</t>
  </si>
  <si>
    <t xml:space="preserve">2" GRAY UNION SXS 235PSI</t>
  </si>
  <si>
    <t xml:space="preserve">H222</t>
  </si>
  <si>
    <t xml:space="preserve">H223</t>
  </si>
  <si>
    <t xml:space="preserve">H224</t>
  </si>
  <si>
    <t xml:space="preserve">6.90 X 1" IP 304SS SADDLE 6.63 - 6.90 ROMAC</t>
  </si>
  <si>
    <t xml:space="preserve">H225</t>
  </si>
  <si>
    <t xml:space="preserve">FB1101-3Q-NL 3/4" MIP X PEP QUICK JOINT BALLCORP CORP STOP NO-LEAD FORD</t>
  </si>
  <si>
    <t xml:space="preserve">H226</t>
  </si>
  <si>
    <t xml:space="preserve">3/4" IPS STIFFENER #71 FORD</t>
  </si>
  <si>
    <t xml:space="preserve">H227</t>
  </si>
  <si>
    <t xml:space="preserve">3/4" IPS BLUE SIDR-7 250 PSI POLY PIPE 100' ROLL BLUE OUTSIDE</t>
  </si>
  <si>
    <t xml:space="preserve">H228</t>
  </si>
  <si>
    <t xml:space="preserve">H229</t>
  </si>
  <si>
    <t xml:space="preserve">C86-33Q-NL 3/4" MIP X PEP QUICK JOINT COUPLING NO-LEAD FORD</t>
  </si>
  <si>
    <t xml:space="preserve">H230</t>
  </si>
  <si>
    <t xml:space="preserve">VBHC72-18W-11-33-NL 5/8" X 3/4" ANGLE BALL VALVE X ANGLE CARTRIDGE DUAL CHECK VALVE 3/4" DUAL PURPOSE SWIVEL IN AND OUT METER SETTER 18" HIGH NO-LEAD FORD</t>
  </si>
  <si>
    <t xml:space="preserve">H231</t>
  </si>
  <si>
    <t xml:space="preserve">13" X 20" X 6" HDPE JUMBO METER BOX EXTENSION BLACK 12203002 CARSON</t>
  </si>
  <si>
    <t xml:space="preserve">H232</t>
  </si>
  <si>
    <t xml:space="preserve">13" X 20" X 12" HDPE VALVE BOX BODY &amp; COVER GREEN MARKED "ICV" 12201014 CARSON</t>
  </si>
  <si>
    <t xml:space="preserve">H233</t>
  </si>
  <si>
    <t xml:space="preserve">H234</t>
  </si>
  <si>
    <t xml:space="preserve">2" X 3/4" BRASS BELL REDUCER IMPORT NO-LEAD</t>
  </si>
  <si>
    <t xml:space="preserve">H235</t>
  </si>
  <si>
    <t xml:space="preserve">2" X 12" SCH 40 BRASS NIPPLE IMPORT</t>
  </si>
  <si>
    <t xml:space="preserve">H236</t>
  </si>
  <si>
    <t xml:space="preserve">2" MACRO TWO-BOLT WIDE RANGE COUPLING, 2.12 - 2.90 EPOXY L&amp;C EPDM GASKET 304SS B&amp;N HP (HIGH PERFORMANCE) ROMAC</t>
  </si>
  <si>
    <t xml:space="preserve">H237</t>
  </si>
  <si>
    <t xml:space="preserve">16" CL51 TYTON JOINT DI PIPE, CML, AC, 18.25' LENGTHS</t>
  </si>
  <si>
    <t xml:space="preserve">H238</t>
  </si>
  <si>
    <t xml:space="preserve">16" EZ GRIP BELL RESTRAINT FOR DI PIPE</t>
  </si>
  <si>
    <t xml:space="preserve">H239</t>
  </si>
  <si>
    <t xml:space="preserve">3" GRAY SCH 40 PVC CONDUIT BE, 20' LENGTH</t>
  </si>
  <si>
    <t xml:space="preserve">H240</t>
  </si>
  <si>
    <t xml:space="preserve">20" X 16" MJ BXB REDUCER DI, AWWA C153, C/L LESS ACCESSORIES</t>
  </si>
  <si>
    <t xml:space="preserve">H241</t>
  </si>
  <si>
    <t xml:space="preserve">16" MJ X FLG DI 22.5 BEND, CML, BIT, IMPORT</t>
  </si>
  <si>
    <t xml:space="preserve">H242</t>
  </si>
  <si>
    <t xml:space="preserve">16" MJ 22-1/2 ELBOW DI, AWWA C153, C/L LESS ACCESSORIES (179 LBS)</t>
  </si>
  <si>
    <t xml:space="preserve">H243</t>
  </si>
  <si>
    <t xml:space="preserve">3" X 36" SCH 40 CONDUIT SWEEP 22 ELBOW BXSP</t>
  </si>
  <si>
    <t xml:space="preserve">H244</t>
  </si>
  <si>
    <t xml:space="preserve">20" EZ GRIP MJ WEDGE RESTRAINT SERIES EZD FOR DIP WITH ACCESSORIES EZDP20 SIP</t>
  </si>
  <si>
    <t xml:space="preserve">H245</t>
  </si>
  <si>
    <t xml:space="preserve">16" EZ GRIP MJ WEDGE RESTRAINT SERIES EZD FOR DIP WITH ACCESSORIES EZDP16 SIP</t>
  </si>
  <si>
    <t xml:space="preserve">H246</t>
  </si>
  <si>
    <t xml:space="preserve">POLYWRAP BAG FOR 20" &amp; 24" X 18' LONG PIPE, 54" WIDTH, 20' SECTIONS, 8 MIL</t>
  </si>
  <si>
    <t xml:space="preserve">H247</t>
  </si>
  <si>
    <t xml:space="preserve">H248</t>
  </si>
  <si>
    <t xml:space="preserve">H250</t>
  </si>
  <si>
    <t xml:space="preserve">H252</t>
  </si>
  <si>
    <t xml:space="preserve">36" A53B .562" WALL STEEL CASING, IMPORT</t>
  </si>
  <si>
    <t xml:space="preserve">NO BID on this line</t>
  </si>
  <si>
    <t xml:space="preserve">H253</t>
  </si>
  <si>
    <t xml:space="preserve">CASING SPACERS</t>
  </si>
  <si>
    <t xml:space="preserve">PRICE TO FOLLOW - not priced</t>
  </si>
  <si>
    <t xml:space="preserve">H254</t>
  </si>
  <si>
    <t xml:space="preserve">CASING END SEALS</t>
  </si>
  <si>
    <t xml:space="preserve">H256</t>
  </si>
  <si>
    <t xml:space="preserve">20" X 2" IP ROMAC 305 SS SADDLE</t>
  </si>
  <si>
    <t xml:space="preserve">H257</t>
  </si>
  <si>
    <t xml:space="preserve">2" BRASS 90 STREET ELBOW IMPORT NO-LEAD</t>
  </si>
  <si>
    <t xml:space="preserve">H258</t>
  </si>
  <si>
    <t xml:space="preserve">FB1100-7Q-NL 2" MIP X CTS QUICK JOINT BALLCORP CORP STOP NO-LEAD FORD</t>
  </si>
  <si>
    <t xml:space="preserve">H259</t>
  </si>
  <si>
    <t xml:space="preserve">2" CTS STIFFENER #55 FORD</t>
  </si>
  <si>
    <t xml:space="preserve">H261</t>
  </si>
  <si>
    <t xml:space="preserve">2" CTS BLUE SDR-9 250 PSI POLY PIPE 100' ROLL BLUE OUTSIDE</t>
  </si>
  <si>
    <t xml:space="preserve">H262</t>
  </si>
  <si>
    <t xml:space="preserve">C84-77Q-NL 2" MIP X CTS QUICK JOINT COUPLING NO-LEAD FORD</t>
  </si>
  <si>
    <t xml:space="preserve">H263</t>
  </si>
  <si>
    <t xml:space="preserve">Item MISC</t>
  </si>
  <si>
    <t xml:space="preserve">ESTIMATED SUBMITTAL PACKET FEE</t>
  </si>
  <si>
    <t xml:space="preserve">H264</t>
  </si>
  <si>
    <t xml:space="preserve">ESTIMATED OUTBOUND FREIGHT CHARGE</t>
  </si>
  <si>
    <t xml:space="preserve">M192</t>
  </si>
  <si>
    <t xml:space="preserve">16x12 IMP DI MJ RED AB CL/TC L/ACCY C153 - CEMENT LINED/TAR COATED - MECHANICAL JOINT - ALL BELL REDUCER DUCTILE IRON - IMPORT</t>
  </si>
  <si>
    <t xml:space="preserve">ea</t>
  </si>
  <si>
    <t xml:space="preserve">M193</t>
  </si>
  <si>
    <t xml:space="preserve">FORD UFR1500-CA-16-I 16 MJ PVC C900 M/L w/ACCY PACK - RESTRAINT - IMPO RT - ACCESSORY - 17.40</t>
  </si>
  <si>
    <t xml:space="preserve">M195</t>
  </si>
  <si>
    <t xml:space="preserve">FORD UFR1400-DA-16-I 16 DI M/L w/AC CY PACK - RESTRAINT - IMPORT - ACCE SSORY - FOR DUCTILE IRON PIPE - 17. 40</t>
  </si>
  <si>
    <t xml:space="preserve">M194</t>
  </si>
  <si>
    <t xml:space="preserve">FORD UFR1400-DA-12-I 12 DI M/L w/AC CY PACK - RESTRAINT - IMPORT - ACCE SSORY - FOR DUCTILE IRON PIPE - 13. 20</t>
  </si>
  <si>
    <t xml:space="preserve">M196</t>
  </si>
  <si>
    <t xml:space="preserve">S-9212 12IN PIPE SUPPORT - ZINC PLATED</t>
  </si>
  <si>
    <t xml:space="preserve">M198</t>
  </si>
  <si>
    <t xml:space="preserve">12 x 4FT-0 DI FLG x PE SPOOL 125# DUCTILE IRON FLANGED x PLAIN END</t>
  </si>
  <si>
    <t xml:space="preserve">M199</t>
  </si>
  <si>
    <t xml:space="preserve">12 x 1FT-6 DI FLG x PE SPOOL 125# DUCTILE IRON FLANGED x PLAIN END **NS**</t>
  </si>
  <si>
    <t xml:space="preserve">M200</t>
  </si>
  <si>
    <t xml:space="preserve">12xLG IMP DI MJ SLEEVE TC L/ACCY C153 - LONG - TAR COATED - MECHANICAL JOINT - DUCTILE IRON - IMPORT</t>
  </si>
  <si>
    <t xml:space="preserve">M201</t>
  </si>
  <si>
    <t xml:space="preserve">12 150# FLG BOLT PACK 1/8 RRRG ZINC - RED RUBBER - RING ZINC BOLTS/NUTS S2BZ0F/12015RR2</t>
  </si>
  <si>
    <t xml:space="preserve">M202</t>
  </si>
  <si>
    <t xml:space="preserve">2 x 3 BRASS NIPPLE</t>
  </si>
  <si>
    <t xml:space="preserve">M203</t>
  </si>
  <si>
    <t xml:space="preserve">FORD B11-777-NL 2 CURB STOP FIP</t>
  </si>
  <si>
    <t xml:space="preserve">M204</t>
  </si>
  <si>
    <t xml:space="preserve">2" MCMASTER-CARR 9877K5116 STRAINER W/14# 304 SS MESH SCREEN **NS**</t>
  </si>
  <si>
    <t xml:space="preserve">M205</t>
  </si>
  <si>
    <t xml:space="preserve">2 PVC SCH80 PIPE PE 400psi I.D.1.913 O.D. 2.375</t>
  </si>
  <si>
    <t xml:space="preserve">ft</t>
  </si>
  <si>
    <t xml:space="preserve">M206</t>
  </si>
  <si>
    <t xml:space="preserve">817-020 2 PVC S80 SS 45 ELBOW SLIPxSLIP</t>
  </si>
  <si>
    <t xml:space="preserve">M207</t>
  </si>
  <si>
    <t xml:space="preserve">16IN x 1FT--0IN WALL SLEEVE (12IN PIPE) HDG **NS**</t>
  </si>
  <si>
    <t xml:space="preserve">M208</t>
  </si>
  <si>
    <t xml:space="preserve">LS-360-C LINK SEAL EPDM STD B&amp;N</t>
  </si>
  <si>
    <t xml:space="preserve">M215</t>
  </si>
  <si>
    <t xml:space="preserve">M216</t>
  </si>
  <si>
    <t xml:space="preserve">FORD UFR1500-CA-12-I 12 MJ PVC C900 M/L w/ACCY PACK - RESTRAINT IMPORT - ACCESSORY - 13.20</t>
  </si>
  <si>
    <t xml:space="preserve">M217</t>
  </si>
  <si>
    <t xml:space="preserve">M224</t>
  </si>
  <si>
    <t xml:space="preserve">16 x 15FT-0 DI FLG x PE SPOOL 125# DUCTILE IRON FLANGED x PLAIN END SPOOL **NS**</t>
  </si>
  <si>
    <t xml:space="preserve">M223</t>
  </si>
  <si>
    <t xml:space="preserve">16 x 9FT-0 DI FLG x PE SPOOL 125# DUCTILE IRON FLANGED x PLAIN END SPOOL **NS**</t>
  </si>
  <si>
    <t xml:space="preserve">M225</t>
  </si>
  <si>
    <t xml:space="preserve">16 IMP DI FLG 90 ELL CL/TC - CEMENT LINED/TAR COATED - FLANGED ELBOW - DUCTILE IRON - IMPORT</t>
  </si>
  <si>
    <t xml:space="preserve">M226</t>
  </si>
  <si>
    <t xml:space="preserve">16 x 5FT-0 DI FLG x FLG SPOOL 125# DUCTILE IRON FLANGED x FLANGED **NS**</t>
  </si>
  <si>
    <t xml:space="preserve">M227</t>
  </si>
  <si>
    <t xml:space="preserve">16 x 4FT-0 DI FLG x FLG SPOOL 125# DUCTILE IRON FLANGED x FLANGED **NS**</t>
  </si>
  <si>
    <t xml:space="preserve">M228</t>
  </si>
  <si>
    <t xml:space="preserve">16x10 IMP DI FLG CON RED CL/TC - CEMENT LINED/TAR COATED - FLANGED CONCENTRIC REDCUCER - DUCTILE IRON IMPORT</t>
  </si>
  <si>
    <t xml:space="preserve">M229</t>
  </si>
  <si>
    <t xml:space="preserve">16 150# FLG BOLT PACK 1/8 RRRG ZINC - RED RUBBER - RING ZINC BOLTS/NUTS S2BZ0F/16015RR2</t>
  </si>
  <si>
    <t xml:space="preserve">M230</t>
  </si>
  <si>
    <t xml:space="preserve">10x8 IMP DI FLG TEE CL/TC - CEMENT LINED/TAR COATED - FLANGED - DUCTILE IRON - IMPORT</t>
  </si>
  <si>
    <t xml:space="preserve">M231</t>
  </si>
  <si>
    <t xml:space="preserve">10 x 1FT-0 DI FLG x FLG SPOOL 125# DUCTILE IRON FLANGED x FLANGED</t>
  </si>
  <si>
    <t xml:space="preserve">M232</t>
  </si>
  <si>
    <t xml:space="preserve">10 IMP DI FLG TEE CL/TC - CEMENT LINED/TAR COATED - FLANGED - DUCTILE IRON - IMPORT</t>
  </si>
  <si>
    <t xml:space="preserve">M233</t>
  </si>
  <si>
    <t xml:space="preserve">10x2 IMP DI FLANGE TAPT TC - TAR COATED - DUCTILE IRON IMPORT</t>
  </si>
  <si>
    <t xml:space="preserve">M234</t>
  </si>
  <si>
    <t xml:space="preserve">10 150# FLG BOLT PACK 1/8 RRRG ZINC - RED RUBBER - RING ZINC BOLTS/NUTS S2BZ0F/10015RR2</t>
  </si>
  <si>
    <t xml:space="preserve">M235</t>
  </si>
  <si>
    <t xml:space="preserve">10 x 3FT-0 DI FLG x FLG SPOOL 125# DUCTILE IRON FLANGED x FLANGED</t>
  </si>
  <si>
    <t xml:space="preserve">M272</t>
  </si>
  <si>
    <t xml:space="preserve">BLINE B-3690-10 J HANGER **NS**</t>
  </si>
  <si>
    <t xml:space="preserve">M237</t>
  </si>
  <si>
    <t xml:space="preserve">FRE F085-080-10 8 BFV GEAR OP W/HDW WAFER STYLE uses (8) 3/4 N&amp;B</t>
  </si>
  <si>
    <t xml:space="preserve">M238</t>
  </si>
  <si>
    <t xml:space="preserve">8 IMP DI FLG 90 ELL CL/TC - CEMENT LINED/TAR COATED - FLANGED ELBOW - DUCTILE IRON - IMPORT</t>
  </si>
  <si>
    <t xml:space="preserve">M239</t>
  </si>
  <si>
    <t xml:space="preserve">8 x 2FT-0 DI FLG x FLG SPOOL 125# DUCTILE IRON FLANGED x FLANGED</t>
  </si>
  <si>
    <t xml:space="preserve">M290</t>
  </si>
  <si>
    <t xml:space="preserve">8 150# FLG BOLT PACK 1/8 RRRG ZINC - RED RUBBER - RING ZINC BOLTS/NUTS S2BZ0F/08015RR2</t>
  </si>
  <si>
    <t xml:space="preserve">M240</t>
  </si>
  <si>
    <t xml:space="preserve">CLAVAL 8 # 131-AR YBCSKC Electronic Control Valve 150 # Flanged Globe Pattern NORMALLY OPEN 24DC **NS**</t>
  </si>
  <si>
    <t xml:space="preserve">M291</t>
  </si>
  <si>
    <t xml:space="preserve">CLAVAL VC-22- VC-22D CONTROLLER TO CONTROL THE 131-01 VALVE **NS**</t>
  </si>
  <si>
    <t xml:space="preserve">M288</t>
  </si>
  <si>
    <t xml:space="preserve">AT-DEX-10IN- AHW 10IN AV-TEK DOUBLE ECCENTRIC BUTTERFLY - 150# FLG - 275 PSI CWP - DI BODY/DISC - FBE LINED/COATED - PLANT SERVICE GEAR - HAND WHEEL OP **NS**</t>
  </si>
  <si>
    <t xml:space="preserve">M289</t>
  </si>
  <si>
    <t xml:space="preserve">AT-DEX-A2N-12 AV-TEK 12" FLG DOUBLE ECCENTRIC BUTTERFLY VALVE 150# FLG **NS**</t>
  </si>
  <si>
    <t xml:space="preserve">M244</t>
  </si>
  <si>
    <t xml:space="preserve">2 Inch Air Vacs</t>
  </si>
  <si>
    <t xml:space="preserve">M245</t>
  </si>
  <si>
    <t xml:space="preserve">2x1 BRASS TEE NL</t>
  </si>
  <si>
    <t xml:space="preserve">M246</t>
  </si>
  <si>
    <t xml:space="preserve">APOLLO 94ALF-108-01A 2 BRS LF THRD FP BV 600# - 2PC - FULL PORT BRASS - THREADED - BALL VALVE ---LEAD FREE---</t>
  </si>
  <si>
    <t xml:space="preserve">M247</t>
  </si>
  <si>
    <t xml:space="preserve">CRISPIN UL20.1 2 AIR VALVE</t>
  </si>
  <si>
    <t xml:space="preserve">M292</t>
  </si>
  <si>
    <t xml:space="preserve">CLAVAL 2IN THRD 33A KC HP COMB AIR VALVE **NS**</t>
  </si>
  <si>
    <t xml:space="preserve">M248</t>
  </si>
  <si>
    <t xml:space="preserve">2x4 GALV STD WLD NIPPLE TBE</t>
  </si>
  <si>
    <t xml:space="preserve">M249</t>
  </si>
  <si>
    <t xml:space="preserve">2 IMP GALV MI 90 ELL</t>
  </si>
  <si>
    <t xml:space="preserve">M250</t>
  </si>
  <si>
    <t xml:space="preserve">2x24 GALV STD WLD NIPPLE TBE</t>
  </si>
  <si>
    <t xml:space="preserve">M251</t>
  </si>
  <si>
    <t xml:space="preserve">2x36 GALV STD WLD NIPPLE TBE</t>
  </si>
  <si>
    <t xml:space="preserve">M252</t>
  </si>
  <si>
    <t xml:space="preserve">2x60 GALV STD WLD NIPPLE TBE</t>
  </si>
  <si>
    <t xml:space="preserve">M253</t>
  </si>
  <si>
    <t xml:space="preserve">2 IMP GALV MI CPLG</t>
  </si>
  <si>
    <t xml:space="preserve">M254</t>
  </si>
  <si>
    <t xml:space="preserve">2x6 STD GALV STD WLD NIPPLE TBE</t>
  </si>
  <si>
    <t xml:space="preserve">M255</t>
  </si>
  <si>
    <t xml:space="preserve">2 IP RODENT SCREEN 2.375</t>
  </si>
  <si>
    <t xml:space="preserve">M256</t>
  </si>
  <si>
    <t xml:space="preserve">1 x 3 BRASS NIPPLE</t>
  </si>
  <si>
    <t xml:space="preserve">M257</t>
  </si>
  <si>
    <t xml:space="preserve">APOLLO 94ALF-105-01A 1 BRS LF THD FP BV 600# - 2PC - FULL PORT BRASS - THREADED - BALL VALVE ---LEAD FREE---</t>
  </si>
  <si>
    <t xml:space="preserve">M258</t>
  </si>
  <si>
    <t xml:space="preserve">FORD C84-44-Q-NL 1 MIPxCTS QJ ADAPT ER - 1 MIP x 1 CTS QUICK JOINT</t>
  </si>
  <si>
    <t xml:space="preserve">M259</t>
  </si>
  <si>
    <t xml:space="preserve">FORD INSERT-52 1 CTS SS INSERT FOR PE PIPE</t>
  </si>
  <si>
    <t xml:space="preserve">M260</t>
  </si>
  <si>
    <t xml:space="preserve">1x100 CTS 250# BLUE PE PIPE POLY CENCORE HDPE SDR9 4710 ASTM D2737</t>
  </si>
  <si>
    <t xml:space="preserve">M263</t>
  </si>
  <si>
    <t xml:space="preserve">4 Inch Floor Drain</t>
  </si>
  <si>
    <t xml:space="preserve">ZURN ZN520-4IP-Y FLOOR DRAIN **NS**</t>
  </si>
  <si>
    <t xml:space="preserve">M264</t>
  </si>
  <si>
    <t xml:space="preserve">4 PVC SCH40 PIPE BE WB-20 220psi I.D. 3.998 O.D.4.500</t>
  </si>
  <si>
    <t xml:space="preserve">M265</t>
  </si>
  <si>
    <t xml:space="preserve">406-040 4 PVC S40 SS 90 ELBOW SLIPxSLIP</t>
  </si>
  <si>
    <t xml:space="preserve">M270</t>
  </si>
  <si>
    <t xml:space="preserve">401-007 3/4 PVC S40 SSS TEE SLIPxSLIPxSLIP</t>
  </si>
  <si>
    <t xml:space="preserve">M271</t>
  </si>
  <si>
    <t xml:space="preserve">420-040 4 PVC S40 SSSS CROSS SLIPxSLIPxSLIPxSLIP</t>
  </si>
  <si>
    <t xml:space="preserve">M266</t>
  </si>
  <si>
    <t xml:space="preserve">4 IMP DI MJxFLG ADAPTER CL/TC L/ACCY C153 - CEMENT LINED/TAR COATED - MECHANICAL JOINTxFLANGED DUCTILE IRON - IMPORT</t>
  </si>
  <si>
    <t xml:space="preserve">M267</t>
  </si>
  <si>
    <t xml:space="preserve">4 150# FLG BOLT PACK 1/8 RRRG ZINC - RED RUBBER - RING ZINC BOLTS/NUTS S2BZ0F/04015RR2</t>
  </si>
  <si>
    <t xml:space="preserve">M276</t>
  </si>
  <si>
    <t xml:space="preserve">FORD UFR1500-SA-4-I 4 MJ PVC IPS M/ L w/ACCY PACKT - RESTRAINT IMPORT - ACCESSORY - 4.50</t>
  </si>
  <si>
    <t xml:space="preserve">M269</t>
  </si>
  <si>
    <t xml:space="preserve">4 DI FLANGE SCREEN W/#14 SS MESH **NS**</t>
  </si>
  <si>
    <t xml:space="preserve">M015</t>
  </si>
  <si>
    <t xml:space="preserve">6 PVC DR18 C900 PIPE BLUE 235psi (6.90 od 6.09 id)</t>
  </si>
  <si>
    <t xml:space="preserve">M016</t>
  </si>
  <si>
    <t xml:space="preserve">S-WIRE 12x500ft BLUE AWG UF/UL WIRE PVC</t>
  </si>
  <si>
    <t xml:space="preserve">M020</t>
  </si>
  <si>
    <t xml:space="preserve">16 PVC DR18 C900 PIPE BLUE 235psi (17.40 od)</t>
  </si>
  <si>
    <t xml:space="preserve">M021</t>
  </si>
  <si>
    <t xml:space="preserve">M025</t>
  </si>
  <si>
    <t xml:space="preserve">12 PVC DR18 C900 PIPE BLUE 235psi (13.20 od 11.65 id)</t>
  </si>
  <si>
    <t xml:space="preserve">M026</t>
  </si>
  <si>
    <t xml:space="preserve">M030</t>
  </si>
  <si>
    <t xml:space="preserve">2506 - 1 6 MJxFLG NRS GATE VALVE w/SQ NUT - L/ACCY AWWA - EDPM RW MECHANICAL JOINT X FLANGED CL125 - SS BOLTS - WATEROUS</t>
  </si>
  <si>
    <t xml:space="preserve">M031</t>
  </si>
  <si>
    <t xml:space="preserve">6 150# FLG BOLT PACK 1/8 RRRG ZINC - RED RUBBER - RING ZINC BOLTS/NUTS S2BZ0F/06015RR2</t>
  </si>
  <si>
    <t xml:space="preserve">M032</t>
  </si>
  <si>
    <t xml:space="preserve">564A IMP CI VB (KIT) (WATER) SLIP (36B/16T/WATER LID) - VALVE BOX SLIP TYPE - 39-50in - IMPORT - (M-8064-02i/M-8058-02i/M-8044-04i)</t>
  </si>
  <si>
    <t xml:space="preserve">M033</t>
  </si>
  <si>
    <t xml:space="preserve">FORD UFR1500-CA-6-I 6 MJ PVC C900 M/L w/ACCY PACK - RESTRAINT - IMPORT - ACCESSORY - 6.90</t>
  </si>
  <si>
    <t xml:space="preserve">M034</t>
  </si>
  <si>
    <t xml:space="preserve">FORD UFR1390-C-6-I 6 PVC C900/DI BE LL JOINT RESTRAINT - IMPORT - 6.90</t>
  </si>
  <si>
    <t xml:space="preserve">M038</t>
  </si>
  <si>
    <t xml:space="preserve">2508 - 1 8 MJxFLG NRS GATE VALVE w/SQ NUT - L/ACCY AWWA - EDPM RW MECHANICAL JOINT X FLANGED CL125 - SS BOLTS - WATEROUS</t>
  </si>
  <si>
    <t xml:space="preserve">M039</t>
  </si>
  <si>
    <t xml:space="preserve">M040</t>
  </si>
  <si>
    <t xml:space="preserve">M041</t>
  </si>
  <si>
    <t xml:space="preserve">FORD UFR1500-CA-8-I 8 MJ PVC C900 M/L w/ACCY PACK - RESTRAINT - IMPORT - ACCESSORY - 9.05</t>
  </si>
  <si>
    <t xml:space="preserve">M120</t>
  </si>
  <si>
    <t xml:space="preserve">FORD UFR1400-DA-8-I 8 DI MEGALUG RE STRAINT ACCY PACK - IMPORT</t>
  </si>
  <si>
    <t xml:space="preserve">M042</t>
  </si>
  <si>
    <t xml:space="preserve">8 IMP DI MJ PLUG TC L/ACCY C153 - TAR COATED - MECHANICAL JOINT - DUCTILE IRON - IMPORT</t>
  </si>
  <si>
    <t xml:space="preserve">M282</t>
  </si>
  <si>
    <t xml:space="preserve">8 IMP MJ STD ACCY PACK TC COMPACT ACCESSORY PACK STANDARD</t>
  </si>
  <si>
    <t xml:space="preserve">M050</t>
  </si>
  <si>
    <t xml:space="preserve">FORD UFR1390-C-8-I 8 PVC C900/DI BE LL JOINT RESTRAINT - IMPORT - 9.05</t>
  </si>
  <si>
    <t xml:space="preserve">M046</t>
  </si>
  <si>
    <t xml:space="preserve">2512 - 1 12 MJXFLG NRS GATE VALVE w/SQ NUT L/ACCCY - AWWA - EDPM RW MECHANICAL JOINT X FLANGED CL125 - SS BOLTS - WATEROUS</t>
  </si>
  <si>
    <t xml:space="preserve">M047</t>
  </si>
  <si>
    <t xml:space="preserve">M048</t>
  </si>
  <si>
    <t xml:space="preserve">M049</t>
  </si>
  <si>
    <t xml:space="preserve">M131</t>
  </si>
  <si>
    <t xml:space="preserve">M130</t>
  </si>
  <si>
    <t xml:space="preserve">12 IMP DI MJ PLUG TC L/ACCY C153 - TAR COATED - MECHANICAL JOINT - DUCTILE IRON - IMPORT</t>
  </si>
  <si>
    <t xml:space="preserve">M283</t>
  </si>
  <si>
    <t xml:space="preserve">12 IMP MJ STD ACCY PACK TC ACCESSORY PACK STANDARD - IMPORT</t>
  </si>
  <si>
    <t xml:space="preserve">M275</t>
  </si>
  <si>
    <t xml:space="preserve">FORD UFR1390-C-12-I 12 PVC C900/DI BELL JOINT RESTRAINT - IMPORT - 13. 20</t>
  </si>
  <si>
    <t xml:space="preserve">M157</t>
  </si>
  <si>
    <t xml:space="preserve">CRISPIN 16-509HP 16IN MJXFL K-FLO BFV W/TRAVELING NUT GEAR W/2IN OP NUT C504 CLASS 250B</t>
  </si>
  <si>
    <t xml:space="preserve">M159</t>
  </si>
  <si>
    <t xml:space="preserve">M160</t>
  </si>
  <si>
    <t xml:space="preserve">M161</t>
  </si>
  <si>
    <t xml:space="preserve">M184</t>
  </si>
  <si>
    <t xml:space="preserve">M155</t>
  </si>
  <si>
    <t xml:space="preserve">16 IMP DI MJ PLUG TC L/ACCY C153 - TAR COATED - MECHANICAL JOINT - DUCTILE IRON - IMPORT</t>
  </si>
  <si>
    <t xml:space="preserve">M285</t>
  </si>
  <si>
    <t xml:space="preserve">FORD UFR1390-C-16-I 16 PVC C900/DI BELL JOINT RESTRAINT - IMPORT - 17. 40 **NS**</t>
  </si>
  <si>
    <t xml:space="preserve">M284</t>
  </si>
  <si>
    <t xml:space="preserve">2HMBZ/A0C300 1IN-8X3 A307-A/GR.2 HEX M/B ZC CAP SCREW **NS**</t>
  </si>
  <si>
    <t xml:space="preserve">48 cap screws quoted; qty basis = 12 valve sets (4 per valve)</t>
  </si>
  <si>
    <t xml:space="preserve">M061</t>
  </si>
  <si>
    <t xml:space="preserve">12 IMP DI MJ 11-1/4 ELL CL/TC L/ACCY C153 - CEMENT LINED/TAR COATED - MECHANICAL JOINT ELBOW - DUCTILE IRON - IMPORT</t>
  </si>
  <si>
    <t xml:space="preserve">M062</t>
  </si>
  <si>
    <t xml:space="preserve">M057</t>
  </si>
  <si>
    <t xml:space="preserve">12 IMP DI MJ 45 ELL CL/TC L/ACCY C153 - CEMENT LINED/TAR COATED - MECHANICAL JOINT ELBOW - DUCTILE IRON - IMPORT</t>
  </si>
  <si>
    <t xml:space="preserve">M058</t>
  </si>
  <si>
    <t xml:space="preserve">M066</t>
  </si>
  <si>
    <t xml:space="preserve">12x6 IMP DI MJxFLG TEE CL/TC L/ACCY C153 - CEMENT LINED/TAR COATED - MECHANICAL JOINTxFLANGED - DUCTILE IRON - IMPORT</t>
  </si>
  <si>
    <t xml:space="preserve">M067</t>
  </si>
  <si>
    <t xml:space="preserve">12x6 IMP DI FLG TEE CL/TC - CEMENT LINED/TAR COATED - FLANGED - DUCTILE IRON - IMPORT</t>
  </si>
  <si>
    <t xml:space="preserve">M068</t>
  </si>
  <si>
    <t xml:space="preserve">12 IMP DI MJxFLG ADAPTER CL/TC L/ACCY C153 - CEMENT LINED/TAR COATED - MECHANICAL JOINTxFLANGED DUCTILE IRON - IMPORT</t>
  </si>
  <si>
    <t xml:space="preserve">M069</t>
  </si>
  <si>
    <t xml:space="preserve">M070</t>
  </si>
  <si>
    <t xml:space="preserve">M074</t>
  </si>
  <si>
    <t xml:space="preserve">16x6 IMP DI FLG TEE CL/TC - CEMENT LINED/TAR COATED - FLANGED - DUCTILE IRON - IMPORT **NS**</t>
  </si>
  <si>
    <t xml:space="preserve">M075</t>
  </si>
  <si>
    <t xml:space="preserve">16 IMP DI MJxFLG ADAPTER CL/TC L/ACCY C153 - CEMENT LINED/TAR COATED - MECHANICAL JOINTxFLANGED DUCTILE IRON - IMPORT</t>
  </si>
  <si>
    <t xml:space="preserve">M076</t>
  </si>
  <si>
    <t xml:space="preserve">M078</t>
  </si>
  <si>
    <t xml:space="preserve">M081</t>
  </si>
  <si>
    <t xml:space="preserve">16x12 IMP DI FLG TEE CL/TC - CEMENT LINED/TAR COATED - FLANGED - DUCTILE IRON - IMPORT</t>
  </si>
  <si>
    <t xml:space="preserve">M082</t>
  </si>
  <si>
    <t xml:space="preserve">16xLG IMP DI MJ SLEEVE TC L/ACCY C153 - LONG - TAR COATED - MECHANICAL JOINT - DUCTILE IRON - IMPORT</t>
  </si>
  <si>
    <t xml:space="preserve">M083</t>
  </si>
  <si>
    <t xml:space="preserve">M087</t>
  </si>
  <si>
    <t xml:space="preserve">36X24 DOM DI MJXFLG TEE L/ACCY CL/TC **NS**</t>
  </si>
  <si>
    <t xml:space="preserve">M090</t>
  </si>
  <si>
    <t xml:space="preserve">36xLG IMP DI MJ SLEEVE TC L/ACCY C153 - LONG - TAR COATED - MECHANICAL JOINT - DUCTILE IRON - IMPORT **NS**</t>
  </si>
  <si>
    <t xml:space="preserve">M286</t>
  </si>
  <si>
    <t xml:space="preserve">FORD UFR1400-DA-36-I 36 DI M/L w/AC CY PACK - RESTRAINT - IMPORT - ACCE SSORY - FOR DUCTILE IRON PIPE - 38. 30 **NS**</t>
  </si>
  <si>
    <t xml:space="preserve">M118</t>
  </si>
  <si>
    <t xml:space="preserve">16 IMP DI FLG CROSS CL/TC - CEMENT LINED/TAR COATED - FLANGED - DUCTILE IRON - IMPORT **NS**</t>
  </si>
  <si>
    <t xml:space="preserve">M119</t>
  </si>
  <si>
    <t xml:space="preserve">8x6 IMP DI MJ RED SEB CL/TC L/ACCY C153 - CEMENT LINED/TAR COATED MECHANICAL JOINT - SMALL END BELL REDUCER - DUCTILE IRON - IMPORT</t>
  </si>
  <si>
    <t xml:space="preserve">M121</t>
  </si>
  <si>
    <t xml:space="preserve">M287</t>
  </si>
  <si>
    <t xml:space="preserve">M124</t>
  </si>
  <si>
    <t xml:space="preserve">16x6 IMP DI FLG CON RED CL/TC - CEMENT LINED/TAR COATED - FLANGED CONCENTRIC REDCUCER - DUCTILE IRON IMPORT **NS**</t>
  </si>
  <si>
    <t xml:space="preserve">M125</t>
  </si>
  <si>
    <t xml:space="preserve">M126</t>
  </si>
  <si>
    <t xml:space="preserve">16x8 IMP DI FLG CON RED CL/TC - CEMENT LINED/TAR COATED - FLANGED CONCENTRIC REDCUCER - DUCTILE IRON IMPORT</t>
  </si>
  <si>
    <t xml:space="preserve">M127</t>
  </si>
  <si>
    <t xml:space="preserve">M128</t>
  </si>
  <si>
    <t xml:space="preserve">16x12 IMP DI FLG CON RED CL/TC - CEMENT LINED/TAR COATED - FLANGED CONCENTRIC REDCUCER - DUCTILE IRON IMPORT</t>
  </si>
  <si>
    <t xml:space="preserve">M129</t>
  </si>
  <si>
    <t xml:space="preserve">M132</t>
  </si>
  <si>
    <t xml:space="preserve">24x16 IMP DI FLG CON RED CL/TC - CEMENT LINED/TAR COATED - FLANGED CONCENTRIC REDCUCER - DUCTILE IRON IMPORT **NS**</t>
  </si>
  <si>
    <t xml:space="preserve">M133</t>
  </si>
  <si>
    <t xml:space="preserve">24 150# FLG BOLT PACK 1/8 RRRG ZINC - RED RUBBER - RING ZINC BOLTS/NUTS S2BZ0F/24015RR2 **NS**</t>
  </si>
  <si>
    <t xml:space="preserve">M113</t>
  </si>
  <si>
    <t xml:space="preserve">4.6B FIRE HYDRANT 6MJ 3NOZ - RED WB67 w/EPOXY SHOE - L/ACC - SS BOLT - 3NOZZLE - MECHANICAL JOINT WATEROUS</t>
  </si>
  <si>
    <t xml:space="preserve">M114</t>
  </si>
  <si>
    <t xml:space="preserve">M162</t>
  </si>
  <si>
    <t xml:space="preserve">FORD 202BSD-1740-IP7 16IN BRASS SADDLE 2IN IP **NS**</t>
  </si>
  <si>
    <t xml:space="preserve">M295</t>
  </si>
  <si>
    <t xml:space="preserve">FORD 202BSD-1320-IP7 12IN BRASS SAD DLE 2IN IP **NS**</t>
  </si>
  <si>
    <t xml:space="preserve">M165</t>
  </si>
  <si>
    <t xml:space="preserve">2 BRASS STR 90 ELL NL</t>
  </si>
  <si>
    <t xml:space="preserve">M166</t>
  </si>
  <si>
    <t xml:space="preserve">FORD FB1101-7-IDR7-NL 2 BALL CORP S TOP MIPxPE PJ - 2 MIP x 2 PE PACK J OINT</t>
  </si>
  <si>
    <t xml:space="preserve">M168</t>
  </si>
  <si>
    <t xml:space="preserve">FORD C86-77-NL-IDR7 2 MIPxPE PJ ADP T 2 MIP x 2 PE PACK JOINT ADAPTER</t>
  </si>
  <si>
    <t xml:space="preserve">M167</t>
  </si>
  <si>
    <t xml:space="preserve">2x100 IPS 250# BLUE PE PIPE POLY HDPE SIDR7 4710 ASTM D2239</t>
  </si>
  <si>
    <t xml:space="preserve">M169</t>
  </si>
  <si>
    <t xml:space="preserve">FORD INSERT-75 2 IPS SS INSERT FOR PE PIPE</t>
  </si>
  <si>
    <t xml:space="preserve">M170</t>
  </si>
  <si>
    <t xml:space="preserve">M171</t>
  </si>
  <si>
    <t xml:space="preserve">M172</t>
  </si>
  <si>
    <t xml:space="preserve">M173</t>
  </si>
  <si>
    <t xml:space="preserve">836-020 2 PVC S80 MALE ADAPTER MIPxSLIP (036425)</t>
  </si>
  <si>
    <t xml:space="preserve">M174</t>
  </si>
  <si>
    <t xml:space="preserve">806-020 2 PVC S80 SS 90 ELBOW SLIPxSLIP</t>
  </si>
  <si>
    <t xml:space="preserve">M175</t>
  </si>
  <si>
    <t xml:space="preserve">857-020 2 PVC S80 SS UNION VITON FKM - SLIPxSLIP **OLD STYLE** (see .658504 for New Style)</t>
  </si>
  <si>
    <t xml:space="preserve">M176</t>
  </si>
  <si>
    <t xml:space="preserve">M177</t>
  </si>
  <si>
    <t xml:space="preserve">M178</t>
  </si>
  <si>
    <t xml:space="preserve">2x48 GALV STD WLD NIPPLE TBE</t>
  </si>
  <si>
    <t xml:space="preserve">M179</t>
  </si>
  <si>
    <t xml:space="preserve">MIDLAND 21178 2 GALV MUSHROOM VENT CAP</t>
  </si>
  <si>
    <t xml:space="preserve">M140</t>
  </si>
  <si>
    <t xml:space="preserve">2 BRASS SQ HD CORED PLUG NL</t>
  </si>
  <si>
    <t xml:space="preserve">M141</t>
  </si>
  <si>
    <t xml:space="preserve">FORD 101BS-905-IP3 BRS SS/SB SADDLE 9.05x3/4 IPS THREAD - BRASS BODY S S SINGLE BAND - FOR PVC C900</t>
  </si>
  <si>
    <t xml:space="preserve">M142</t>
  </si>
  <si>
    <t xml:space="preserve">FORD F1101-3-G NL 3/4 CORP STOP MIP xPE GJ - 3/4MIPx3/4PE GRIP JOINT</t>
  </si>
  <si>
    <t xml:space="preserve">M143</t>
  </si>
  <si>
    <t xml:space="preserve">3/4x100 IPS 250# BLUE PE PIPE POLY HDPE SIDR7 4710 ASTM D2239</t>
  </si>
  <si>
    <t xml:space="preserve">M144</t>
  </si>
  <si>
    <t xml:space="preserve">FORD VBHC72-95166-015-NL ST GEORGE METER SETTER</t>
  </si>
  <si>
    <t xml:space="preserve">M145</t>
  </si>
  <si>
    <t xml:space="preserve">FORD C16-33-G-NL 3/4 FIPxPE GJ ADAP TER - 3/4FIPx3/4PE GRIP JOINT</t>
  </si>
  <si>
    <t xml:space="preserve">M146</t>
  </si>
  <si>
    <t xml:space="preserve">FORD INSERT-71 3/4 IPS SS INSERT FO R PE PIPE</t>
  </si>
  <si>
    <t xml:space="preserve">M147</t>
  </si>
  <si>
    <t xml:space="preserve">CARSON 15201010 1520 BOX 18 WTR MTR BLACK W/FLUSH COVER PLASTIC READER 1520-18 BLACK WTR MTR 2 MSHL FCVR 12.5x17.75 TOP 17x22.25 ID CARSON</t>
  </si>
  <si>
    <t xml:space="preserve">M180</t>
  </si>
  <si>
    <t xml:space="preserve">16 CL51 DUCTILE IRON PIPE TJ **NS**</t>
  </si>
  <si>
    <t xml:space="preserve">M181</t>
  </si>
  <si>
    <t xml:space="preserve">16 IMP DI MJ 22-1/2 ELL CL/TC L/ACCY C153 - CEMENT LINED/TAR COATED - MECHANICAL JOINT ELBOW - DUCTILE IRON - IMPORT</t>
  </si>
  <si>
    <t xml:space="preserve">M182</t>
  </si>
  <si>
    <t xml:space="preserve">16 IMP DI MJxFLG 22-1/2 ELL CL/TC L/ACCY C110 - CEMENT LINED/TAR COATED - MECHANICAL JOINTxFLANGED ELBOW DUCTILE IRON IMPORT **NS**</t>
  </si>
  <si>
    <t xml:space="preserve">M183</t>
  </si>
  <si>
    <t xml:space="preserve">20x16 IMP DI MJ RED AB CL/TC L/ACCY C153 - CEMENT LINED/TAR COATED - MECHANICAL JOINT - ALL BELL REDUCER DUCTILE IRON - IMPORT **NS**</t>
  </si>
  <si>
    <t xml:space="preserve">M186</t>
  </si>
  <si>
    <t xml:space="preserve">FORD UFR1400-DA-20-I 20 DI M/L w/AC CY PACK - RESTRAINT - IMPORT ACCESS ORY - FOR DUCTILE IRON PIPE 21.60 / 1120DEC</t>
  </si>
  <si>
    <t xml:space="preserve">M187</t>
  </si>
  <si>
    <t xml:space="preserve">M300</t>
  </si>
  <si>
    <t xml:space="preserve">36IN x .625IN SPIRAL WELD STEEL CASING (40FT-) A252 **NS**</t>
  </si>
  <si>
    <t xml:space="preserve">M209</t>
  </si>
  <si>
    <t xml:space="preserve">SSI8-2031636-CL-3-V-2-3.5IN x 17.40IN OD x 36IN ID SS CASING SPACER CLUSTER **NS**</t>
  </si>
  <si>
    <t xml:space="preserve">M210</t>
  </si>
  <si>
    <t xml:space="preserve">APC-2031636-CL-3-V-2-3.5IN x 17.40IN OD x 36IN OD CLUSTER END SEAL **NS**</t>
  </si>
  <si>
    <t xml:space="preserve">M188</t>
  </si>
  <si>
    <t xml:space="preserve">M211</t>
  </si>
  <si>
    <t xml:space="preserve">3x20ft PVC S40 CONDUIT PIPE BE BELL END PART# 126517</t>
  </si>
  <si>
    <t xml:space="preserve">M212</t>
  </si>
  <si>
    <t xml:space="preserve">3 (x36) PVC S40 CONDUIT LR 90 ELBOW BE F403009036</t>
  </si>
  <si>
    <t xml:space="preserve">S001</t>
  </si>
  <si>
    <t xml:space="preserve">8" Cla-Val 131 w/ position transmitter &amp; VC-22D controller</t>
  </si>
  <si>
    <t xml:space="preserve">S002</t>
  </si>
  <si>
    <t xml:space="preserve">12" MJ 45 bend less accs</t>
  </si>
  <si>
    <t xml:space="preserve">S003</t>
  </si>
  <si>
    <t xml:space="preserve">12" MJ 22-1/2 bend less accs</t>
  </si>
  <si>
    <t xml:space="preserve">S004</t>
  </si>
  <si>
    <t xml:space="preserve">12" Mega Lug for PVC w/ accs PVCPK4012</t>
  </si>
  <si>
    <t xml:space="preserve">S005</t>
  </si>
  <si>
    <t xml:space="preserve">8" flg 90</t>
  </si>
  <si>
    <t xml:space="preserve">S006</t>
  </si>
  <si>
    <t xml:space="preserve">16" flg 90</t>
  </si>
  <si>
    <t xml:space="preserve">S007</t>
  </si>
  <si>
    <t xml:space="preserve">10" x 8" flg tee</t>
  </si>
  <si>
    <t xml:space="preserve">S008</t>
  </si>
  <si>
    <t xml:space="preserve">16" x 10" flg reducer</t>
  </si>
  <si>
    <t xml:space="preserve">S009</t>
  </si>
  <si>
    <t xml:space="preserve">12" flg tee</t>
  </si>
  <si>
    <t xml:space="preserve">S010</t>
  </si>
  <si>
    <t xml:space="preserve">12" MJ x flg adapter less accs</t>
  </si>
  <si>
    <t xml:space="preserve">S011</t>
  </si>
  <si>
    <t xml:space="preserve">16" x 12" flg x flg reducer</t>
  </si>
  <si>
    <t xml:space="preserve">S012</t>
  </si>
  <si>
    <t xml:space="preserve">10" flg tee</t>
  </si>
  <si>
    <t xml:space="preserve">S013</t>
  </si>
  <si>
    <t xml:space="preserve">1/2" Watts LF25AUB-Z3 PRV</t>
  </si>
  <si>
    <t xml:space="preserve">S014</t>
  </si>
  <si>
    <t xml:space="preserve">1/2" ball valve threaded brass 600 WOG</t>
  </si>
  <si>
    <t xml:space="preserve">S015</t>
  </si>
  <si>
    <t xml:space="preserve">2" ball valve threaded brass 600 WOG</t>
  </si>
  <si>
    <t xml:space="preserve">S016</t>
  </si>
  <si>
    <t xml:space="preserve">2" galv 90</t>
  </si>
  <si>
    <t xml:space="preserve">S017</t>
  </si>
  <si>
    <t xml:space="preserve">2" x 1" galv reducing tee</t>
  </si>
  <si>
    <t xml:space="preserve">S018</t>
  </si>
  <si>
    <t xml:space="preserve">S019</t>
  </si>
  <si>
    <t xml:space="preserve">S020</t>
  </si>
  <si>
    <t xml:space="preserve">2" combination air/vac valve UL20.1 20-150#</t>
  </si>
  <si>
    <t xml:space="preserve">S021</t>
  </si>
  <si>
    <t xml:space="preserve">2" x 3" galv nipple</t>
  </si>
  <si>
    <t xml:space="preserve">S022</t>
  </si>
  <si>
    <t xml:space="preserve">2" x 24" galv nipple</t>
  </si>
  <si>
    <t xml:space="preserve">S023</t>
  </si>
  <si>
    <t xml:space="preserve">2" x 60" galv nipple</t>
  </si>
  <si>
    <t xml:space="preserve">S024</t>
  </si>
  <si>
    <t xml:space="preserve">16" x 10'-6" flg x flg DI spool</t>
  </si>
  <si>
    <t xml:space="preserve">S025</t>
  </si>
  <si>
    <t xml:space="preserve">10" x 4'-6" flg x flg DI spool</t>
  </si>
  <si>
    <t xml:space="preserve">S026</t>
  </si>
  <si>
    <t xml:space="preserve">8" x 2'-6" flg x flg DI spool</t>
  </si>
  <si>
    <t xml:space="preserve">S027</t>
  </si>
  <si>
    <t xml:space="preserve">10" x 2'-10" flg x flg DI spool</t>
  </si>
  <si>
    <t xml:space="preserve">S028</t>
  </si>
  <si>
    <t xml:space="preserve">16" x 10'-0" flg x PE DI spool</t>
  </si>
  <si>
    <t xml:space="preserve">S029</t>
  </si>
  <si>
    <t xml:space="preserve">16" MJ sleeve less accessories</t>
  </si>
  <si>
    <t xml:space="preserve">S030</t>
  </si>
  <si>
    <t xml:space="preserve">16" Mega Lug for DI pipe w/ accs SGDPPK16</t>
  </si>
  <si>
    <t xml:space="preserve">S031</t>
  </si>
  <si>
    <t xml:space="preserve">8" bolt/nut/gasket set w/ Predator NSF61</t>
  </si>
  <si>
    <t xml:space="preserve">S032</t>
  </si>
  <si>
    <t xml:space="preserve">10" bolt/nut/gasket set w/ Predator NSF61</t>
  </si>
  <si>
    <t xml:space="preserve">S033</t>
  </si>
  <si>
    <t xml:space="preserve">16" bolt/nut/gasket set</t>
  </si>
  <si>
    <t xml:space="preserve">S034</t>
  </si>
  <si>
    <t xml:space="preserve">12" bolt/nut/gasket set</t>
  </si>
  <si>
    <t xml:space="preserve">S035</t>
  </si>
  <si>
    <t xml:space="preserve">12" MJ x flg gate valve less accs</t>
  </si>
  <si>
    <t xml:space="preserve">S036</t>
  </si>
  <si>
    <t xml:space="preserve">12" flg gate valve</t>
  </si>
  <si>
    <t xml:space="preserve">S037</t>
  </si>
  <si>
    <t xml:space="preserve">3'-4' slip valve box and lid M-8040-SG</t>
  </si>
  <si>
    <t xml:space="preserve">S038</t>
  </si>
  <si>
    <t xml:space="preserve">S039</t>
  </si>
  <si>
    <t xml:space="preserve">4" Sch 80 PVC pipe w/ belled ends</t>
  </si>
  <si>
    <t xml:space="preserve">S040</t>
  </si>
  <si>
    <t xml:space="preserve">4" CL-51 DI pipe TJ</t>
  </si>
  <si>
    <t xml:space="preserve">S041</t>
  </si>
  <si>
    <t xml:space="preserve">S042</t>
  </si>
  <si>
    <t xml:space="preserve">4" Mega Lug for DI w/ accs</t>
  </si>
  <si>
    <t xml:space="preserve">S043</t>
  </si>
  <si>
    <t xml:space="preserve">4" Mega Lug for PVC w/ accs PVCPK4004</t>
  </si>
  <si>
    <t xml:space="preserve">S044</t>
  </si>
  <si>
    <t xml:space="preserve">4" rodent screen for IPS pipe</t>
  </si>
  <si>
    <t xml:space="preserve">S045</t>
  </si>
  <si>
    <t xml:space="preserve">4" PVC 90 ell soc Sch 80</t>
  </si>
  <si>
    <t xml:space="preserve">S046</t>
  </si>
  <si>
    <t xml:space="preserve">4" PVC tee soc Sch 80</t>
  </si>
  <si>
    <t xml:space="preserve">S047</t>
  </si>
  <si>
    <t xml:space="preserve">4" PVC 45 ell soc Sch 80</t>
  </si>
  <si>
    <t xml:space="preserve">S048</t>
  </si>
  <si>
    <t xml:space="preserve">4" Zurn floor drain</t>
  </si>
  <si>
    <t xml:space="preserve">S049</t>
  </si>
  <si>
    <t xml:space="preserve">1/2" x 100' sleeved PEX pipe #33830</t>
  </si>
  <si>
    <t xml:space="preserve">S050</t>
  </si>
  <si>
    <t xml:space="preserve">1/2" M hard copper</t>
  </si>
  <si>
    <t xml:space="preserve">S051</t>
  </si>
  <si>
    <t xml:space="preserve">S052</t>
  </si>
  <si>
    <t xml:space="preserve">16" x 12" MJ reducer</t>
  </si>
  <si>
    <t xml:space="preserve">S053</t>
  </si>
  <si>
    <t xml:space="preserve">12" MJ sleeve</t>
  </si>
  <si>
    <t xml:space="preserve">S054</t>
  </si>
  <si>
    <t xml:space="preserve">12" x 0'-10" flg x PE DI spool</t>
  </si>
  <si>
    <t xml:space="preserve">S055</t>
  </si>
  <si>
    <t xml:space="preserve">12" x 2'-6" flg x PE DI spool</t>
  </si>
  <si>
    <t xml:space="preserve">S056</t>
  </si>
  <si>
    <t xml:space="preserve">12" pipe support (Anvil 259)</t>
  </si>
  <si>
    <t xml:space="preserve">S057</t>
  </si>
  <si>
    <t xml:space="preserve">S058</t>
  </si>
  <si>
    <t xml:space="preserve">S059</t>
  </si>
  <si>
    <t xml:space="preserve">1" black coupling (50 per box)</t>
  </si>
  <si>
    <t xml:space="preserve">S060</t>
  </si>
  <si>
    <t xml:space="preserve">16" Mega Lug for PVC w/ accs 2016PEC</t>
  </si>
  <si>
    <t xml:space="preserve">S061</t>
  </si>
  <si>
    <t xml:space="preserve">12" Mega Lug for DI w/ accs 1112DEC</t>
  </si>
  <si>
    <t xml:space="preserve">S062</t>
  </si>
  <si>
    <t xml:space="preserve">S063</t>
  </si>
  <si>
    <t xml:space="preserve">12" x 6" galvanized wall sleeve</t>
  </si>
  <si>
    <t xml:space="preserve">S064</t>
  </si>
  <si>
    <t xml:space="preserve">12" Link-Seal LS-325 S316 (14 links per sleeve)</t>
  </si>
  <si>
    <t xml:space="preserve">S065</t>
  </si>
  <si>
    <t xml:space="preserve">2" rodent screen IPS</t>
  </si>
  <si>
    <t xml:space="preserve">S066</t>
  </si>
  <si>
    <t xml:space="preserve">2" PVC 45 ell soc</t>
  </si>
  <si>
    <t xml:space="preserve">S067</t>
  </si>
  <si>
    <t xml:space="preserve">2" PVC female adapter socxFP</t>
  </si>
  <si>
    <t xml:space="preserve">S068</t>
  </si>
  <si>
    <t xml:space="preserve">2" Sch 40 galvanized T&amp;C pipe (priced per 100 ft)</t>
  </si>
  <si>
    <t xml:space="preserve">Unit price is per 100 ft</t>
  </si>
  <si>
    <t xml:space="preserve">S069</t>
  </si>
  <si>
    <t xml:space="preserve">2" PVC Sch 80 pipe w/ belled ends</t>
  </si>
  <si>
    <t xml:space="preserve">S070</t>
  </si>
  <si>
    <t xml:space="preserve">S071</t>
  </si>
  <si>
    <t xml:space="preserve">2" MIP x PK JT for PVC male adapter</t>
  </si>
  <si>
    <t xml:space="preserve">S072</t>
  </si>
  <si>
    <t xml:space="preserve">2" curb stop handle</t>
  </si>
  <si>
    <t xml:space="preserve">S073</t>
  </si>
  <si>
    <t xml:space="preserve">2" MPLS PAT ball valve (curb stop)</t>
  </si>
  <si>
    <t xml:space="preserve">S074</t>
  </si>
  <si>
    <t xml:space="preserve">12" AV-TEK butterfly valve w/ electric actuator</t>
  </si>
  <si>
    <t xml:space="preserve">S075</t>
  </si>
  <si>
    <t xml:space="preserve">12" x 7'-4" flg x flg DI spool</t>
  </si>
  <si>
    <t xml:space="preserve">S076</t>
  </si>
  <si>
    <t xml:space="preserve">12" x 6'-0" flg x PE DI spool (cut by contractor)</t>
  </si>
  <si>
    <t xml:space="preserve">S077</t>
  </si>
  <si>
    <t xml:space="preserve">S078</t>
  </si>
  <si>
    <t xml:space="preserve">S079</t>
  </si>
  <si>
    <t xml:space="preserve">S080</t>
  </si>
  <si>
    <t xml:space="preserve">12" CL-51 DI pipe TJ (18.125' lengths)</t>
  </si>
  <si>
    <t xml:space="preserve">S081</t>
  </si>
  <si>
    <t xml:space="preserve">6" AWWA C900 CL235 DR18 PVC pipe</t>
  </si>
  <si>
    <t xml:space="preserve">S082</t>
  </si>
  <si>
    <t xml:space="preserve">12/1 UF blue tracer wire (priced per 1,000 ft)</t>
  </si>
  <si>
    <t xml:space="preserve">Unit price is per 1,000 ft</t>
  </si>
  <si>
    <t xml:space="preserve">S083</t>
  </si>
  <si>
    <t xml:space="preserve">6" joint restraint for C900 PRC1106</t>
  </si>
  <si>
    <t xml:space="preserve">S084</t>
  </si>
  <si>
    <t xml:space="preserve">16" C900 DR18 PVC pipe</t>
  </si>
  <si>
    <t xml:space="preserve">S085</t>
  </si>
  <si>
    <t xml:space="preserve">S086</t>
  </si>
  <si>
    <t xml:space="preserve">16" joint restraint for C900 PRC1116</t>
  </si>
  <si>
    <t xml:space="preserve">S087</t>
  </si>
  <si>
    <t xml:space="preserve">12" C900 DR18 PVC pipe</t>
  </si>
  <si>
    <t xml:space="preserve">S088</t>
  </si>
  <si>
    <t xml:space="preserve">S089</t>
  </si>
  <si>
    <t xml:space="preserve">12" joint restraint for C900 PRC1112</t>
  </si>
  <si>
    <t xml:space="preserve">S090</t>
  </si>
  <si>
    <t xml:space="preserve">6" MJ x flg gate valve less accs</t>
  </si>
  <si>
    <t xml:space="preserve">S091</t>
  </si>
  <si>
    <t xml:space="preserve">S092</t>
  </si>
  <si>
    <t xml:space="preserve">6" Mega Lug for PVC w/ accs PVCPK4006</t>
  </si>
  <si>
    <t xml:space="preserve">S093</t>
  </si>
  <si>
    <t xml:space="preserve">8" MJ x flg gate valve less accs</t>
  </si>
  <si>
    <t xml:space="preserve">S094</t>
  </si>
  <si>
    <t xml:space="preserve">8" x 6" MJ SEB reducer less accs</t>
  </si>
  <si>
    <t xml:space="preserve">S095</t>
  </si>
  <si>
    <t xml:space="preserve">8" Mega Lug for DI w/ accs SGDPPK08</t>
  </si>
  <si>
    <t xml:space="preserve">S096</t>
  </si>
  <si>
    <t xml:space="preserve">S097</t>
  </si>
  <si>
    <t xml:space="preserve">8" MJ plug less accs</t>
  </si>
  <si>
    <t xml:space="preserve">S098</t>
  </si>
  <si>
    <t xml:space="preserve">S099</t>
  </si>
  <si>
    <t xml:space="preserve">8" Mega Lug for PVC w/ accs PVCPK4008</t>
  </si>
  <si>
    <t xml:space="preserve">S100</t>
  </si>
  <si>
    <t xml:space="preserve">S101</t>
  </si>
  <si>
    <t xml:space="preserve">S102</t>
  </si>
  <si>
    <t xml:space="preserve">S103</t>
  </si>
  <si>
    <t xml:space="preserve">16" flg x MJ butterfly valve K-Flo 250# tag &amp; test</t>
  </si>
  <si>
    <t xml:space="preserve">S104</t>
  </si>
  <si>
    <t xml:space="preserve">S105</t>
  </si>
  <si>
    <t xml:space="preserve">S106</t>
  </si>
  <si>
    <t xml:space="preserve">S107</t>
  </si>
  <si>
    <t xml:space="preserve">S108</t>
  </si>
  <si>
    <t xml:space="preserve">12" MJ 11-1/4 bend less accs</t>
  </si>
  <si>
    <t xml:space="preserve">S109</t>
  </si>
  <si>
    <t xml:space="preserve">S110</t>
  </si>
  <si>
    <t xml:space="preserve">S111</t>
  </si>
  <si>
    <t xml:space="preserve">S112</t>
  </si>
  <si>
    <t xml:space="preserve">12" x 6" MJ x flg tee less accs</t>
  </si>
  <si>
    <t xml:space="preserve">S113</t>
  </si>
  <si>
    <t xml:space="preserve">12" x 6" flg tee</t>
  </si>
  <si>
    <t xml:space="preserve">S114</t>
  </si>
  <si>
    <t xml:space="preserve">S115</t>
  </si>
  <si>
    <t xml:space="preserve">S116</t>
  </si>
  <si>
    <t xml:space="preserve">S117</t>
  </si>
  <si>
    <t xml:space="preserve">6" bolt/nut/gasket set w/ Predator NSF61</t>
  </si>
  <si>
    <t xml:space="preserve">S118</t>
  </si>
  <si>
    <t xml:space="preserve">16" x 6" MJ x flg tee</t>
  </si>
  <si>
    <t xml:space="preserve">S119</t>
  </si>
  <si>
    <t xml:space="preserve">16" x 6" flg tee</t>
  </si>
  <si>
    <t xml:space="preserve">S120</t>
  </si>
  <si>
    <t xml:space="preserve">S121</t>
  </si>
  <si>
    <t xml:space="preserve">16" bolt/nut/gasket w/ cap screws for M&amp;H butterfly kit</t>
  </si>
  <si>
    <t xml:space="preserve">S122</t>
  </si>
  <si>
    <t xml:space="preserve">S123</t>
  </si>
  <si>
    <t xml:space="preserve">16" x 12" flg tee</t>
  </si>
  <si>
    <t xml:space="preserve">S124</t>
  </si>
  <si>
    <t xml:space="preserve">S125</t>
  </si>
  <si>
    <t xml:space="preserve">S126</t>
  </si>
  <si>
    <t xml:space="preserve">S127</t>
  </si>
  <si>
    <t xml:space="preserve">S128</t>
  </si>
  <si>
    <t xml:space="preserve">36" x 24" MJ x flg tee</t>
  </si>
  <si>
    <t xml:space="preserve">S129</t>
  </si>
  <si>
    <t xml:space="preserve">36" MJ solid sleeve</t>
  </si>
  <si>
    <t xml:space="preserve">S130</t>
  </si>
  <si>
    <t xml:space="preserve">36" Mega Lug for DIP w/ accs 3000P</t>
  </si>
  <si>
    <t xml:space="preserve">S131</t>
  </si>
  <si>
    <t xml:space="preserve">24" bolt/nut/gasket set</t>
  </si>
  <si>
    <t xml:space="preserve">S132</t>
  </si>
  <si>
    <t xml:space="preserve">16" flg cross</t>
  </si>
  <si>
    <t xml:space="preserve">S133</t>
  </si>
  <si>
    <t xml:space="preserve">S134</t>
  </si>
  <si>
    <t xml:space="preserve">S135</t>
  </si>
  <si>
    <t xml:space="preserve">8" x 6" flg reducer</t>
  </si>
  <si>
    <t xml:space="preserve">S136</t>
  </si>
  <si>
    <t xml:space="preserve">S137</t>
  </si>
  <si>
    <t xml:space="preserve">16" x 6" flg reducer</t>
  </si>
  <si>
    <t xml:space="preserve">S138</t>
  </si>
  <si>
    <t xml:space="preserve">S139</t>
  </si>
  <si>
    <t xml:space="preserve">16" x 8" flg reducer</t>
  </si>
  <si>
    <t xml:space="preserve">S140</t>
  </si>
  <si>
    <t xml:space="preserve">S141</t>
  </si>
  <si>
    <t xml:space="preserve">S142</t>
  </si>
  <si>
    <t xml:space="preserve">S143</t>
  </si>
  <si>
    <t xml:space="preserve">24" x 16" flg reducer</t>
  </si>
  <si>
    <t xml:space="preserve">S144</t>
  </si>
  <si>
    <t xml:space="preserve">S145</t>
  </si>
  <si>
    <t xml:space="preserve">6" MJ fire hydrant 4-1/2' bury</t>
  </si>
  <si>
    <t xml:space="preserve">S146</t>
  </si>
  <si>
    <t xml:space="preserve">S147</t>
  </si>
  <si>
    <t xml:space="preserve">S148</t>
  </si>
  <si>
    <t xml:space="preserve">12" x 2" brass saddle for C900 (2" IP, 12.75-13.20)</t>
  </si>
  <si>
    <t xml:space="preserve">S149</t>
  </si>
  <si>
    <t xml:space="preserve">16" x 2" double-strap brass saddle (16.00-17.40)</t>
  </si>
  <si>
    <t xml:space="preserve">S150</t>
  </si>
  <si>
    <t xml:space="preserve">S151</t>
  </si>
  <si>
    <t xml:space="preserve">S152</t>
  </si>
  <si>
    <t xml:space="preserve">2" PVC male adapter MPTxS</t>
  </si>
  <si>
    <t xml:space="preserve">S153</t>
  </si>
  <si>
    <t xml:space="preserve">2" PVC 90 ell soc Sch 80</t>
  </si>
  <si>
    <t xml:space="preserve">S154</t>
  </si>
  <si>
    <t xml:space="preserve">2" PVC union socxsoc EPDM</t>
  </si>
  <si>
    <t xml:space="preserve">S155</t>
  </si>
  <si>
    <t xml:space="preserve">2" galv coupling</t>
  </si>
  <si>
    <t xml:space="preserve">S156</t>
  </si>
  <si>
    <t xml:space="preserve">2" x 36" galv nipple</t>
  </si>
  <si>
    <t xml:space="preserve">S157</t>
  </si>
  <si>
    <t xml:space="preserve">2" galv return bend</t>
  </si>
  <si>
    <t xml:space="preserve">S158</t>
  </si>
  <si>
    <t xml:space="preserve">S159</t>
  </si>
  <si>
    <t xml:space="preserve">S160</t>
  </si>
  <si>
    <t xml:space="preserve">6" x 3/4" bronze saddle (IPS or CI 6.63-6.90)</t>
  </si>
  <si>
    <t xml:space="preserve">S161</t>
  </si>
  <si>
    <t xml:space="preserve">3/4" x PE "G" grip joint corp stop</t>
  </si>
  <si>
    <t xml:space="preserve">S162</t>
  </si>
  <si>
    <t xml:space="preserve">3/4" IPS blue water service poly pipe (priced per 100 ft)</t>
  </si>
  <si>
    <t xml:space="preserve">S163</t>
  </si>
  <si>
    <t xml:space="preserve">5/8" x 3/4" x 15" setter w/ dual check VBHC72-95166-01</t>
  </si>
  <si>
    <t xml:space="preserve">S164</t>
  </si>
  <si>
    <t xml:space="preserve">3/4" MIP x PE "G" grip joint male adapter</t>
  </si>
  <si>
    <t xml:space="preserve">S165</t>
  </si>
  <si>
    <t xml:space="preserve">18" deep std meter box 15x20 #15201010</t>
  </si>
  <si>
    <t xml:space="preserve">S166</t>
  </si>
  <si>
    <t xml:space="preserve">3/4" insert stiffener IPS</t>
  </si>
  <si>
    <t xml:space="preserve">S167</t>
  </si>
  <si>
    <t xml:space="preserve">16" CL-51 DI pipe</t>
  </si>
  <si>
    <t xml:space="preserve">UoM printed 'each' but priced per foot</t>
  </si>
  <si>
    <t xml:space="preserve">S168</t>
  </si>
  <si>
    <t xml:space="preserve">16" split Stargrip bell joint restraint</t>
  </si>
  <si>
    <t xml:space="preserve">S169</t>
  </si>
  <si>
    <t xml:space="preserve">16" MJ 22-1/2 ell less accs</t>
  </si>
  <si>
    <t xml:space="preserve">S170</t>
  </si>
  <si>
    <t xml:space="preserve">16" flg 22-1/2 ell</t>
  </si>
  <si>
    <t xml:space="preserve">S171</t>
  </si>
  <si>
    <t xml:space="preserve">S172</t>
  </si>
  <si>
    <t xml:space="preserve">16" x 18' flg x PE DI spool</t>
  </si>
  <si>
    <t xml:space="preserve">S176</t>
  </si>
  <si>
    <t xml:space="preserve">S177</t>
  </si>
  <si>
    <t xml:space="preserve">2" PVC coupling soc Sch 80</t>
  </si>
  <si>
    <t xml:space="preserve">S178</t>
  </si>
  <si>
    <t xml:space="preserve">S179</t>
  </si>
  <si>
    <t xml:space="preserve">S180</t>
  </si>
  <si>
    <t xml:space="preserve">20" Mega Lug for DI</t>
  </si>
  <si>
    <t xml:space="preserve">S181</t>
  </si>
  <si>
    <t xml:space="preserve">20" MJ gasket and T-bolt 502647</t>
  </si>
  <si>
    <t xml:space="preserve">S182</t>
  </si>
  <si>
    <t xml:space="preserve">S183</t>
  </si>
  <si>
    <t xml:space="preserve">3" PVC 45 ell soc Sch 80</t>
  </si>
  <si>
    <t xml:space="preserve">S184</t>
  </si>
  <si>
    <t xml:space="preserve">3" threaded flg for steel pipe 129431</t>
  </si>
  <si>
    <t xml:space="preserve">S185</t>
  </si>
  <si>
    <t xml:space="preserve">3" Sch 40 conduit</t>
  </si>
  <si>
    <t xml:space="preserve">S186</t>
  </si>
  <si>
    <t xml:space="preserve">3" Sch 40 sweep ell</t>
  </si>
  <si>
    <t xml:space="preserve">NOTES &amp; FLAGS</t>
  </si>
  <si>
    <t xml:space="preserve">Supplier terms, price/scope flags to resolve before award, and how this workbook was built.</t>
  </si>
  <si>
    <t xml:space="preserve">A · SUPPLIER TERMS &amp; CONDITIONS (as printed on each quote)</t>
  </si>
  <si>
    <t xml:space="preserve">Quote</t>
  </si>
  <si>
    <t xml:space="preserve">Terms &amp; conditions</t>
  </si>
  <si>
    <t xml:space="preserve">Exclusions &amp; assumptions</t>
  </si>
  <si>
    <t xml:space="preserve">Ferguson Waterworks, Las Vegas branch (VEGASWW / whse 1807) · Est. 006QQ000019fSKPYA2 · 9/18/2026 · bid date 9/9/2026 · addenda 1-3</t>
  </si>
  <si>
    <t xml:space="preserve">Net 30, no retention. Pricing good 30 days AND contingent upon award of the entire bill of materials. Prices based on immediate shipment (48 h); later shipments at price in effect. Quantities to be verified by installer; scope is Ferguson's interpretation and 'not guaranteed complete'. Rounded to full lengths/rolls. Special orders non-cancelable. Copper priced at ship. No tariff provision (may adjust with notice). Not Buy-America/AIS/ARRA compliant unless noted; not DBE/MBE/WBE.</t>
  </si>
  <si>
    <t xml:space="preserve">Includes steel casing, spacers and end seals. Priced 16" pipe as C905. Tax on quote: 6.75%.</t>
  </si>
  <si>
    <t xml:space="preserve">Quote Q647047 · bid date 9/9/2026 · estimator Ethan Cobb · customer Interstate Rock Products Inc. · Washington, UT</t>
  </si>
  <si>
    <t xml:space="preserve">No quote date or validity printed. Prices subject to change for any new or increased tariffs/duties, revised at time of shipment. Precast, pipe supports &amp; hangers and steel fabrication by others; basket strainer &amp; water meter supplied by owner; air-cooler piping by others (no bid).</t>
  </si>
  <si>
    <t xml:space="preserve">Casing pipe NO BID; casing spacers / end seals 'price to follow'. Lines marked *** (bell-joint restraints, grease pails) priced but quantity left to contractor and excluded from total; pipe lube included. Total includes $2,000 est. freight + $150 submittal fee. Quoted SDR-9 poly in place of non-existent Sch 80 poly (engineer approval needed). Tax 6.75%.</t>
  </si>
  <si>
    <t xml:space="preserve">Mountainland Supply Co. · Bid S108187947 (revised Church Farm Road, NOB) · order date 9/16/2026 · expiration 9/15/2026 · writer Bryan Johnson · plans dated July 2026, addenda 1-3</t>
  </si>
  <si>
    <t xml:space="preserve">Terms: CASH. Prices subject to increases per tariff &amp; additional-fees clause. Special-order material non-returnable; lines marked **NS** are non-stock. Item 10.6 assumes the existing 36" pipe is C900 or DI — otherwise transition couplers / a DI stick are extra.</t>
  </si>
  <si>
    <t xml:space="preserve">Bid Items 1-4, 13 and 15: no bid. Notes owner supplies pumps and the 12" meter / 12" Cla-Val at the meter vault (sheet 40 detail A). Est. S&amp;H $0.00. Tax 6.75%.</t>
  </si>
  <si>
    <t xml:space="preserve">Scholzen Products Co., Inc., Hurricane UT · Quote 7003117-00 · 7/24/26 · customer 100018 'Bidding to contractors'</t>
  </si>
  <si>
    <t xml:space="preserve">'Due to extreme market volatility, quotes are valid for 24 hours.' 2% monthly service charge on past-due accounts; restocking charge on returns; special orders non-returnable.</t>
  </si>
  <si>
    <t xml:space="preserve">No casing pipe / spacers / end seals. 'Link seal not available' (20" DI crossing). 'Spools ???? — contractor to verify spool length'. Implied tax rate 7.08% (others 6.75%).</t>
  </si>
  <si>
    <t xml:space="preserve">B · PRICE &amp; SCOPE FLAGS TO RESOLVE BEFORE AWARD</t>
  </si>
  <si>
    <t xml:space="preserve">Item / material</t>
  </si>
  <si>
    <t xml:space="preserve">What the quote says</t>
  </si>
  <si>
    <t xml:space="preserve">Why it matters</t>
  </si>
  <si>
    <t xml:space="preserve">Row ID</t>
  </si>
  <si>
    <t xml:space="preserve">Quoted at $1,871.76 vs Scholzen $40.02.</t>
  </si>
  <si>
    <t xml:space="preserve">Almost certainly a quoting error (line reads '1-1/4 - 2 Straight LEV Handle'). Ask Ferguson to re-check.</t>
  </si>
  <si>
    <t xml:space="preserve">$20.98/ft vs HD Fowler $4.88 and Scholzen $6.29.</t>
  </si>
  <si>
    <t xml:space="preserve">3-4x the field. Small footage, but a sign of un-scrubbed pricing.</t>
  </si>
  <si>
    <t xml:space="preserve">$7.014/ft in Item 5 but $3.507/ft in Item 12 for the same product.</t>
  </si>
  <si>
    <t xml:space="preserve">Ferguson's own quote is internally inconsistent.</t>
  </si>
  <si>
    <t xml:space="preserve">Bell-joint restraints (6", 12", 16")</t>
  </si>
  <si>
    <t xml:space="preserve">12" $259.37 vs $164.48; 16" $677.79 vs $408.48; 6" $85.95 vs $62.71–$77.18 (Mountainland / Scholzen).</t>
  </si>
  <si>
    <t xml:space="preserve">About $39K premium at Ferguson's own quantities — the single best negotiation target.</t>
  </si>
  <si>
    <t xml:space="preserve">8" Cla-Val 131 + VC-22D controller</t>
  </si>
  <si>
    <t xml:space="preserve">$37,321.60 vs $27.7K–$31.0K from the others.</t>
  </si>
  <si>
    <t xml:space="preserve">$6K–$10K premium; also confirm valve/solenoid voltage (HD Fowler 120V vs Mountainland 24VDC).</t>
  </si>
  <si>
    <t xml:space="preserve">2" x 18" Ready-Cut galvanized pipe</t>
  </si>
  <si>
    <t xml:space="preserve">$107.98 each vs $33.64 for the 24" piece.</t>
  </si>
  <si>
    <t xml:space="preserve">A shorter piece priced 3x higher — likely a mis-key.</t>
  </si>
  <si>
    <t xml:space="preserve">16" MJ restraint "*CVR*"</t>
  </si>
  <si>
    <t xml:space="preserve">$232.95 (Items 5, 10.4, 10.5) vs $350.06 for the same description in Item 9.4.</t>
  </si>
  <si>
    <t xml:space="preserve">Same wording, two prices — ask what *CVR* means before comparing.</t>
  </si>
  <si>
    <t xml:space="preserve">Bell-joint restraints &amp; grease</t>
  </si>
  <si>
    <t xml:space="preserve">Unit prices given, quantities left to contractor ('***'); excluded from HD Fowler's total.</t>
  </si>
  <si>
    <t xml:space="preserve">At the reference quantities the restraints alone add about $78K to HD Fowler's real cost.</t>
  </si>
  <si>
    <t xml:space="preserve">36" casing package</t>
  </si>
  <si>
    <t xml:space="preserve">Casing NO BID; spacers and end seals 'price to follow'.</t>
  </si>
  <si>
    <t xml:space="preserve">About $183K at the lowest competing prices is missing from its total.</t>
  </si>
  <si>
    <t xml:space="preserve">Quote arithmetic</t>
  </si>
  <si>
    <t xml:space="preserve">Printed Item 16 subtotal $101,522.26 vs $100,328.98 sum of its lines (+$1,193.28).</t>
  </si>
  <si>
    <t xml:space="preserve">The quote's grand total ties to the line sum, so the subtotal is a print error — but ask for a clean copy.</t>
  </si>
  <si>
    <t xml:space="preserve">Item 13 vs 14</t>
  </si>
  <si>
    <t xml:space="preserve">Lists the 3/4" water-service kit under Bid Item 13 ('Install new 2" meter'); Ferguson/Mountainland call Item 13 'no bid'.</t>
  </si>
  <si>
    <t xml:space="preserve">Mapped to Item 14 (materials match) — confirm which item the owner intends.</t>
  </si>
  <si>
    <t xml:space="preserve">Validity &amp; tariffs</t>
  </si>
  <si>
    <t xml:space="preserve">No quote date or expiry; prices reprice at shipment for tariffs.</t>
  </si>
  <si>
    <t xml:space="preserve">Ask for a dated, firm quote.</t>
  </si>
  <si>
    <t xml:space="preserve">Quote validity</t>
  </si>
  <si>
    <t xml:space="preserve">Expiration 9/15/2026 precedes order date 9/16/2026.</t>
  </si>
  <si>
    <t xml:space="preserve">Reissue needed before relying on any price.</t>
  </si>
  <si>
    <t xml:space="preserve">12" AV-TEK butterfly valve</t>
  </si>
  <si>
    <t xml:space="preserve">Quoted $6,451.76 without an electric actuator; others quote $18.4K–$20.2K with actuator.</t>
  </si>
  <si>
    <t xml:space="preserve">About $12K short of an actuated valve; it is excluded from the comparison (own row).</t>
  </si>
  <si>
    <t xml:space="preserve">3/4" PVC tee</t>
  </si>
  <si>
    <t xml:space="preserve">'401-007 3/4 PVC S40 tee' at $0.73 among 4" fittings.</t>
  </si>
  <si>
    <t xml:space="preserve">Probably a size typo (4" tee ≈ $30–$42).</t>
  </si>
  <si>
    <t xml:space="preserve">36" casing wall</t>
  </si>
  <si>
    <t xml:space="preserve">.625" spiral-weld A252 vs Ferguson .572" (HD Fowler's no-bid line reads .562").</t>
  </si>
  <si>
    <t xml:space="preserve">Heavier wall inflates Mountainland's casing price; confirm the spec.</t>
  </si>
  <si>
    <t xml:space="preserve">Dated 7/24/26, valid 24 hours — expired ~7/25/26, before the 9/9/26 bid date.</t>
  </si>
  <si>
    <t xml:space="preserve">Effectively an indicative price only.</t>
  </si>
  <si>
    <t xml:space="preserve">Valve flange hardware (Items 9.1–9.4)</t>
  </si>
  <si>
    <t xml:space="preserve">No flange bolt / gasket sets for the 6", 8", 12" and 16" valves.</t>
  </si>
  <si>
    <t xml:space="preserve">About $2K at competing prices is missing from its total.</t>
  </si>
  <si>
    <t xml:space="preserve">Casing, spacers, end seals</t>
  </si>
  <si>
    <t xml:space="preserve">Not quoted; 'link seal not available'.</t>
  </si>
  <si>
    <t xml:space="preserve">Same ~$183K scope hole as HD Fowler.</t>
  </si>
  <si>
    <t xml:space="preserve">3" conduit</t>
  </si>
  <si>
    <t xml:space="preserve">Quoted 1,260 ft Sch 80 ($4.40) AND 1,540 ft Sch 40 ($2.12).</t>
  </si>
  <si>
    <t xml:space="preserve">Likely alternates — buying both double-counts ~$5.5K.</t>
  </si>
  <si>
    <t xml:space="preserve">16" split Stargrip bell restraint</t>
  </si>
  <si>
    <t xml:space="preserve">$1,083.29 each ×34 vs $408–$682 for the others' bell restraints.</t>
  </si>
  <si>
    <t xml:space="preserve">About $23K spread; a retrofit-style product — confirm it is what the spec requires.</t>
  </si>
  <si>
    <t xml:space="preserve">Zurn Z415 at $144 vs $372–$482 for the Z520-class drains.</t>
  </si>
  <si>
    <t xml:space="preserve">Different, lighter-duty model — not equal.</t>
  </si>
  <si>
    <t xml:space="preserve">24" x 16" reducer (Item 10.12)</t>
  </si>
  <si>
    <t xml:space="preserve">Priced only a 16" bolt kit for a 24" flange.</t>
  </si>
  <si>
    <t xml:space="preserve">24" hardware missing (others ≈ $150–$300).</t>
  </si>
  <si>
    <t xml:space="preserve">All</t>
  </si>
  <si>
    <t xml:space="preserve">Owner-furnished equipment</t>
  </si>
  <si>
    <t xml:space="preserve">Pumps, the 12" meter and (per Mountainland) the 12" Cla-Val at the meter vault are owner-supplied.</t>
  </si>
  <si>
    <t xml:space="preserve">All four still priced the 8" pump-station Cla-Val — confirm it isn't owner-furnished before buying.</t>
  </si>
  <si>
    <t xml:space="preserve">Takeoff quantities</t>
  </si>
  <si>
    <t xml:space="preserve">Suppliers counted different quantities for restraints, spools, bolt sets, fittings.</t>
  </si>
  <si>
    <t xml:space="preserve">Column U ('Qty check') on Material Comparison flags every row where quoted quantities differ; reconcile to the plans.</t>
  </si>
  <si>
    <t xml:space="preserve">C · METHOD &amp; ASSUMPTIONS</t>
  </si>
  <si>
    <t xml:space="preserve">Topic</t>
  </si>
  <si>
    <t xml:space="preserve">How it works</t>
  </si>
  <si>
    <t xml:space="preserve">Sources</t>
  </si>
  <si>
    <t xml:space="preserve">Four PDFs in the repo: Ferguson (9 pp), HD Fowler (9 pp), Mountainland (8 pp) and Scholzen (12 pp, scanned image — transcribed line by line and checked against its printed subtotals). Every line is on the 'Quote Lines' tab; each supplier's lines sum to its printed total (Summary §1).</t>
  </si>
  <si>
    <t xml:space="preserve">Matching</t>
  </si>
  <si>
    <t xml:space="preserve">The 306 rows on 'Material Comparison' group equivalent products by function and size. Kits vs. components are compared as complete sets (valve box = base + top + lid; bolt set = bolts + gasket). Items a supplier placed under a different bid item are mapped by function (e.g. pipe-joint restraints) and noted. 'Alt spec – verify' marks rows where brand/model/material differ and the engineer should confirm equivalence; where a difference was material (e.g. actuated vs. non-actuated valve, 316 SS vs. brass) the products got separate rows.</t>
  </si>
  <si>
    <t xml:space="preserve">Units &amp; unit price</t>
  </si>
  <si>
    <t xml:space="preserve">Everything is normalized to one UoM per row (wire per foot, casing per foot, etc.; per-100-ft, per-1,000-ft and per-roll prices converted). Unit price = extended $ ÷ quantity, so Mountainland's 3-decimal printed prices don't cause rounding drift. Rows built from several parts add the parts' unit prices.</t>
  </si>
  <si>
    <t xml:space="preserve">Reference quantity</t>
  </si>
  <si>
    <t xml:space="preserve">Extended $ = unit price × Ref Qty (blue, editable). Ref Qty is the quantity most suppliers quoted; with no majority, the median (upper of two). Fire hydrants are fixed at 16 MJ + 1 flanged-boot. Change any Ref Qty and every total, rank and color updates.</t>
  </si>
  <si>
    <t xml:space="preserve">Colors</t>
  </si>
  <si>
    <t xml:space="preserve">Ranked on unit price within each row: green lowest, yellow 2nd lowest, orange the middle bid (only exists with 4 quotes), red highest. Three quotes → green / yellow / red; two → green / red; ties share the better color; a single quote is shown in gray and is not ranked.</t>
  </si>
  <si>
    <t xml:space="preserve">Comparable basis</t>
  </si>
  <si>
    <t xml:space="preserve">Rows priced by at least two suppliers. If a supplier skipped one, it is filled at the lowest competing unit price × Ref Qty — an estimate, not a quote. Single-supplier rows and fees are excluded. Sales tax, freight and future tariffs are not included.</t>
  </si>
  <si>
    <t xml:space="preserve">Editing</t>
  </si>
  <si>
    <t xml:space="preserve">Blue cells are inputs. To reflect a revised quote, change the price on 'Quote Lines' (or Ref Qty on 'Material Comparison'); all sheets recalculate. Helper columns W–AQ on 'Material Comparison' are grouped/hidden — expand the [+] above column W to see each supplier's own quantities.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</si>
</sst>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.00"/>
    <numFmt numFmtId="166" formatCode="\$#,##0.00;[RED]&quot;-$&quot;#,##0.00;&quot;ties ✓&quot;"/>
    <numFmt numFmtId="167" formatCode="General"/>
    <numFmt numFmtId="168" formatCode="\$#,##0"/>
    <numFmt numFmtId="169" formatCode="\$#,##0;&quot;-$&quot;#,##0;\—"/>
    <numFmt numFmtId="170" formatCode="0.0%;\-0.0%;\—"/>
    <numFmt numFmtId="171" formatCode="0.0%"/>
    <numFmt numFmtId="172" formatCode="&quot;saves $&quot;#,##0"/>
    <numFmt numFmtId="173" formatCode="[&lt;1]\$0.000;\$#,##0.00"/>
    <numFmt numFmtId="174" formatCode="0%"/>
    <numFmt numFmtId="175" formatCode="#,##0"/>
    <numFmt numFmtId="176" formatCode="#,##0.00"/>
    <numFmt numFmtId="177" formatCode="0.000000"/>
    <numFmt numFmtId="178" formatCode="#,##0.000;\-#,##0.0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1"/>
      <color rgb="FF44546A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color rgb="FF6B5900"/>
      <name val="Arial"/>
      <family val="0"/>
      <charset val="1"/>
    </font>
    <font>
      <b val="true"/>
      <sz val="9"/>
      <color rgb="FF7A3E00"/>
      <name val="Arial"/>
      <family val="0"/>
      <charset val="1"/>
    </font>
    <font>
      <b val="true"/>
      <sz val="9"/>
      <color rgb="FF7A0C0C"/>
      <name val="Arial"/>
      <family val="0"/>
      <charset val="1"/>
    </font>
    <font>
      <b val="true"/>
      <sz val="9"/>
      <color rgb="FF44546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404040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44546A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9"/>
      <color rgb="FF4454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7F7F7F"/>
      <name val="Arial"/>
      <family val="0"/>
      <charset val="1"/>
    </font>
    <font>
      <sz val="9"/>
      <color rgb="FF44546A"/>
      <name val="Arial"/>
      <family val="0"/>
      <charset val="1"/>
    </font>
    <font>
      <sz val="9"/>
      <color rgb="FF404040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0000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B7E1A1"/>
        <bgColor rgb="FFD0D5DD"/>
      </patternFill>
    </fill>
    <fill>
      <patternFill patternType="solid">
        <fgColor rgb="FFFFEB84"/>
        <bgColor rgb="FFFFF2CC"/>
      </patternFill>
    </fill>
    <fill>
      <patternFill patternType="solid">
        <fgColor rgb="FFFFBE7A"/>
        <bgColor rgb="FFF8998F"/>
      </patternFill>
    </fill>
    <fill>
      <patternFill patternType="solid">
        <fgColor rgb="FFF8998F"/>
        <bgColor rgb="FFFFBE7A"/>
      </patternFill>
    </fill>
    <fill>
      <patternFill patternType="solid">
        <fgColor rgb="FFE4EAF3"/>
        <bgColor rgb="FFE7ECF5"/>
      </patternFill>
    </fill>
    <fill>
      <patternFill patternType="solid">
        <fgColor rgb="FF1F3864"/>
        <bgColor rgb="FF2F4B7C"/>
      </patternFill>
    </fill>
    <fill>
      <patternFill patternType="solid">
        <fgColor rgb="FF2F4B7C"/>
        <bgColor rgb="FF44546A"/>
      </patternFill>
    </fill>
    <fill>
      <patternFill patternType="solid">
        <fgColor rgb="FFD9E2F3"/>
        <bgColor rgb="FFE4EAF3"/>
      </patternFill>
    </fill>
    <fill>
      <patternFill patternType="solid">
        <fgColor rgb="FFE7ECF5"/>
        <bgColor rgb="FFE4EAF3"/>
      </patternFill>
    </fill>
    <fill>
      <patternFill patternType="solid">
        <fgColor rgb="FFF2F2F2"/>
        <bgColor rgb="FFEEF3FB"/>
      </patternFill>
    </fill>
    <fill>
      <patternFill patternType="solid">
        <fgColor rgb="FFEEF3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7F7F7F"/>
        <bgColor rgb="FF548235"/>
      </patternFill>
    </fill>
    <fill>
      <patternFill patternType="solid">
        <fgColor rgb="FFA6A6A6"/>
        <bgColor rgb="FF9999FF"/>
      </patternFill>
    </fill>
    <fill>
      <patternFill patternType="solid">
        <fgColor rgb="FFFFF4E5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>
        <color rgb="FFD0D5DD"/>
      </left>
      <right style="hair">
        <color rgb="FFD0D5DD"/>
      </right>
      <top style="hair">
        <color rgb="FFD0D5DD"/>
      </top>
      <bottom style="hair">
        <color rgb="FFD0D5DD"/>
      </bottom>
      <diagonal/>
    </border>
    <border diagonalUp="false" diagonalDown="false">
      <left style="hair">
        <color rgb="FFD0D5DD"/>
      </left>
      <right/>
      <top style="hair">
        <color rgb="FFD0D5DD"/>
      </top>
      <bottom style="hair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2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3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4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3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0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0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5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6">
    <dxf>
      <font>
        <b val="1"/>
        <color rgb="FF1B5E20"/>
      </font>
      <fill>
        <patternFill>
          <bgColor rgb="FFB7E1A1"/>
        </patternFill>
      </fill>
    </dxf>
    <dxf>
      <font>
        <b val="1"/>
        <color rgb="FF7A0C0C"/>
      </font>
      <fill>
        <patternFill>
          <bgColor rgb="FFF8998F"/>
        </patternFill>
      </fill>
    </dxf>
    <dxf>
      <font>
        <b val="1"/>
        <color rgb="FF6B5900"/>
      </font>
      <fill>
        <patternFill>
          <bgColor rgb="FFFFEB84"/>
        </patternFill>
      </fill>
    </dxf>
    <dxf>
      <font>
        <b val="1"/>
        <color rgb="FF7A3E00"/>
      </font>
      <fill>
        <patternFill>
          <bgColor rgb="FFFFBE7A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2F4B7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7E1A1"/>
          <bgColor rgb="FF000000"/>
        </patternFill>
      </fill>
    </dxf>
    <dxf>
      <fill>
        <patternFill patternType="solid">
          <fgColor rgb="FFE4EAF3"/>
          <bgColor rgb="FF000000"/>
        </patternFill>
      </fill>
    </dxf>
    <dxf>
      <fill>
        <patternFill patternType="solid">
          <fgColor rgb="FFF8998F"/>
          <bgColor rgb="FF000000"/>
        </patternFill>
      </fill>
    </dxf>
    <dxf>
      <fill>
        <patternFill patternType="solid">
          <fgColor rgb="FFFFBE7A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6B5900"/>
          <bgColor rgb="FF000000"/>
        </patternFill>
      </fill>
    </dxf>
    <dxf>
      <fill>
        <patternFill patternType="solid">
          <fgColor rgb="FF7A0C0C"/>
          <bgColor rgb="FF000000"/>
        </patternFill>
      </fill>
    </dxf>
    <dxf>
      <fill>
        <patternFill patternType="solid">
          <fgColor rgb="FF7A3E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ont>
        <color rgb="FF7A0C0C"/>
      </font>
      <fill>
        <patternFill>
          <bgColor rgb="FFF8998F"/>
        </patternFill>
      </fill>
    </dxf>
    <dxf>
      <font>
        <color rgb="FF6B5900"/>
      </font>
      <fill>
        <patternFill>
          <bgColor rgb="FFFFEB84"/>
        </patternFill>
      </fill>
    </dxf>
    <dxf>
      <font>
        <color rgb="FF7A3E00"/>
      </font>
      <fill>
        <patternFill>
          <bgColor rgb="FFFFBE7A"/>
        </patternFill>
      </fill>
    </dxf>
    <dxf>
      <font>
        <i val="1"/>
        <color rgb="FF44546A"/>
      </font>
      <fill>
        <patternFill>
          <bgColor rgb="FFE4EAF3"/>
        </patternFill>
      </fill>
    </dxf>
    <dxf>
      <font>
        <color rgb="FFA6A6A6"/>
      </font>
    </dxf>
    <dxf>
      <font>
        <b val="1"/>
        <color rgb="FFC55A11"/>
      </font>
    </dxf>
    <dxf>
      <font>
        <b val="1"/>
        <color rgb="FF7F6000"/>
      </font>
      <fill>
        <patternFill>
          <bgColor rgb="FFFFF2CC"/>
        </patternFill>
      </fill>
    </dxf>
    <dxf>
      <font>
        <i val="1"/>
        <color rgb="FF7F7F7F"/>
      </font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A0C0C"/>
      <rgbColor rgb="FF1B5E20"/>
      <rgbColor rgb="FF000080"/>
      <rgbColor rgb="FF7F6000"/>
      <rgbColor rgb="FF800080"/>
      <rgbColor rgb="FF44546A"/>
      <rgbColor rgb="FFB7E1A1"/>
      <rgbColor rgb="FF7F7F7F"/>
      <rgbColor rgb="FF9999FF"/>
      <rgbColor rgb="FF993366"/>
      <rgbColor rgb="FFFFF2CC"/>
      <rgbColor rgb="FFEEF3FB"/>
      <rgbColor rgb="FF660066"/>
      <rgbColor rgb="FFF8998F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CF5"/>
      <rgbColor rgb="FFE4EAF3"/>
      <rgbColor rgb="FFFFEB84"/>
      <rgbColor rgb="FFD9E2F3"/>
      <rgbColor rgb="FFF2F2F2"/>
      <rgbColor rgb="FFFFF4E5"/>
      <rgbColor rgb="FFFFBE7A"/>
      <rgbColor rgb="FF2E75B6"/>
      <rgbColor rgb="FF33CCCC"/>
      <rgbColor rgb="FF99CC00"/>
      <rgbColor rgb="FFFFCC00"/>
      <rgbColor rgb="FFFF9900"/>
      <rgbColor rgb="FFC55A11"/>
      <rgbColor rgb="FF595959"/>
      <rgbColor rgb="FFA6A6A6"/>
      <rgbColor rgb="FF1F3864"/>
      <rgbColor rgb="FF548235"/>
      <rgbColor rgb="FF003300"/>
      <rgbColor rgb="FF6B5900"/>
      <rgbColor rgb="FF7A3E00"/>
      <rgbColor rgb="FF993366"/>
      <rgbColor rgb="FF2F4B7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M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6" min="4" style="0" width="16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2" min="11" style="0" width="16"/>
    <col collapsed="false" customWidth="true" hidden="false" outlineLevel="0" max="13" min="13" style="0" width="12"/>
    <col collapsed="false" customWidth="true" hidden="false" outlineLevel="0" max="14" min="14" style="0" width="2"/>
  </cols>
  <sheetData>
    <row r="1" customFormat="false" ht="27.75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1.75" hidden="false" customHeight="true" outlineLevel="0" collapsed="false">
      <c r="B4" s="3" t="s">
        <v>2</v>
      </c>
      <c r="C4" s="4" t="s">
        <v>3</v>
      </c>
      <c r="D4" s="5" t="s">
        <v>4</v>
      </c>
      <c r="E4" s="6" t="s">
        <v>5</v>
      </c>
      <c r="F4" s="7" t="s">
        <v>6</v>
      </c>
      <c r="G4" s="8" t="s">
        <v>7</v>
      </c>
    </row>
    <row r="6" customFormat="false" ht="21.75" hidden="false" customHeight="true" outlineLevel="0" collapsed="false"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customFormat="false" ht="33.75" hidden="false" customHeight="true" outlineLevel="0" collapsed="false">
      <c r="B7" s="11" t="s">
        <v>9</v>
      </c>
      <c r="C7" s="11" t="s">
        <v>10</v>
      </c>
      <c r="D7" s="11" t="s">
        <v>11</v>
      </c>
      <c r="E7" s="11" t="s">
        <v>12</v>
      </c>
      <c r="F7" s="11" t="s">
        <v>13</v>
      </c>
      <c r="G7" s="11" t="s">
        <v>14</v>
      </c>
      <c r="H7" s="11" t="s">
        <v>15</v>
      </c>
      <c r="I7" s="11" t="s">
        <v>16</v>
      </c>
      <c r="J7" s="11" t="s">
        <v>17</v>
      </c>
      <c r="K7" s="11" t="s">
        <v>18</v>
      </c>
    </row>
    <row r="8" customFormat="false" ht="36" hidden="false" customHeight="true" outlineLevel="0" collapsed="false">
      <c r="B8" s="12" t="s">
        <v>19</v>
      </c>
      <c r="C8" s="13" t="s">
        <v>20</v>
      </c>
      <c r="D8" s="13" t="s">
        <v>21</v>
      </c>
      <c r="E8" s="14" t="n">
        <f aca="false">SUMIFS('Quote Lines'!$I$3:$I$805,'Quote Lines'!$A$3:$A$805,$B8,'Quote Lines'!$M$3:$M$805,"Y")</f>
        <v>1313834.38</v>
      </c>
      <c r="F8" s="15" t="n">
        <v>1313834.38</v>
      </c>
      <c r="G8" s="16" t="n">
        <f aca="false">E8-F8</f>
        <v>0</v>
      </c>
      <c r="H8" s="15" t="n">
        <v>88683.82</v>
      </c>
      <c r="I8" s="17" t="n">
        <f aca="false">F8+H8</f>
        <v>1402518.2</v>
      </c>
      <c r="J8" s="18" t="n">
        <f aca="false">COUNTIFS('Quote Lines'!$A$3:$A$805,$B8,'Quote Lines'!$M$3:$M$805,"Y")</f>
        <v>207</v>
      </c>
      <c r="K8" s="19" t="s">
        <v>22</v>
      </c>
      <c r="L8" s="19"/>
      <c r="M8" s="19"/>
    </row>
    <row r="9" customFormat="false" ht="36" hidden="false" customHeight="true" outlineLevel="0" collapsed="false">
      <c r="B9" s="12" t="s">
        <v>23</v>
      </c>
      <c r="C9" s="13" t="s">
        <v>24</v>
      </c>
      <c r="D9" s="13" t="s">
        <v>25</v>
      </c>
      <c r="E9" s="14" t="n">
        <f aca="false">SUMIFS('Quote Lines'!$I$3:$I$805,'Quote Lines'!$A$3:$A$805,$B9,'Quote Lines'!$M$3:$M$805,"Y")</f>
        <v>1036912.78</v>
      </c>
      <c r="F9" s="15" t="n">
        <v>1036912.78</v>
      </c>
      <c r="G9" s="16" t="n">
        <f aca="false">E9-F9</f>
        <v>0</v>
      </c>
      <c r="H9" s="15" t="n">
        <v>69991.77</v>
      </c>
      <c r="I9" s="17" t="n">
        <f aca="false">F9+H9</f>
        <v>1106904.55</v>
      </c>
      <c r="J9" s="18" t="n">
        <f aca="false">COUNTIFS('Quote Lines'!$A$3:$A$805,$B9,'Quote Lines'!$M$3:$M$805,"Y")</f>
        <v>229</v>
      </c>
      <c r="K9" s="19" t="s">
        <v>26</v>
      </c>
      <c r="L9" s="19"/>
      <c r="M9" s="19"/>
    </row>
    <row r="10" customFormat="false" ht="36" hidden="false" customHeight="true" outlineLevel="0" collapsed="false">
      <c r="B10" s="12" t="s">
        <v>27</v>
      </c>
      <c r="C10" s="13" t="s">
        <v>28</v>
      </c>
      <c r="D10" s="20" t="s">
        <v>29</v>
      </c>
      <c r="E10" s="14" t="n">
        <f aca="false">SUMIFS('Quote Lines'!$I$3:$I$805,'Quote Lines'!$A$3:$A$805,$B10,'Quote Lines'!$M$3:$M$805,"Y")</f>
        <v>1247235.06</v>
      </c>
      <c r="F10" s="15" t="n">
        <v>1247235.06</v>
      </c>
      <c r="G10" s="16" t="n">
        <f aca="false">E10-F10</f>
        <v>0</v>
      </c>
      <c r="H10" s="15" t="n">
        <v>84188.34</v>
      </c>
      <c r="I10" s="17" t="n">
        <f aca="false">F10+H10</f>
        <v>1331423.4</v>
      </c>
      <c r="J10" s="18" t="n">
        <f aca="false">COUNTIFS('Quote Lines'!$A$3:$A$805,$B10,'Quote Lines'!$M$3:$M$805,"Y")</f>
        <v>173</v>
      </c>
      <c r="K10" s="19" t="s">
        <v>30</v>
      </c>
      <c r="L10" s="19"/>
      <c r="M10" s="19"/>
    </row>
    <row r="11" customFormat="false" ht="36" hidden="false" customHeight="true" outlineLevel="0" collapsed="false">
      <c r="B11" s="12" t="s">
        <v>31</v>
      </c>
      <c r="C11" s="13" t="s">
        <v>32</v>
      </c>
      <c r="D11" s="20" t="s">
        <v>33</v>
      </c>
      <c r="E11" s="14" t="n">
        <f aca="false">SUMIFS('Quote Lines'!$I$3:$I$805,'Quote Lines'!$A$3:$A$805,$B11,'Quote Lines'!$M$3:$M$805,"Y")</f>
        <v>1114950.34</v>
      </c>
      <c r="F11" s="15" t="n">
        <v>1114950.34</v>
      </c>
      <c r="G11" s="16" t="n">
        <f aca="false">E11-F11</f>
        <v>0</v>
      </c>
      <c r="H11" s="15" t="n">
        <v>78938.48</v>
      </c>
      <c r="I11" s="17" t="n">
        <f aca="false">F11+H11</f>
        <v>1193888.82</v>
      </c>
      <c r="J11" s="18" t="n">
        <f aca="false">COUNTIFS('Quote Lines'!$A$3:$A$805,$B11,'Quote Lines'!$M$3:$M$805,"Y")</f>
        <v>183</v>
      </c>
      <c r="K11" s="19" t="s">
        <v>34</v>
      </c>
      <c r="L11" s="19"/>
      <c r="M11" s="19"/>
    </row>
    <row r="12" customFormat="false" ht="15" hidden="false" customHeight="false" outlineLevel="0" collapsed="false">
      <c r="B12" s="21" t="s">
        <v>35</v>
      </c>
    </row>
    <row r="14" customFormat="false" ht="21.75" hidden="false" customHeight="true" outlineLevel="0" collapsed="false">
      <c r="B14" s="9" t="s">
        <v>36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customFormat="false" ht="33.75" hidden="false" customHeight="true" outlineLevel="0" collapsed="false">
      <c r="B15" s="11" t="s">
        <v>9</v>
      </c>
      <c r="C15" s="11" t="s">
        <v>37</v>
      </c>
      <c r="D15" s="11" t="s">
        <v>38</v>
      </c>
      <c r="E15" s="11" t="s">
        <v>39</v>
      </c>
      <c r="F15" s="11" t="s">
        <v>40</v>
      </c>
      <c r="G15" s="11" t="s">
        <v>41</v>
      </c>
      <c r="H15" s="11" t="s">
        <v>42</v>
      </c>
    </row>
    <row r="16" customFormat="false" ht="15" hidden="false" customHeight="false" outlineLevel="0" collapsed="false">
      <c r="B16" s="12" t="s">
        <v>19</v>
      </c>
      <c r="C16" s="22" t="str">
        <f aca="false">COUNTIFS('Material Comparison'!$AE$7:$AE$338,"&gt;=1",'Material Comparison'!$AE$7:$AE$338,"&lt;=4")&amp;" of "&amp;COUNTIF('Material Comparison'!$S$7:$S$338,"&gt;=2")</f>
        <v>155 of 177</v>
      </c>
      <c r="D16" s="23" t="n">
        <f aca="false">SUM('Material Comparison'!$AI$7:$AI$338)-SUMIFS('Material Comparison'!$K$7:$K$338,'Material Comparison'!$S$7:$S$338,"&gt;=2")</f>
        <v>24598.4100000002</v>
      </c>
      <c r="E16" s="24" t="n">
        <f aca="false">SUM('Material Comparison'!$AI$7:$AI$338)</f>
        <v>1329066.03348387</v>
      </c>
      <c r="F16" s="25" t="n">
        <f aca="false">E16-MIN($E$16:$E$19)</f>
        <v>54502.7466001939</v>
      </c>
      <c r="G16" s="26" t="n">
        <f aca="false">E16/MIN($E$16:$E$19)-1</f>
        <v>0.0427618990450085</v>
      </c>
      <c r="H16" s="27" t="n">
        <f aca="false">RANK(E16,$E$16:$E$19,1)</f>
        <v>4</v>
      </c>
    </row>
    <row r="17" customFormat="false" ht="15" hidden="false" customHeight="false" outlineLevel="0" collapsed="false">
      <c r="B17" s="12" t="s">
        <v>23</v>
      </c>
      <c r="C17" s="22" t="str">
        <f aca="false">COUNTIFS('Material Comparison'!$AF$7:$AF$338,"&gt;=1",'Material Comparison'!$AF$7:$AF$338,"&lt;=4")&amp;" of "&amp;COUNTIF('Material Comparison'!$S$7:$S$338,"&gt;=2")</f>
        <v>145 of 177</v>
      </c>
      <c r="D17" s="23" t="n">
        <f aca="false">SUM('Material Comparison'!$AJ$7:$AJ$338)-SUMIFS('Material Comparison'!$L$7:$L$338,'Material Comparison'!$S$7:$S$338,"&gt;=2")</f>
        <v>197167.619444445</v>
      </c>
      <c r="E17" s="24" t="n">
        <f aca="false">SUM('Material Comparison'!$AJ$7:$AJ$338)</f>
        <v>1290937.83670472</v>
      </c>
      <c r="F17" s="25" t="n">
        <f aca="false">E17-MIN($E$16:$E$19)</f>
        <v>16374.5498210413</v>
      </c>
      <c r="G17" s="26" t="n">
        <f aca="false">E17/MIN($E$16:$E$19)-1</f>
        <v>0.0128471845922042</v>
      </c>
      <c r="H17" s="27" t="n">
        <f aca="false">RANK(E17,$E$16:$E$19,1)</f>
        <v>2</v>
      </c>
    </row>
    <row r="18" customFormat="false" ht="15" hidden="false" customHeight="false" outlineLevel="0" collapsed="false">
      <c r="B18" s="12" t="s">
        <v>27</v>
      </c>
      <c r="C18" s="22" t="str">
        <f aca="false">COUNTIFS('Material Comparison'!$AG$7:$AG$338,"&gt;=1",'Material Comparison'!$AG$7:$AG$338,"&lt;=4")&amp;" of "&amp;COUNTIF('Material Comparison'!$S$7:$S$338,"&gt;=2")</f>
        <v>138 of 177</v>
      </c>
      <c r="D18" s="23" t="n">
        <f aca="false">SUM('Material Comparison'!$AK$7:$AK$338)-SUMIFS('Material Comparison'!$M$7:$M$338,'Material Comparison'!$S$7:$S$338,"&gt;=2")</f>
        <v>52229.587260274</v>
      </c>
      <c r="E18" s="24" t="n">
        <f aca="false">SUM('Material Comparison'!$AK$7:$AK$338)</f>
        <v>1274563.28688368</v>
      </c>
      <c r="F18" s="25" t="n">
        <f aca="false">E18-MIN($E$16:$E$19)</f>
        <v>0</v>
      </c>
      <c r="G18" s="26" t="n">
        <f aca="false">E18/MIN($E$16:$E$19)-1</f>
        <v>0</v>
      </c>
      <c r="H18" s="27" t="n">
        <f aca="false">RANK(E18,$E$16:$E$19,1)</f>
        <v>1</v>
      </c>
    </row>
    <row r="19" customFormat="false" ht="15" hidden="false" customHeight="false" outlineLevel="0" collapsed="false">
      <c r="B19" s="12" t="s">
        <v>31</v>
      </c>
      <c r="C19" s="22" t="str">
        <f aca="false">COUNTIFS('Material Comparison'!$AH$7:$AH$338,"&gt;=1",'Material Comparison'!$AH$7:$AH$338,"&lt;=4")&amp;" of "&amp;COUNTIF('Material Comparison'!$S$7:$S$338,"&gt;=2")</f>
        <v>132 of 177</v>
      </c>
      <c r="D19" s="23" t="n">
        <f aca="false">SUM('Material Comparison'!$AL$7:$AL$338)-SUMIFS('Material Comparison'!$N$7:$N$338,'Material Comparison'!$S$7:$S$338,"&gt;=2")</f>
        <v>208085.454444445</v>
      </c>
      <c r="E19" s="24" t="n">
        <f aca="false">SUM('Material Comparison'!$AL$7:$AL$338)</f>
        <v>1293215.58444444</v>
      </c>
      <c r="F19" s="25" t="n">
        <f aca="false">E19-MIN($E$16:$E$19)</f>
        <v>18652.2975607673</v>
      </c>
      <c r="G19" s="26" t="n">
        <f aca="false">E19/MIN($E$16:$E$19)-1</f>
        <v>0.0146342655187977</v>
      </c>
      <c r="H19" s="27" t="n">
        <f aca="false">RANK(E19,$E$16:$E$19,1)</f>
        <v>3</v>
      </c>
    </row>
    <row r="20" customFormat="false" ht="15" hidden="false" customHeight="false" outlineLevel="0" collapsed="false">
      <c r="B20" s="21" t="s">
        <v>43</v>
      </c>
    </row>
    <row r="22" customFormat="false" ht="21.75" hidden="false" customHeight="true" outlineLevel="0" collapsed="false">
      <c r="B22" s="9" t="s">
        <v>44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customFormat="false" ht="30" hidden="false" customHeight="true" outlineLevel="0" collapsed="false">
      <c r="B23" s="11" t="s">
        <v>9</v>
      </c>
      <c r="C23" s="4" t="s">
        <v>45</v>
      </c>
      <c r="D23" s="5" t="s">
        <v>46</v>
      </c>
      <c r="E23" s="6" t="s">
        <v>47</v>
      </c>
      <c r="F23" s="7" t="s">
        <v>48</v>
      </c>
      <c r="G23" s="8" t="s">
        <v>49</v>
      </c>
      <c r="H23" s="28" t="s">
        <v>50</v>
      </c>
    </row>
    <row r="24" customFormat="false" ht="15" hidden="false" customHeight="false" outlineLevel="0" collapsed="false">
      <c r="B24" s="12" t="s">
        <v>19</v>
      </c>
      <c r="C24" s="22" t="n">
        <f aca="false">COUNTIF('Material Comparison'!$AE$7:$AE$338,1)</f>
        <v>63</v>
      </c>
      <c r="D24" s="22" t="n">
        <f aca="false">COUNTIF('Material Comparison'!$AE$7:$AE$338,2)</f>
        <v>18</v>
      </c>
      <c r="E24" s="22" t="n">
        <f aca="false">COUNTIF('Material Comparison'!$AE$7:$AE$338,3)</f>
        <v>17</v>
      </c>
      <c r="F24" s="22" t="n">
        <f aca="false">COUNTIF('Material Comparison'!$AE$7:$AE$338,4)</f>
        <v>57</v>
      </c>
      <c r="G24" s="22" t="n">
        <f aca="false">COUNTIF('Material Comparison'!$AE$7:$AE$338,5)</f>
        <v>19</v>
      </c>
      <c r="H24" s="29" t="n">
        <f aca="false">COUNTIF('Material Comparison'!$AE$7:$AE$338,0)</f>
        <v>132</v>
      </c>
    </row>
    <row r="25" customFormat="false" ht="15" hidden="false" customHeight="false" outlineLevel="0" collapsed="false">
      <c r="B25" s="12" t="s">
        <v>23</v>
      </c>
      <c r="C25" s="22" t="n">
        <f aca="false">COUNTIF('Material Comparison'!$AF$7:$AF$338,1)</f>
        <v>48</v>
      </c>
      <c r="D25" s="22" t="n">
        <f aca="false">COUNTIF('Material Comparison'!$AF$7:$AF$338,2)</f>
        <v>48</v>
      </c>
      <c r="E25" s="22" t="n">
        <f aca="false">COUNTIF('Material Comparison'!$AF$7:$AF$338,3)</f>
        <v>25</v>
      </c>
      <c r="F25" s="22" t="n">
        <f aca="false">COUNTIF('Material Comparison'!$AF$7:$AF$338,4)</f>
        <v>24</v>
      </c>
      <c r="G25" s="22" t="n">
        <f aca="false">COUNTIF('Material Comparison'!$AF$7:$AF$338,5)</f>
        <v>35</v>
      </c>
      <c r="H25" s="29" t="n">
        <f aca="false">COUNTIF('Material Comparison'!$AF$7:$AF$338,0)</f>
        <v>126</v>
      </c>
    </row>
    <row r="26" customFormat="false" ht="15" hidden="false" customHeight="false" outlineLevel="0" collapsed="false">
      <c r="B26" s="12" t="s">
        <v>27</v>
      </c>
      <c r="C26" s="22" t="n">
        <f aca="false">COUNTIF('Material Comparison'!$AG$7:$AG$338,1)</f>
        <v>48</v>
      </c>
      <c r="D26" s="22" t="n">
        <f aca="false">COUNTIF('Material Comparison'!$AG$7:$AG$338,2)</f>
        <v>31</v>
      </c>
      <c r="E26" s="22" t="n">
        <f aca="false">COUNTIF('Material Comparison'!$AG$7:$AG$338,3)</f>
        <v>25</v>
      </c>
      <c r="F26" s="22" t="n">
        <f aca="false">COUNTIF('Material Comparison'!$AG$7:$AG$338,4)</f>
        <v>34</v>
      </c>
      <c r="G26" s="22" t="n">
        <f aca="false">COUNTIF('Material Comparison'!$AG$7:$AG$338,5)</f>
        <v>30</v>
      </c>
      <c r="H26" s="29" t="n">
        <f aca="false">COUNTIF('Material Comparison'!$AG$7:$AG$338,0)</f>
        <v>138</v>
      </c>
    </row>
    <row r="27" customFormat="false" ht="15" hidden="false" customHeight="false" outlineLevel="0" collapsed="false">
      <c r="B27" s="12" t="s">
        <v>31</v>
      </c>
      <c r="C27" s="22" t="n">
        <f aca="false">COUNTIF('Material Comparison'!$AH$7:$AH$338,1)</f>
        <v>18</v>
      </c>
      <c r="D27" s="22" t="n">
        <f aca="false">COUNTIF('Material Comparison'!$AH$7:$AH$338,2)</f>
        <v>27</v>
      </c>
      <c r="E27" s="22" t="n">
        <f aca="false">COUNTIF('Material Comparison'!$AH$7:$AH$338,3)</f>
        <v>24</v>
      </c>
      <c r="F27" s="22" t="n">
        <f aca="false">COUNTIF('Material Comparison'!$AH$7:$AH$338,4)</f>
        <v>63</v>
      </c>
      <c r="G27" s="22" t="n">
        <f aca="false">COUNTIF('Material Comparison'!$AH$7:$AH$338,5)</f>
        <v>45</v>
      </c>
      <c r="H27" s="29" t="n">
        <f aca="false">COUNTIF('Material Comparison'!$AH$7:$AH$338,0)</f>
        <v>129</v>
      </c>
    </row>
    <row r="28" customFormat="false" ht="15" hidden="false" customHeight="false" outlineLevel="0" collapsed="false">
      <c r="B28" s="21" t="s">
        <v>51</v>
      </c>
    </row>
    <row r="30" customFormat="false" ht="21.75" hidden="false" customHeight="true" outlineLevel="0" collapsed="false">
      <c r="B30" s="9" t="s">
        <v>52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customFormat="false" ht="15" hidden="false" customHeight="false" outlineLevel="0" collapsed="false">
      <c r="B31" s="11" t="s">
        <v>9</v>
      </c>
      <c r="C31" s="11" t="s">
        <v>53</v>
      </c>
      <c r="D31" s="11" t="s">
        <v>54</v>
      </c>
      <c r="E31" s="11" t="s">
        <v>55</v>
      </c>
    </row>
    <row r="32" customFormat="false" ht="15" hidden="false" customHeight="false" outlineLevel="0" collapsed="false">
      <c r="B32" s="12" t="s">
        <v>19</v>
      </c>
      <c r="C32" s="22" t="n">
        <f aca="false">COUNTIF('Material Comparison'!$AQ$7:$AQ$338,$B32)</f>
        <v>63</v>
      </c>
      <c r="D32" s="23" t="n">
        <f aca="false">SUMIFS('Material Comparison'!$AP$7:$AP$338,'Material Comparison'!$AQ$7:$AQ$338,$B32)</f>
        <v>695002.583483871</v>
      </c>
      <c r="E32" s="30" t="n">
        <f aca="false">D32/$D$36</f>
        <v>0.576831409292457</v>
      </c>
    </row>
    <row r="33" customFormat="false" ht="15" hidden="false" customHeight="false" outlineLevel="0" collapsed="false">
      <c r="B33" s="12" t="s">
        <v>23</v>
      </c>
      <c r="C33" s="22" t="n">
        <f aca="false">COUNTIF('Material Comparison'!$AQ$7:$AQ$338,$B33)</f>
        <v>48</v>
      </c>
      <c r="D33" s="23" t="n">
        <f aca="false">SUMIFS('Material Comparison'!$AP$7:$AP$338,'Material Comparison'!$AQ$7:$AQ$338,$B33)</f>
        <v>210897.747260274</v>
      </c>
      <c r="E33" s="30" t="n">
        <f aca="false">D33/$D$36</f>
        <v>0.175038838214004</v>
      </c>
    </row>
    <row r="34" customFormat="false" ht="15" hidden="false" customHeight="false" outlineLevel="0" collapsed="false">
      <c r="B34" s="12" t="s">
        <v>27</v>
      </c>
      <c r="C34" s="22" t="n">
        <f aca="false">COUNTIF('Material Comparison'!$AQ$7:$AQ$338,$B34)</f>
        <v>48</v>
      </c>
      <c r="D34" s="23" t="n">
        <f aca="false">SUMIFS('Material Comparison'!$AP$7:$AP$338,'Material Comparison'!$AQ$7:$AQ$338,$B34)</f>
        <v>170346.285251931</v>
      </c>
      <c r="E34" s="30" t="n">
        <f aca="false">D34/$D$36</f>
        <v>0.141382334576439</v>
      </c>
    </row>
    <row r="35" customFormat="false" ht="15" hidden="false" customHeight="false" outlineLevel="0" collapsed="false">
      <c r="B35" s="12" t="s">
        <v>31</v>
      </c>
      <c r="C35" s="22" t="n">
        <f aca="false">COUNTIF('Material Comparison'!$AQ$7:$AQ$338,$B35)</f>
        <v>18</v>
      </c>
      <c r="D35" s="23" t="n">
        <f aca="false">SUMIFS('Material Comparison'!$AP$7:$AP$338,'Material Comparison'!$AQ$7:$AQ$338,$B35)</f>
        <v>128615.97</v>
      </c>
      <c r="E35" s="30" t="n">
        <f aca="false">D35/$D$36</f>
        <v>0.106747417917099</v>
      </c>
    </row>
    <row r="36" customFormat="false" ht="15" hidden="false" customHeight="false" outlineLevel="0" collapsed="false">
      <c r="B36" s="31" t="s">
        <v>56</v>
      </c>
      <c r="C36" s="32" t="n">
        <f aca="false">SUM(C32:C35)</f>
        <v>177</v>
      </c>
      <c r="D36" s="33" t="n">
        <f aca="false">SUM(D32:D35)</f>
        <v>1204862.58599608</v>
      </c>
      <c r="E36" s="34" t="n">
        <f aca="false">SUM(E32:E35)</f>
        <v>1</v>
      </c>
    </row>
    <row r="37" customFormat="false" ht="15" hidden="false" customHeight="false" outlineLevel="0" collapsed="false">
      <c r="B37" s="35" t="s">
        <v>57</v>
      </c>
      <c r="D37" s="23" t="n">
        <f aca="false">MIN(E16:E19)</f>
        <v>1274563.28688368</v>
      </c>
    </row>
    <row r="38" customFormat="false" ht="15" hidden="false" customHeight="false" outlineLevel="0" collapsed="false">
      <c r="B38" s="36" t="s">
        <v>58</v>
      </c>
      <c r="D38" s="37" t="n">
        <f aca="false">D37-D36</f>
        <v>69700.7008876011</v>
      </c>
      <c r="E38" s="38" t="n">
        <f aca="false">D38/D37</f>
        <v>0.0546859474181311</v>
      </c>
    </row>
    <row r="39" customFormat="false" ht="15" hidden="false" customHeight="false" outlineLevel="0" collapsed="false">
      <c r="B39" s="39" t="s">
        <v>59</v>
      </c>
      <c r="C39" s="39"/>
      <c r="D39" s="40" t="n">
        <f aca="false">SUM('By Bid Item'!H5:H30)</f>
        <v>1242308.52905766</v>
      </c>
      <c r="E39" s="41" t="n">
        <f aca="false">D37-D39</f>
        <v>32254.7578260175</v>
      </c>
    </row>
    <row r="40" customFormat="false" ht="15" hidden="false" customHeight="false" outlineLevel="0" collapsed="false">
      <c r="B40" s="21" t="s">
        <v>60</v>
      </c>
    </row>
    <row r="42" customFormat="false" ht="21.75" hidden="false" customHeight="true" outlineLevel="0" collapsed="false">
      <c r="B42" s="9" t="s">
        <v>61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customFormat="false" ht="15" hidden="false" customHeight="false" outlineLevel="0" collapsed="false">
      <c r="B43" s="11" t="s">
        <v>9</v>
      </c>
      <c r="C43" s="11" t="s">
        <v>62</v>
      </c>
      <c r="D43" s="11" t="s">
        <v>63</v>
      </c>
      <c r="E43" s="11" t="s">
        <v>41</v>
      </c>
    </row>
    <row r="44" customFormat="false" ht="15" hidden="false" customHeight="false" outlineLevel="0" collapsed="false">
      <c r="B44" s="12" t="s">
        <v>19</v>
      </c>
      <c r="C44" s="22" t="n">
        <f aca="false">COUNTIF('Material Comparison'!$S$7:$S$338,4)</f>
        <v>92</v>
      </c>
      <c r="D44" s="24" t="n">
        <f aca="false">SUMIFS('Material Comparison'!$K$7:$K$338,'Material Comparison'!$S$7:$S$338,4)</f>
        <v>1047651.08348387</v>
      </c>
      <c r="E44" s="26" t="n">
        <f aca="false">IFERROR(D44/MIN($D$44:$D$47)-1,0)</f>
        <v>0.0521184518906042</v>
      </c>
    </row>
    <row r="45" customFormat="false" ht="15" hidden="false" customHeight="false" outlineLevel="0" collapsed="false">
      <c r="B45" s="12" t="s">
        <v>23</v>
      </c>
      <c r="C45" s="22" t="n">
        <f aca="false">COUNTIF('Material Comparison'!$S$7:$S$338,4)</f>
        <v>92</v>
      </c>
      <c r="D45" s="24" t="n">
        <f aca="false">SUMIFS('Material Comparison'!$L$7:$L$338,'Material Comparison'!$S$7:$S$338,4)</f>
        <v>1028533.52</v>
      </c>
      <c r="E45" s="26" t="n">
        <f aca="false">IFERROR(D45/MIN($D$44:$D$47)-1,0)</f>
        <v>0.0329193677549935</v>
      </c>
    </row>
    <row r="46" customFormat="false" ht="15" hidden="false" customHeight="false" outlineLevel="0" collapsed="false">
      <c r="B46" s="12" t="s">
        <v>27</v>
      </c>
      <c r="C46" s="22" t="n">
        <f aca="false">COUNTIF('Material Comparison'!$S$7:$S$338,4)</f>
        <v>92</v>
      </c>
      <c r="D46" s="24" t="n">
        <f aca="false">SUMIFS('Material Comparison'!$M$7:$M$338,'Material Comparison'!$S$7:$S$338,4)</f>
        <v>995753.930178959</v>
      </c>
      <c r="E46" s="26" t="n">
        <f aca="false">IFERROR(D46/MIN($D$44:$D$47)-1,0)</f>
        <v>0</v>
      </c>
    </row>
    <row r="47" customFormat="false" ht="15" hidden="false" customHeight="false" outlineLevel="0" collapsed="false">
      <c r="B47" s="12" t="s">
        <v>31</v>
      </c>
      <c r="C47" s="22" t="n">
        <f aca="false">COUNTIF('Material Comparison'!$S$7:$S$338,4)</f>
        <v>92</v>
      </c>
      <c r="D47" s="24" t="n">
        <f aca="false">SUMIFS('Material Comparison'!$N$7:$N$338,'Material Comparison'!$S$7:$S$338,4)</f>
        <v>1025633.79</v>
      </c>
      <c r="E47" s="26" t="n">
        <f aca="false">IFERROR(D47/MIN($D$44:$D$47)-1,0)</f>
        <v>0.0300072727964742</v>
      </c>
    </row>
    <row r="49" customFormat="false" ht="21.75" hidden="false" customHeight="true" outlineLevel="0" collapsed="false">
      <c r="B49" s="9" t="s">
        <v>64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customFormat="false" ht="30" hidden="false" customHeight="true" outlineLevel="0" collapsed="false">
      <c r="B50" s="11" t="s">
        <v>65</v>
      </c>
      <c r="C50" s="11" t="s">
        <v>66</v>
      </c>
      <c r="D50" s="11"/>
      <c r="E50" s="11" t="s">
        <v>67</v>
      </c>
      <c r="F50" s="11" t="s">
        <v>68</v>
      </c>
      <c r="G50" s="11" t="s">
        <v>69</v>
      </c>
      <c r="H50" s="11" t="s">
        <v>70</v>
      </c>
      <c r="I50" s="11" t="s">
        <v>71</v>
      </c>
      <c r="J50" s="11" t="s">
        <v>72</v>
      </c>
      <c r="K50" s="11" t="s">
        <v>73</v>
      </c>
    </row>
    <row r="51" customFormat="false" ht="25.5" hidden="false" customHeight="true" outlineLevel="0" collapsed="false">
      <c r="B51" s="42" t="n">
        <v>1</v>
      </c>
      <c r="C51" s="43" t="str">
        <f aca="false">INDEX('Material Comparison'!$D$7:$D$338,MATCH(LARGE('Material Comparison'!$AM$7:$AM$338,1),'Material Comparison'!$AM$7:$AM$338,0))</f>
        <v>16" bell-joint restraint (pipe-to-pipe, C900/C905)</v>
      </c>
      <c r="D51" s="43"/>
      <c r="E51" s="18" t="str">
        <f aca="false">INDEX('Material Comparison'!$B$7:$B$338,MATCH(LARGE('Material Comparison'!$AM$7:$AM$338,1),'Material Comparison'!$AM$7:$AM$338,0))</f>
        <v>Item 7</v>
      </c>
      <c r="F51" s="44" t="str">
        <f aca="false">INDEX('Material Comparison'!$AQ$7:$AQ$338,MATCH(LARGE('Material Comparison'!$AM$7:$AM$338,1),'Material Comparison'!$AM$7:$AM$338,0))</f>
        <v>Scholzen</v>
      </c>
      <c r="G51" s="45" t="n">
        <f aca="false">INDEX('Material Comparison'!$O$7:$O$338,MATCH(LARGE('Material Comparison'!$AM$7:$AM$338,1),'Material Comparison'!$AM$7:$AM$338,0))</f>
        <v>408.48</v>
      </c>
      <c r="H51" s="46" t="str">
        <f aca="false">INDEX('Material Comparison'!$AO$7:$AO$338,MATCH(LARGE('Material Comparison'!$AM$7:$AM$338,1),'Material Comparison'!$AM$7:$AM$338,0))</f>
        <v>Ferguson</v>
      </c>
      <c r="I51" s="45" t="n">
        <f aca="false">INDEX('Material Comparison'!$AN$7:$AN$338,MATCH(LARGE('Material Comparison'!$AM$7:$AM$338,1),'Material Comparison'!$AM$7:$AM$338,0))</f>
        <v>677.79</v>
      </c>
      <c r="J51" s="47" t="n">
        <f aca="false">INDEX('Material Comparison'!$R$7:$R$338,MATCH(LARGE('Material Comparison'!$AM$7:$AM$338,1),'Material Comparison'!$AM$7:$AM$338,0))</f>
        <v>23968.59</v>
      </c>
      <c r="K51" s="48" t="n">
        <f aca="false">INDEX('Material Comparison'!$Q$7:$Q$338,MATCH(LARGE('Material Comparison'!$AM$7:$AM$338,1),'Material Comparison'!$AM$7:$AM$338,0))</f>
        <v>0.659297884841363</v>
      </c>
    </row>
    <row r="52" customFormat="false" ht="25.5" hidden="false" customHeight="true" outlineLevel="0" collapsed="false">
      <c r="B52" s="42" t="n">
        <v>2</v>
      </c>
      <c r="C52" s="43" t="str">
        <f aca="false">INDEX('Material Comparison'!$D$7:$D$338,MATCH(LARGE('Material Comparison'!$AM$7:$AM$338,2),'Material Comparison'!$AM$7:$AM$338,0))</f>
        <v>16" bell restraint for DI pipe (Fast-Grip / bell restraint)</v>
      </c>
      <c r="D52" s="43"/>
      <c r="E52" s="18" t="str">
        <f aca="false">INDEX('Material Comparison'!$B$7:$B$338,MATCH(LARGE('Material Comparison'!$AM$7:$AM$338,2),'Material Comparison'!$AM$7:$AM$338,0))</f>
        <v>Item 16</v>
      </c>
      <c r="F52" s="44" t="str">
        <f aca="false">INDEX('Material Comparison'!$AQ$7:$AQ$338,MATCH(LARGE('Material Comparison'!$AM$7:$AM$338,2),'Material Comparison'!$AM$7:$AM$338,0))</f>
        <v>Mountainland</v>
      </c>
      <c r="G52" s="45" t="n">
        <f aca="false">INDEX('Material Comparison'!$O$7:$O$338,MATCH(LARGE('Material Comparison'!$AM$7:$AM$338,2),'Material Comparison'!$AM$7:$AM$338,0))</f>
        <v>408.482424242424</v>
      </c>
      <c r="H52" s="46" t="str">
        <f aca="false">INDEX('Material Comparison'!$AO$7:$AO$338,MATCH(LARGE('Material Comparison'!$AM$7:$AM$338,2),'Material Comparison'!$AM$7:$AM$338,0))</f>
        <v>Scholzen</v>
      </c>
      <c r="I52" s="45" t="n">
        <f aca="false">INDEX('Material Comparison'!$AN$7:$AN$338,MATCH(LARGE('Material Comparison'!$AM$7:$AM$338,2),'Material Comparison'!$AM$7:$AM$338,0))</f>
        <v>1083.29</v>
      </c>
      <c r="J52" s="47" t="n">
        <f aca="false">INDEX('Material Comparison'!$R$7:$R$338,MATCH(LARGE('Material Comparison'!$AM$7:$AM$338,2),'Material Comparison'!$AM$7:$AM$338,0))</f>
        <v>22943.4575757576</v>
      </c>
      <c r="K52" s="48" t="n">
        <f aca="false">INDEX('Material Comparison'!$Q$7:$Q$338,MATCH(LARGE('Material Comparison'!$AM$7:$AM$338,2),'Material Comparison'!$AM$7:$AM$338,0))</f>
        <v>1.65198680704337</v>
      </c>
    </row>
    <row r="53" customFormat="false" ht="25.5" hidden="false" customHeight="true" outlineLevel="0" collapsed="false">
      <c r="B53" s="42" t="n">
        <v>3</v>
      </c>
      <c r="C53" s="43" t="str">
        <f aca="false">INDEX('Material Comparison'!$D$7:$D$338,MATCH(LARGE('Material Comparison'!$AM$7:$AM$338,3),'Material Comparison'!$AM$7:$AM$338,0))</f>
        <v>12" C900 DR18 PVC pipe (gasketed)</v>
      </c>
      <c r="D53" s="43"/>
      <c r="E53" s="18" t="str">
        <f aca="false">INDEX('Material Comparison'!$B$7:$B$338,MATCH(LARGE('Material Comparison'!$AM$7:$AM$338,3),'Material Comparison'!$AM$7:$AM$338,0))</f>
        <v>Item 8</v>
      </c>
      <c r="F53" s="44" t="str">
        <f aca="false">INDEX('Material Comparison'!$AQ$7:$AQ$338,MATCH(LARGE('Material Comparison'!$AM$7:$AM$338,3),'Material Comparison'!$AM$7:$AM$338,0))</f>
        <v>Ferguson</v>
      </c>
      <c r="G53" s="45" t="n">
        <f aca="false">INDEX('Material Comparison'!$O$7:$O$338,MATCH(LARGE('Material Comparison'!$AM$7:$AM$338,3),'Material Comparison'!$AM$7:$AM$338,0))</f>
        <v>28.64</v>
      </c>
      <c r="H53" s="46" t="str">
        <f aca="false">INDEX('Material Comparison'!$AO$7:$AO$338,MATCH(LARGE('Material Comparison'!$AM$7:$AM$338,3),'Material Comparison'!$AM$7:$AM$338,0))</f>
        <v>Scholzen</v>
      </c>
      <c r="I53" s="45" t="n">
        <f aca="false">INDEX('Material Comparison'!$AN$7:$AN$338,MATCH(LARGE('Material Comparison'!$AM$7:$AM$338,3),'Material Comparison'!$AM$7:$AM$338,0))</f>
        <v>30.29</v>
      </c>
      <c r="J53" s="47" t="n">
        <f aca="false">INDEX('Material Comparison'!$R$7:$R$338,MATCH(LARGE('Material Comparison'!$AM$7:$AM$338,3),'Material Comparison'!$AM$7:$AM$338,0))</f>
        <v>20625</v>
      </c>
      <c r="K53" s="48" t="n">
        <f aca="false">INDEX('Material Comparison'!$Q$7:$Q$338,MATCH(LARGE('Material Comparison'!$AM$7:$AM$338,3),'Material Comparison'!$AM$7:$AM$338,0))</f>
        <v>0.0576117318435754</v>
      </c>
    </row>
    <row r="54" customFormat="false" ht="25.5" hidden="false" customHeight="true" outlineLevel="0" collapsed="false">
      <c r="B54" s="42" t="n">
        <v>4</v>
      </c>
      <c r="C54" s="43" t="str">
        <f aca="false">INDEX('Material Comparison'!$D$7:$D$338,MATCH(LARGE('Material Comparison'!$AM$7:$AM$338,4),'Material Comparison'!$AM$7:$AM$338,0))</f>
        <v>16" MJ x flange butterfly valve (AWWA C504 Class 250B / 150B)</v>
      </c>
      <c r="D54" s="43"/>
      <c r="E54" s="18" t="str">
        <f aca="false">INDEX('Material Comparison'!$B$7:$B$338,MATCH(LARGE('Material Comparison'!$AM$7:$AM$338,4),'Material Comparison'!$AM$7:$AM$338,0))</f>
        <v>Item 9.4</v>
      </c>
      <c r="F54" s="44" t="str">
        <f aca="false">INDEX('Material Comparison'!$AQ$7:$AQ$338,MATCH(LARGE('Material Comparison'!$AM$7:$AM$338,4),'Material Comparison'!$AM$7:$AM$338,0))</f>
        <v>Scholzen</v>
      </c>
      <c r="G54" s="45" t="n">
        <f aca="false">INDEX('Material Comparison'!$O$7:$O$338,MATCH(LARGE('Material Comparison'!$AM$7:$AM$338,4),'Material Comparison'!$AM$7:$AM$338,0))</f>
        <v>4100</v>
      </c>
      <c r="H54" s="46" t="str">
        <f aca="false">INDEX('Material Comparison'!$AO$7:$AO$338,MATCH(LARGE('Material Comparison'!$AM$7:$AM$338,4),'Material Comparison'!$AM$7:$AM$338,0))</f>
        <v>Ferguson</v>
      </c>
      <c r="I54" s="45" t="n">
        <f aca="false">INDEX('Material Comparison'!$AN$7:$AN$338,MATCH(LARGE('Material Comparison'!$AM$7:$AM$338,4),'Material Comparison'!$AM$7:$AM$338,0))</f>
        <v>5586.2</v>
      </c>
      <c r="J54" s="47" t="n">
        <f aca="false">INDEX('Material Comparison'!$R$7:$R$338,MATCH(LARGE('Material Comparison'!$AM$7:$AM$338,4),'Material Comparison'!$AM$7:$AM$338,0))</f>
        <v>17834.4</v>
      </c>
      <c r="K54" s="48" t="n">
        <f aca="false">INDEX('Material Comparison'!$Q$7:$Q$338,MATCH(LARGE('Material Comparison'!$AM$7:$AM$338,4),'Material Comparison'!$AM$7:$AM$338,0))</f>
        <v>0.362487804878049</v>
      </c>
    </row>
    <row r="55" customFormat="false" ht="25.5" hidden="false" customHeight="true" outlineLevel="0" collapsed="false">
      <c r="B55" s="42" t="n">
        <v>5</v>
      </c>
      <c r="C55" s="43" t="str">
        <f aca="false">INDEX('Material Comparison'!$D$7:$D$338,MATCH(LARGE('Material Comparison'!$AM$7:$AM$338,5),'Material Comparison'!$AM$7:$AM$338,0))</f>
        <v>36" steel casing pipe</v>
      </c>
      <c r="D55" s="43"/>
      <c r="E55" s="18" t="str">
        <f aca="false">INDEX('Material Comparison'!$B$7:$B$338,MATCH(LARGE('Material Comparison'!$AM$7:$AM$338,5),'Material Comparison'!$AM$7:$AM$338,0))</f>
        <v>Item 16</v>
      </c>
      <c r="F55" s="44" t="str">
        <f aca="false">INDEX('Material Comparison'!$AQ$7:$AQ$338,MATCH(LARGE('Material Comparison'!$AM$7:$AM$338,5),'Material Comparison'!$AM$7:$AM$338,0))</f>
        <v>Ferguson</v>
      </c>
      <c r="G55" s="45" t="n">
        <f aca="false">INDEX('Material Comparison'!$O$7:$O$338,MATCH(LARGE('Material Comparison'!$AM$7:$AM$338,5),'Material Comparison'!$AM$7:$AM$338,0))</f>
        <v>240.58</v>
      </c>
      <c r="H55" s="46" t="str">
        <f aca="false">INDEX('Material Comparison'!$AO$7:$AO$338,MATCH(LARGE('Material Comparison'!$AM$7:$AM$338,5),'Material Comparison'!$AM$7:$AM$338,0))</f>
        <v>Mountainland</v>
      </c>
      <c r="I55" s="45" t="n">
        <f aca="false">INDEX('Material Comparison'!$AN$7:$AN$338,MATCH(LARGE('Material Comparison'!$AM$7:$AM$338,5),'Material Comparison'!$AM$7:$AM$338,0))</f>
        <v>267.052637931035</v>
      </c>
      <c r="J55" s="47" t="n">
        <f aca="false">INDEX('Material Comparison'!$R$7:$R$338,MATCH(LARGE('Material Comparison'!$AM$7:$AM$338,5),'Material Comparison'!$AM$7:$AM$338,0))</f>
        <v>15354.13</v>
      </c>
      <c r="K55" s="48" t="n">
        <f aca="false">INDEX('Material Comparison'!$Q$7:$Q$338,MATCH(LARGE('Material Comparison'!$AM$7:$AM$338,5),'Material Comparison'!$AM$7:$AM$338,0))</f>
        <v>0.110036735934136</v>
      </c>
    </row>
    <row r="56" customFormat="false" ht="25.5" hidden="false" customHeight="true" outlineLevel="0" collapsed="false">
      <c r="B56" s="42" t="n">
        <v>6</v>
      </c>
      <c r="C56" s="43" t="str">
        <f aca="false">INDEX('Material Comparison'!$D$7:$D$338,MATCH(LARGE('Material Comparison'!$AM$7:$AM$338,6),'Material Comparison'!$AM$7:$AM$338,0))</f>
        <v>12" bell-joint restraint (pipe-to-pipe, C900)</v>
      </c>
      <c r="D56" s="43"/>
      <c r="E56" s="18" t="str">
        <f aca="false">INDEX('Material Comparison'!$B$7:$B$338,MATCH(LARGE('Material Comparison'!$AM$7:$AM$338,6),'Material Comparison'!$AM$7:$AM$338,0))</f>
        <v>Item 8</v>
      </c>
      <c r="F56" s="44" t="str">
        <f aca="false">INDEX('Material Comparison'!$AQ$7:$AQ$338,MATCH(LARGE('Material Comparison'!$AM$7:$AM$338,6),'Material Comparison'!$AM$7:$AM$338,0))</f>
        <v>Scholzen</v>
      </c>
      <c r="G56" s="45" t="n">
        <f aca="false">INDEX('Material Comparison'!$O$7:$O$338,MATCH(LARGE('Material Comparison'!$AM$7:$AM$338,6),'Material Comparison'!$AM$7:$AM$338,0))</f>
        <v>164.48</v>
      </c>
      <c r="H56" s="46" t="str">
        <f aca="false">INDEX('Material Comparison'!$AO$7:$AO$338,MATCH(LARGE('Material Comparison'!$AM$7:$AM$338,6),'Material Comparison'!$AM$7:$AM$338,0))</f>
        <v>Ferguson</v>
      </c>
      <c r="I56" s="45" t="n">
        <f aca="false">INDEX('Material Comparison'!$AN$7:$AN$338,MATCH(LARGE('Material Comparison'!$AM$7:$AM$338,6),'Material Comparison'!$AM$7:$AM$338,0))</f>
        <v>259.37</v>
      </c>
      <c r="J56" s="47" t="n">
        <f aca="false">INDEX('Material Comparison'!$R$7:$R$338,MATCH(LARGE('Material Comparison'!$AM$7:$AM$338,6),'Material Comparison'!$AM$7:$AM$338,0))</f>
        <v>12525.48</v>
      </c>
      <c r="K56" s="48" t="n">
        <f aca="false">INDEX('Material Comparison'!$Q$7:$Q$338,MATCH(LARGE('Material Comparison'!$AM$7:$AM$338,6),'Material Comparison'!$AM$7:$AM$338,0))</f>
        <v>0.576909046692607</v>
      </c>
    </row>
    <row r="57" customFormat="false" ht="25.5" hidden="false" customHeight="true" outlineLevel="0" collapsed="false">
      <c r="B57" s="42" t="n">
        <v>7</v>
      </c>
      <c r="C57" s="43" t="str">
        <f aca="false">INDEX('Material Comparison'!$D$7:$D$338,MATCH(LARGE('Material Comparison'!$AM$7:$AM$338,7),'Material Comparison'!$AM$7:$AM$338,0))</f>
        <v>12" MJ x flange resilient-wedge gate valve</v>
      </c>
      <c r="D57" s="43"/>
      <c r="E57" s="18" t="str">
        <f aca="false">INDEX('Material Comparison'!$B$7:$B$338,MATCH(LARGE('Material Comparison'!$AM$7:$AM$338,7),'Material Comparison'!$AM$7:$AM$338,0))</f>
        <v>Item 9.3</v>
      </c>
      <c r="F57" s="44" t="str">
        <f aca="false">INDEX('Material Comparison'!$AQ$7:$AQ$338,MATCH(LARGE('Material Comparison'!$AM$7:$AM$338,7),'Material Comparison'!$AM$7:$AM$338,0))</f>
        <v>HD Fowler</v>
      </c>
      <c r="G57" s="45" t="n">
        <f aca="false">INDEX('Material Comparison'!$O$7:$O$338,MATCH(LARGE('Material Comparison'!$AM$7:$AM$338,7),'Material Comparison'!$AM$7:$AM$338,0))</f>
        <v>3181.88</v>
      </c>
      <c r="H57" s="46" t="str">
        <f aca="false">INDEX('Material Comparison'!$AO$7:$AO$338,MATCH(LARGE('Material Comparison'!$AM$7:$AM$338,7),'Material Comparison'!$AM$7:$AM$338,0))</f>
        <v>Ferguson</v>
      </c>
      <c r="I57" s="45" t="n">
        <f aca="false">INDEX('Material Comparison'!$AN$7:$AN$338,MATCH(LARGE('Material Comparison'!$AM$7:$AM$338,7),'Material Comparison'!$AM$7:$AM$338,0))</f>
        <v>3889.27</v>
      </c>
      <c r="J57" s="47" t="n">
        <f aca="false">INDEX('Material Comparison'!$R$7:$R$338,MATCH(LARGE('Material Comparison'!$AM$7:$AM$338,7),'Material Comparison'!$AM$7:$AM$338,0))</f>
        <v>11318.24</v>
      </c>
      <c r="K57" s="48" t="n">
        <f aca="false">INDEX('Material Comparison'!$Q$7:$Q$338,MATCH(LARGE('Material Comparison'!$AM$7:$AM$338,7),'Material Comparison'!$AM$7:$AM$338,0))</f>
        <v>0.22231825210253</v>
      </c>
    </row>
    <row r="58" customFormat="false" ht="25.5" hidden="false" customHeight="true" outlineLevel="0" collapsed="false">
      <c r="B58" s="42" t="n">
        <v>8</v>
      </c>
      <c r="C58" s="43" t="str">
        <f aca="false">INDEX('Material Comparison'!$D$7:$D$338,MATCH(LARGE('Material Comparison'!$AM$7:$AM$338,8),'Material Comparison'!$AM$7:$AM$338,0))</f>
        <v>8" Cla-Val 131 electronic control valve + VC-22D controller</v>
      </c>
      <c r="D58" s="43"/>
      <c r="E58" s="18" t="str">
        <f aca="false">INDEX('Material Comparison'!$B$7:$B$338,MATCH(LARGE('Material Comparison'!$AM$7:$AM$338,8),'Material Comparison'!$AM$7:$AM$338,0))</f>
        <v>Item 5</v>
      </c>
      <c r="F58" s="44" t="str">
        <f aca="false">INDEX('Material Comparison'!$AQ$7:$AQ$338,MATCH(LARGE('Material Comparison'!$AM$7:$AM$338,8),'Material Comparison'!$AM$7:$AM$338,0))</f>
        <v>Mountainland</v>
      </c>
      <c r="G58" s="45" t="n">
        <f aca="false">INDEX('Material Comparison'!$O$7:$O$338,MATCH(LARGE('Material Comparison'!$AM$7:$AM$338,8),'Material Comparison'!$AM$7:$AM$338,0))</f>
        <v>27719.12</v>
      </c>
      <c r="H58" s="46" t="str">
        <f aca="false">INDEX('Material Comparison'!$AO$7:$AO$338,MATCH(LARGE('Material Comparison'!$AM$7:$AM$338,8),'Material Comparison'!$AM$7:$AM$338,0))</f>
        <v>Ferguson</v>
      </c>
      <c r="I58" s="45" t="n">
        <f aca="false">INDEX('Material Comparison'!$AN$7:$AN$338,MATCH(LARGE('Material Comparison'!$AM$7:$AM$338,8),'Material Comparison'!$AM$7:$AM$338,0))</f>
        <v>37321.6</v>
      </c>
      <c r="J58" s="47" t="n">
        <f aca="false">INDEX('Material Comparison'!$R$7:$R$338,MATCH(LARGE('Material Comparison'!$AM$7:$AM$338,8),'Material Comparison'!$AM$7:$AM$338,0))</f>
        <v>9602.48</v>
      </c>
      <c r="K58" s="48" t="n">
        <f aca="false">INDEX('Material Comparison'!$Q$7:$Q$338,MATCH(LARGE('Material Comparison'!$AM$7:$AM$338,8),'Material Comparison'!$AM$7:$AM$338,0))</f>
        <v>0.346420809895841</v>
      </c>
    </row>
    <row r="59" customFormat="false" ht="25.5" hidden="false" customHeight="true" outlineLevel="0" collapsed="false">
      <c r="B59" s="42" t="n">
        <v>9</v>
      </c>
      <c r="C59" s="43" t="str">
        <f aca="false">INDEX('Material Comparison'!$D$7:$D$338,MATCH(LARGE('Material Comparison'!$AM$7:$AM$338,9),'Material Comparison'!$AM$7:$AM$338,0))</f>
        <v>16" DR18 PVC pipe (gasketed)</v>
      </c>
      <c r="D59" s="43"/>
      <c r="E59" s="18" t="str">
        <f aca="false">INDEX('Material Comparison'!$B$7:$B$338,MATCH(LARGE('Material Comparison'!$AM$7:$AM$338,9),'Material Comparison'!$AM$7:$AM$338,0))</f>
        <v>Item 7</v>
      </c>
      <c r="F59" s="44" t="str">
        <f aca="false">INDEX('Material Comparison'!$AQ$7:$AQ$338,MATCH(LARGE('Material Comparison'!$AM$7:$AM$338,9),'Material Comparison'!$AM$7:$AM$338,0))</f>
        <v>Ferguson</v>
      </c>
      <c r="G59" s="45" t="n">
        <f aca="false">INDEX('Material Comparison'!$O$7:$O$338,MATCH(LARGE('Material Comparison'!$AM$7:$AM$338,9),'Material Comparison'!$AM$7:$AM$338,0))</f>
        <v>35.9</v>
      </c>
      <c r="H59" s="46" t="str">
        <f aca="false">INDEX('Material Comparison'!$AO$7:$AO$338,MATCH(LARGE('Material Comparison'!$AM$7:$AM$338,9),'Material Comparison'!$AM$7:$AM$338,0))</f>
        <v>HD Fowler</v>
      </c>
      <c r="I59" s="45" t="n">
        <f aca="false">INDEX('Material Comparison'!$AN$7:$AN$338,MATCH(LARGE('Material Comparison'!$AM$7:$AM$338,9),'Material Comparison'!$AM$7:$AM$338,0))</f>
        <v>38.83</v>
      </c>
      <c r="J59" s="47" t="n">
        <f aca="false">INDEX('Material Comparison'!$R$7:$R$338,MATCH(LARGE('Material Comparison'!$AM$7:$AM$338,9),'Material Comparison'!$AM$7:$AM$338,0))</f>
        <v>8790</v>
      </c>
      <c r="K59" s="48" t="n">
        <f aca="false">INDEX('Material Comparison'!$Q$7:$Q$338,MATCH(LARGE('Material Comparison'!$AM$7:$AM$338,9),'Material Comparison'!$AM$7:$AM$338,0))</f>
        <v>0.0816155988857938</v>
      </c>
    </row>
    <row r="60" customFormat="false" ht="25.5" hidden="false" customHeight="true" outlineLevel="0" collapsed="false">
      <c r="B60" s="42" t="n">
        <v>10</v>
      </c>
      <c r="C60" s="43" t="str">
        <f aca="false">INDEX('Material Comparison'!$D$7:$D$338,MATCH(LARGE('Material Comparison'!$AM$7:$AM$338,10),'Material Comparison'!$AM$7:$AM$338,0))</f>
        <v>Casing spacers (stainless, multi-carrier cluster)</v>
      </c>
      <c r="D60" s="43"/>
      <c r="E60" s="18" t="str">
        <f aca="false">INDEX('Material Comparison'!$B$7:$B$338,MATCH(LARGE('Material Comparison'!$AM$7:$AM$338,10),'Material Comparison'!$AM$7:$AM$338,0))</f>
        <v>Item 16</v>
      </c>
      <c r="F60" s="44" t="str">
        <f aca="false">INDEX('Material Comparison'!$AQ$7:$AQ$338,MATCH(LARGE('Material Comparison'!$AM$7:$AM$338,10),'Material Comparison'!$AM$7:$AM$338,0))</f>
        <v>Mountainland</v>
      </c>
      <c r="G60" s="45" t="n">
        <f aca="false">INDEX('Material Comparison'!$O$7:$O$338,MATCH(LARGE('Material Comparison'!$AM$7:$AM$338,10),'Material Comparison'!$AM$7:$AM$338,0))</f>
        <v>363.75</v>
      </c>
      <c r="H60" s="46" t="str">
        <f aca="false">INDEX('Material Comparison'!$AO$7:$AO$338,MATCH(LARGE('Material Comparison'!$AM$7:$AM$338,10),'Material Comparison'!$AM$7:$AM$338,0))</f>
        <v>Ferguson</v>
      </c>
      <c r="I60" s="45" t="n">
        <f aca="false">INDEX('Material Comparison'!$AN$7:$AN$338,MATCH(LARGE('Material Comparison'!$AM$7:$AM$338,10),'Material Comparison'!$AM$7:$AM$338,0))</f>
        <v>437.65</v>
      </c>
      <c r="J60" s="47" t="n">
        <f aca="false">INDEX('Material Comparison'!$R$7:$R$338,MATCH(LARGE('Material Comparison'!$AM$7:$AM$338,10),'Material Comparison'!$AM$7:$AM$338,0))</f>
        <v>8646.30000000001</v>
      </c>
      <c r="K60" s="48" t="n">
        <f aca="false">INDEX('Material Comparison'!$Q$7:$Q$338,MATCH(LARGE('Material Comparison'!$AM$7:$AM$338,10),'Material Comparison'!$AM$7:$AM$338,0))</f>
        <v>0.203161512027491</v>
      </c>
    </row>
    <row r="61" customFormat="false" ht="25.5" hidden="false" customHeight="true" outlineLevel="0" collapsed="false">
      <c r="B61" s="42" t="n">
        <v>11</v>
      </c>
      <c r="C61" s="43" t="str">
        <f aca="false">INDEX('Material Comparison'!$D$7:$D$338,MATCH(LARGE('Material Comparison'!$AM$7:$AM$338,11),'Material Comparison'!$AM$7:$AM$338,0))</f>
        <v>36" MJ restraint (DI)</v>
      </c>
      <c r="D61" s="43"/>
      <c r="E61" s="18" t="str">
        <f aca="false">INDEX('Material Comparison'!$B$7:$B$338,MATCH(LARGE('Material Comparison'!$AM$7:$AM$338,11),'Material Comparison'!$AM$7:$AM$338,0))</f>
        <v>Item 10.6</v>
      </c>
      <c r="F61" s="44" t="str">
        <f aca="false">INDEX('Material Comparison'!$AQ$7:$AQ$338,MATCH(LARGE('Material Comparison'!$AM$7:$AM$338,11),'Material Comparison'!$AM$7:$AM$338,0))</f>
        <v>Ferguson</v>
      </c>
      <c r="G61" s="45" t="n">
        <f aca="false">INDEX('Material Comparison'!$O$7:$O$338,MATCH(LARGE('Material Comparison'!$AM$7:$AM$338,11),'Material Comparison'!$AM$7:$AM$338,0))</f>
        <v>1028.27</v>
      </c>
      <c r="H61" s="46" t="str">
        <f aca="false">INDEX('Material Comparison'!$AO$7:$AO$338,MATCH(LARGE('Material Comparison'!$AM$7:$AM$338,11),'Material Comparison'!$AM$7:$AM$338,0))</f>
        <v>HD Fowler</v>
      </c>
      <c r="I61" s="45" t="n">
        <f aca="false">INDEX('Material Comparison'!$AN$7:$AN$338,MATCH(LARGE('Material Comparison'!$AM$7:$AM$338,11),'Material Comparison'!$AM$7:$AM$338,0))</f>
        <v>2064.13</v>
      </c>
      <c r="J61" s="47" t="n">
        <f aca="false">INDEX('Material Comparison'!$R$7:$R$338,MATCH(LARGE('Material Comparison'!$AM$7:$AM$338,11),'Material Comparison'!$AM$7:$AM$338,0))</f>
        <v>4143.44</v>
      </c>
      <c r="K61" s="48" t="n">
        <f aca="false">INDEX('Material Comparison'!$Q$7:$Q$338,MATCH(LARGE('Material Comparison'!$AM$7:$AM$338,11),'Material Comparison'!$AM$7:$AM$338,0))</f>
        <v>1.00738132980637</v>
      </c>
    </row>
    <row r="62" customFormat="false" ht="25.5" hidden="false" customHeight="true" outlineLevel="0" collapsed="false">
      <c r="B62" s="42" t="n">
        <v>12</v>
      </c>
      <c r="C62" s="43" t="str">
        <f aca="false">INDEX('Material Comparison'!$D$7:$D$338,MATCH(LARGE('Material Comparison'!$AM$7:$AM$338,12),'Material Comparison'!$AM$7:$AM$338,0))</f>
        <v>Fire hydrant, MJ inlet, 6" (red)</v>
      </c>
      <c r="D62" s="43"/>
      <c r="E62" s="18" t="str">
        <f aca="false">INDEX('Material Comparison'!$B$7:$B$338,MATCH(LARGE('Material Comparison'!$AM$7:$AM$338,12),'Material Comparison'!$AM$7:$AM$338,0))</f>
        <v>Item 11</v>
      </c>
      <c r="F62" s="44" t="str">
        <f aca="false">INDEX('Material Comparison'!$AQ$7:$AQ$338,MATCH(LARGE('Material Comparison'!$AM$7:$AM$338,12),'Material Comparison'!$AM$7:$AM$338,0))</f>
        <v>Mountainland</v>
      </c>
      <c r="G62" s="45" t="n">
        <f aca="false">INDEX('Material Comparison'!$O$7:$O$338,MATCH(LARGE('Material Comparison'!$AM$7:$AM$338,12),'Material Comparison'!$AM$7:$AM$338,0))</f>
        <v>3570.44764705882</v>
      </c>
      <c r="H62" s="46" t="str">
        <f aca="false">INDEX('Material Comparison'!$AO$7:$AO$338,MATCH(LARGE('Material Comparison'!$AM$7:$AM$338,12),'Material Comparison'!$AM$7:$AM$338,0))</f>
        <v>Ferguson</v>
      </c>
      <c r="I62" s="45" t="n">
        <f aca="false">INDEX('Material Comparison'!$AN$7:$AN$338,MATCH(LARGE('Material Comparison'!$AM$7:$AM$338,12),'Material Comparison'!$AM$7:$AM$338,0))</f>
        <v>3772</v>
      </c>
      <c r="J62" s="47" t="n">
        <f aca="false">INDEX('Material Comparison'!$R$7:$R$338,MATCH(LARGE('Material Comparison'!$AM$7:$AM$338,12),'Material Comparison'!$AM$7:$AM$338,0))</f>
        <v>3224.83764705883</v>
      </c>
      <c r="K62" s="48" t="n">
        <f aca="false">INDEX('Material Comparison'!$Q$7:$Q$338,MATCH(LARGE('Material Comparison'!$AM$7:$AM$338,12),'Material Comparison'!$AM$7:$AM$338,0))</f>
        <v>0.0564501633589858</v>
      </c>
    </row>
    <row r="64" customFormat="false" ht="21.75" hidden="false" customHeight="true" outlineLevel="0" collapsed="false">
      <c r="B64" s="9" t="s">
        <v>74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 customFormat="false" ht="48" hidden="false" customHeight="true" outlineLevel="0" collapsed="false">
      <c r="B65" s="49" t="s">
        <v>75</v>
      </c>
      <c r="C65" s="50" t="s">
        <v>76</v>
      </c>
      <c r="D65" s="50"/>
      <c r="E65" s="50"/>
      <c r="F65" s="50"/>
      <c r="G65" s="50"/>
      <c r="H65" s="50"/>
      <c r="I65" s="50"/>
      <c r="J65" s="50"/>
      <c r="K65" s="50"/>
      <c r="L65" s="50"/>
      <c r="M65" s="50"/>
    </row>
    <row r="66" customFormat="false" ht="48" hidden="false" customHeight="true" outlineLevel="0" collapsed="false">
      <c r="B66" s="49" t="s">
        <v>77</v>
      </c>
      <c r="C66" s="50" t="s">
        <v>78</v>
      </c>
      <c r="D66" s="50"/>
      <c r="E66" s="50"/>
      <c r="F66" s="50"/>
      <c r="G66" s="50"/>
      <c r="H66" s="50"/>
      <c r="I66" s="50"/>
      <c r="J66" s="50"/>
      <c r="K66" s="50"/>
      <c r="L66" s="50"/>
      <c r="M66" s="50"/>
    </row>
    <row r="67" customFormat="false" ht="48" hidden="false" customHeight="true" outlineLevel="0" collapsed="false">
      <c r="B67" s="49" t="s">
        <v>79</v>
      </c>
      <c r="C67" s="50" t="s">
        <v>80</v>
      </c>
      <c r="D67" s="50"/>
      <c r="E67" s="50"/>
      <c r="F67" s="50"/>
      <c r="G67" s="50"/>
      <c r="H67" s="50"/>
      <c r="I67" s="50"/>
      <c r="J67" s="50"/>
      <c r="K67" s="50"/>
      <c r="L67" s="50"/>
      <c r="M67" s="50"/>
    </row>
    <row r="68" customFormat="false" ht="48" hidden="false" customHeight="true" outlineLevel="0" collapsed="false">
      <c r="B68" s="49" t="s">
        <v>81</v>
      </c>
      <c r="C68" s="50" t="s">
        <v>82</v>
      </c>
      <c r="D68" s="50"/>
      <c r="E68" s="50"/>
      <c r="F68" s="50"/>
      <c r="G68" s="50"/>
      <c r="H68" s="50"/>
      <c r="I68" s="50"/>
      <c r="J68" s="50"/>
      <c r="K68" s="50"/>
      <c r="L68" s="50"/>
      <c r="M68" s="50"/>
    </row>
    <row r="69" customFormat="false" ht="48" hidden="false" customHeight="true" outlineLevel="0" collapsed="false">
      <c r="B69" s="49" t="s">
        <v>83</v>
      </c>
      <c r="C69" s="50" t="s">
        <v>84</v>
      </c>
      <c r="D69" s="50"/>
      <c r="E69" s="50"/>
      <c r="F69" s="50"/>
      <c r="G69" s="50"/>
      <c r="H69" s="50"/>
      <c r="I69" s="50"/>
      <c r="J69" s="50"/>
      <c r="K69" s="50"/>
      <c r="L69" s="50"/>
      <c r="M69" s="50"/>
    </row>
    <row r="70" customFormat="false" ht="48" hidden="false" customHeight="true" outlineLevel="0" collapsed="false">
      <c r="B70" s="49" t="s">
        <v>85</v>
      </c>
      <c r="C70" s="50" t="s">
        <v>86</v>
      </c>
      <c r="D70" s="50"/>
      <c r="E70" s="50"/>
      <c r="F70" s="50"/>
      <c r="G70" s="50"/>
      <c r="H70" s="50"/>
      <c r="I70" s="50"/>
      <c r="J70" s="50"/>
      <c r="K70" s="50"/>
      <c r="L70" s="50"/>
      <c r="M70" s="50"/>
    </row>
    <row r="71" customFormat="false" ht="61.5" hidden="false" customHeight="true" outlineLevel="0" collapsed="false">
      <c r="B71" s="49" t="s">
        <v>87</v>
      </c>
      <c r="C71" s="50" t="s">
        <v>88</v>
      </c>
      <c r="D71" s="50"/>
      <c r="E71" s="50"/>
      <c r="F71" s="50"/>
      <c r="G71" s="50"/>
      <c r="H71" s="50"/>
      <c r="I71" s="50"/>
      <c r="J71" s="50"/>
      <c r="K71" s="50"/>
      <c r="L71" s="50"/>
      <c r="M71" s="50"/>
    </row>
    <row r="73" customFormat="false" ht="27.75" hidden="false" customHeight="true" outlineLevel="0" collapsed="false">
      <c r="B73" s="51" t="s">
        <v>89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</row>
  </sheetData>
  <mergeCells count="26">
    <mergeCell ref="K8:M8"/>
    <mergeCell ref="K9:M9"/>
    <mergeCell ref="K10:M10"/>
    <mergeCell ref="K11:M11"/>
    <mergeCell ref="B39:C3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5:M65"/>
    <mergeCell ref="C66:M66"/>
    <mergeCell ref="C67:M67"/>
    <mergeCell ref="C68:M68"/>
    <mergeCell ref="C69:M69"/>
    <mergeCell ref="C70:M70"/>
    <mergeCell ref="C71:M71"/>
    <mergeCell ref="B73:M73"/>
  </mergeCells>
  <conditionalFormatting sqref="E16:E19">
    <cfRule type="expression" priority="2" aboveAverage="0" equalAverage="0" bottom="0" percent="0" rank="0" text="" dxfId="0">
      <formula>E16=MIN($E$16:$E$19)</formula>
    </cfRule>
    <cfRule type="expression" priority="3" aboveAverage="0" equalAverage="0" bottom="0" percent="0" rank="0" text="" dxfId="1">
      <formula>E16=MAX($E$16:$E$19)</formula>
    </cfRule>
    <cfRule type="expression" priority="4" aboveAverage="0" equalAverage="0" bottom="0" percent="0" rank="0" text="" dxfId="2">
      <formula>SUMPRODUCT(--($E$16:$E$19&lt;E16))=1</formula>
    </cfRule>
    <cfRule type="expression" priority="5" aboveAverage="0" equalAverage="0" bottom="0" percent="0" rank="0" text="" dxfId="3">
      <formula>SUMPRODUCT(--($E$16:$E$19&lt;E16))=2</formula>
    </cfRule>
  </conditionalFormatting>
  <conditionalFormatting sqref="D44:D47">
    <cfRule type="expression" priority="6" aboveAverage="0" equalAverage="0" bottom="0" percent="0" rank="0" text="" dxfId="0">
      <formula>D44=MIN($D44:$D47)</formula>
    </cfRule>
    <cfRule type="expression" priority="7" aboveAverage="0" equalAverage="0" bottom="0" percent="0" rank="0" text="" dxfId="1">
      <formula>D44=MAX($D44:$D47)</formula>
    </cfRule>
    <cfRule type="expression" priority="8" aboveAverage="0" equalAverage="0" bottom="0" percent="0" rank="0" text="" dxfId="2">
      <formula>SUMPRODUCT(--($D44:$D47&lt;D44))=1</formula>
    </cfRule>
    <cfRule type="expression" priority="9" aboveAverage="0" equalAverage="0" bottom="0" percent="0" rank="0" text="" dxfId="3">
      <formula>SUMPRODUCT(--($D44:$D47&lt;D44))=2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AQ3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6.5"/>
    <col collapsed="false" customWidth="true" hidden="false" outlineLevel="0" max="3" min="3" style="0" width="19"/>
    <col collapsed="false" customWidth="true" hidden="false" outlineLevel="0" max="4" min="4" style="0" width="56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10" min="7" style="0" width="12.5"/>
    <col collapsed="false" customWidth="true" hidden="false" outlineLevel="0" max="14" min="11" style="0" width="13.5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8" min="18" style="0" width="11"/>
    <col collapsed="false" customWidth="true" hidden="false" outlineLevel="0" max="19" min="19" style="0" width="7"/>
    <col collapsed="false" customWidth="true" hidden="false" outlineLevel="0" max="20" min="20" style="0" width="15"/>
    <col collapsed="false" customWidth="true" hidden="false" outlineLevel="0" max="21" min="21" style="0" width="11"/>
    <col collapsed="false" customWidth="true" hidden="false" outlineLevel="0" max="22" min="22" style="0" width="74"/>
    <col collapsed="false" customWidth="true" hidden="true" outlineLevel="1" max="26" min="23" style="0" width="9"/>
    <col collapsed="false" customWidth="true" hidden="true" outlineLevel="1" max="43" min="27" style="0" width="11"/>
  </cols>
  <sheetData>
    <row r="1" customFormat="false" ht="25.5" hidden="false" customHeight="true" outlineLevel="0" collapsed="false">
      <c r="A1" s="52" t="s">
        <v>90</v>
      </c>
    </row>
    <row r="2" customFormat="false" ht="15" hidden="false" customHeight="false" outlineLevel="0" collapsed="false">
      <c r="A2" s="53" t="s">
        <v>91</v>
      </c>
    </row>
    <row r="3" customFormat="false" ht="19.5" hidden="false" customHeight="true" outlineLevel="0" collapsed="false">
      <c r="A3" s="54" t="s">
        <v>92</v>
      </c>
      <c r="B3" s="55"/>
      <c r="D3" s="4" t="s">
        <v>3</v>
      </c>
      <c r="E3" s="56"/>
      <c r="G3" s="57" t="s">
        <v>4</v>
      </c>
      <c r="H3" s="57"/>
      <c r="I3" s="58" t="s">
        <v>5</v>
      </c>
      <c r="J3" s="58"/>
      <c r="K3" s="59" t="s">
        <v>6</v>
      </c>
      <c r="L3" s="59"/>
      <c r="M3" s="60" t="s">
        <v>7</v>
      </c>
      <c r="N3" s="60"/>
      <c r="O3" s="61" t="s">
        <v>93</v>
      </c>
      <c r="V3" s="62" t="s">
        <v>94</v>
      </c>
    </row>
    <row r="4" customFormat="false" ht="15" hidden="false" customHeight="false" outlineLevel="0" collapsed="false">
      <c r="A4" s="61" t="s">
        <v>95</v>
      </c>
    </row>
    <row r="5" customFormat="false" ht="19.5" hidden="false" customHeight="true" outlineLevel="0" collapsed="false">
      <c r="A5" s="63" t="s">
        <v>96</v>
      </c>
      <c r="B5" s="63"/>
      <c r="C5" s="63"/>
      <c r="D5" s="63"/>
      <c r="E5" s="63"/>
      <c r="F5" s="63"/>
      <c r="G5" s="64" t="s">
        <v>97</v>
      </c>
      <c r="H5" s="64"/>
      <c r="I5" s="64"/>
      <c r="J5" s="64"/>
      <c r="K5" s="64" t="s">
        <v>98</v>
      </c>
      <c r="L5" s="64"/>
      <c r="M5" s="64"/>
      <c r="N5" s="64"/>
      <c r="O5" s="63" t="s">
        <v>99</v>
      </c>
      <c r="P5" s="63"/>
      <c r="Q5" s="63"/>
      <c r="R5" s="63"/>
      <c r="S5" s="63"/>
      <c r="T5" s="63"/>
      <c r="U5" s="63"/>
      <c r="V5" s="65" t="s">
        <v>100</v>
      </c>
      <c r="W5" s="66" t="s">
        <v>101</v>
      </c>
      <c r="X5" s="66"/>
      <c r="Y5" s="66"/>
      <c r="Z5" s="66"/>
    </row>
    <row r="6" customFormat="false" ht="33.75" hidden="false" customHeight="true" outlineLevel="0" collapsed="false">
      <c r="A6" s="11" t="s">
        <v>102</v>
      </c>
      <c r="B6" s="11" t="s">
        <v>67</v>
      </c>
      <c r="C6" s="11" t="s">
        <v>103</v>
      </c>
      <c r="D6" s="11" t="s">
        <v>66</v>
      </c>
      <c r="E6" s="11" t="s">
        <v>104</v>
      </c>
      <c r="F6" s="11" t="s">
        <v>105</v>
      </c>
      <c r="G6" s="11" t="s">
        <v>19</v>
      </c>
      <c r="H6" s="11" t="s">
        <v>23</v>
      </c>
      <c r="I6" s="11" t="s">
        <v>27</v>
      </c>
      <c r="J6" s="11" t="s">
        <v>31</v>
      </c>
      <c r="K6" s="11" t="s">
        <v>19</v>
      </c>
      <c r="L6" s="11" t="s">
        <v>23</v>
      </c>
      <c r="M6" s="11" t="s">
        <v>27</v>
      </c>
      <c r="N6" s="11" t="s">
        <v>31</v>
      </c>
      <c r="O6" s="11" t="s">
        <v>69</v>
      </c>
      <c r="P6" s="11" t="s">
        <v>106</v>
      </c>
      <c r="Q6" s="11" t="s">
        <v>73</v>
      </c>
      <c r="R6" s="11" t="s">
        <v>72</v>
      </c>
      <c r="S6" s="11" t="s">
        <v>107</v>
      </c>
      <c r="T6" s="11" t="s">
        <v>108</v>
      </c>
      <c r="U6" s="11" t="s">
        <v>109</v>
      </c>
      <c r="V6" s="11" t="s">
        <v>110</v>
      </c>
      <c r="W6" s="67" t="s">
        <v>19</v>
      </c>
      <c r="X6" s="67" t="s">
        <v>23</v>
      </c>
      <c r="Y6" s="67" t="s">
        <v>27</v>
      </c>
      <c r="Z6" s="67" t="s">
        <v>31</v>
      </c>
      <c r="AA6" s="68" t="s">
        <v>111</v>
      </c>
      <c r="AB6" s="68" t="s">
        <v>112</v>
      </c>
      <c r="AC6" s="68" t="s">
        <v>113</v>
      </c>
      <c r="AD6" s="68" t="s">
        <v>114</v>
      </c>
      <c r="AE6" s="68" t="s">
        <v>115</v>
      </c>
      <c r="AF6" s="68" t="s">
        <v>116</v>
      </c>
      <c r="AG6" s="68" t="s">
        <v>117</v>
      </c>
      <c r="AH6" s="68" t="s">
        <v>118</v>
      </c>
      <c r="AI6" s="68" t="s">
        <v>119</v>
      </c>
      <c r="AJ6" s="68" t="s">
        <v>120</v>
      </c>
      <c r="AK6" s="68" t="s">
        <v>121</v>
      </c>
      <c r="AL6" s="68" t="s">
        <v>122</v>
      </c>
      <c r="AM6" s="68" t="s">
        <v>123</v>
      </c>
      <c r="AN6" s="68" t="s">
        <v>124</v>
      </c>
      <c r="AO6" s="68" t="s">
        <v>125</v>
      </c>
      <c r="AP6" s="68" t="s">
        <v>126</v>
      </c>
      <c r="AQ6" s="68" t="s">
        <v>127</v>
      </c>
    </row>
    <row r="7" customFormat="false" ht="19.5" hidden="false" customHeight="true" outlineLevel="0" collapsed="false">
      <c r="A7" s="69"/>
      <c r="B7" s="9" t="s">
        <v>128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customFormat="false" ht="15" hidden="false" customHeight="true" outlineLevel="0" collapsed="false">
      <c r="A8" s="70" t="s">
        <v>129</v>
      </c>
      <c r="B8" s="71" t="s">
        <v>130</v>
      </c>
      <c r="C8" s="72" t="s">
        <v>131</v>
      </c>
      <c r="D8" s="73" t="s">
        <v>132</v>
      </c>
      <c r="E8" s="74" t="s">
        <v>133</v>
      </c>
      <c r="F8" s="75" t="n">
        <v>2</v>
      </c>
      <c r="G8" s="76" t="n">
        <f aca="false">IF(COUNTIF('Quote Lines'!$P$3:$P$805,$A8&amp;"|"&amp;G$6&amp;"|1")=0,"—",SUMIFS('Quote Lines'!$O$3:$O$805,'Quote Lines'!$P$3:$P$805,$A8&amp;"|"&amp;G$6&amp;"|1")/SUMIFS('Quote Lines'!$L$3:$L$805,'Quote Lines'!$P$3:$P$805,$A8&amp;"|"&amp;G$6&amp;"|1"))</f>
        <v>1493.17</v>
      </c>
      <c r="H8" s="76" t="n">
        <f aca="false">IF(COUNTIF('Quote Lines'!$P$3:$P$805,$A8&amp;"|"&amp;H$6&amp;"|1")=0,"—",SUMIFS('Quote Lines'!$O$3:$O$805,'Quote Lines'!$P$3:$P$805,$A8&amp;"|"&amp;H$6&amp;"|1")/SUMIFS('Quote Lines'!$L$3:$L$805,'Quote Lines'!$P$3:$P$805,$A8&amp;"|"&amp;H$6&amp;"|1"))</f>
        <v>1560.11</v>
      </c>
      <c r="I8" s="76" t="n">
        <f aca="false">IF(COUNTIF('Quote Lines'!$P$3:$P$805,$A8&amp;"|"&amp;I$6&amp;"|1")=0,"—",SUMIFS('Quote Lines'!$O$3:$O$805,'Quote Lines'!$P$3:$P$805,$A8&amp;"|"&amp;I$6&amp;"|1")/SUMIFS('Quote Lines'!$L$3:$L$805,'Quote Lines'!$P$3:$P$805,$A8&amp;"|"&amp;I$6&amp;"|1"))</f>
        <v>1693.9</v>
      </c>
      <c r="J8" s="76" t="n">
        <f aca="false">IF(COUNTIF('Quote Lines'!$P$3:$P$805,$A8&amp;"|"&amp;J$6&amp;"|1")=0,"—",SUMIFS('Quote Lines'!$O$3:$O$805,'Quote Lines'!$P$3:$P$805,$A8&amp;"|"&amp;J$6&amp;"|1")/SUMIFS('Quote Lines'!$L$3:$L$805,'Quote Lines'!$P$3:$P$805,$A8&amp;"|"&amp;J$6&amp;"|1"))</f>
        <v>1634</v>
      </c>
      <c r="K8" s="14" t="n">
        <f aca="false">IF(ISNUMBER(G8),G8*$F8,"—")</f>
        <v>2986.34</v>
      </c>
      <c r="L8" s="14" t="n">
        <f aca="false">IF(ISNUMBER(H8),H8*$F8,"—")</f>
        <v>3120.22</v>
      </c>
      <c r="M8" s="14" t="n">
        <f aca="false">IF(ISNUMBER(I8),I8*$F8,"—")</f>
        <v>3387.8</v>
      </c>
      <c r="N8" s="14" t="n">
        <f aca="false">IF(ISNUMBER(J8),J8*$F8,"—")</f>
        <v>3268</v>
      </c>
      <c r="O8" s="77" t="n">
        <f aca="false">IF($S8=0,"—",MIN(G8:J8))</f>
        <v>1493.17</v>
      </c>
      <c r="P8" s="42" t="str">
        <f aca="false">IF($S8=0,"—",IF(COUNTIF(G8:J8,O8)&gt;1,"Tie",INDEX($G$6:$J$6,MATCH(O8,G8:J8,0))))</f>
        <v>Ferguson</v>
      </c>
      <c r="Q8" s="48" t="n">
        <f aca="false">IF($S8&gt;=2,MAX(G8:J8)/MIN(G8:J8)-1,"—")</f>
        <v>0.134432114226779</v>
      </c>
      <c r="R8" s="78" t="n">
        <f aca="false">IF($S8&gt;=2,(MAX(G8:J8)-MIN(G8:J8))*$F8,"—")</f>
        <v>401.46</v>
      </c>
      <c r="S8" s="18" t="n">
        <f aca="false">COUNT(G8:J8)</f>
        <v>4</v>
      </c>
      <c r="T8" s="79" t="str">
        <f aca="false">IF($S8&lt;=1,IF($S8=1,"Single quote","—"),"Like-for-like")</f>
        <v>Like-for-like</v>
      </c>
      <c r="U8" s="79" t="str">
        <f aca="false">IF(COUNT(W8:Z8)&lt;2,"",IF(MAX(W8:Z8)=MIN(W8:Z8),"OK","Qty differs"))</f>
        <v>OK</v>
      </c>
      <c r="V8" s="80"/>
      <c r="W8" s="81" t="n">
        <f aca="false">IF(COUNTIFS('Quote Lines'!$P$3:$P$805,$A8&amp;"|"&amp;G$6&amp;"|1",'Quote Lines'!$M$3:$M$805,"Y")=0,"",SUMIFS('Quote Lines'!$L$3:$L$805,'Quote Lines'!$P$3:$P$805,$A8&amp;"|"&amp;G$6&amp;"|1",'Quote Lines'!$M$3:$M$805,"Y"))</f>
        <v>2</v>
      </c>
      <c r="X8" s="81" t="n">
        <f aca="false">IF(COUNTIFS('Quote Lines'!$P$3:$P$805,$A8&amp;"|"&amp;H$6&amp;"|1",'Quote Lines'!$M$3:$M$805,"Y")=0,"",SUMIFS('Quote Lines'!$L$3:$L$805,'Quote Lines'!$P$3:$P$805,$A8&amp;"|"&amp;H$6&amp;"|1",'Quote Lines'!$M$3:$M$805,"Y"))</f>
        <v>2</v>
      </c>
      <c r="Y8" s="81" t="n">
        <f aca="false">IF(COUNTIFS('Quote Lines'!$P$3:$P$805,$A8&amp;"|"&amp;I$6&amp;"|1",'Quote Lines'!$M$3:$M$805,"Y")=0,"",SUMIFS('Quote Lines'!$L$3:$L$805,'Quote Lines'!$P$3:$P$805,$A8&amp;"|"&amp;I$6&amp;"|1",'Quote Lines'!$M$3:$M$805,"Y"))</f>
        <v>2</v>
      </c>
      <c r="Z8" s="81" t="n">
        <f aca="false">IF(COUNTIFS('Quote Lines'!$P$3:$P$805,$A8&amp;"|"&amp;J$6&amp;"|1",'Quote Lines'!$M$3:$M$805,"Y")=0,"",SUMIFS('Quote Lines'!$L$3:$L$805,'Quote Lines'!$P$3:$P$805,$A8&amp;"|"&amp;J$6&amp;"|1",'Quote Lines'!$M$3:$M$805,"Y"))</f>
        <v>2</v>
      </c>
      <c r="AA8" s="82" t="n">
        <f aca="false">IF(ISNUMBER(G8),1+SUMPRODUCT(ISNUMBER($G8:$J8)*($G8:$J8&lt;G8)),"")</f>
        <v>1</v>
      </c>
      <c r="AB8" s="82" t="n">
        <f aca="false">IF(ISNUMBER(H8),1+SUMPRODUCT(ISNUMBER($G8:$J8)*($G8:$J8&lt;H8)),"")</f>
        <v>2</v>
      </c>
      <c r="AC8" s="82" t="n">
        <f aca="false">IF(ISNUMBER(I8),1+SUMPRODUCT(ISNUMBER($G8:$J8)*($G8:$J8&lt;I8)),"")</f>
        <v>4</v>
      </c>
      <c r="AD8" s="82" t="n">
        <f aca="false">IF(ISNUMBER(J8),1+SUMPRODUCT(ISNUMBER($G8:$J8)*($G8:$J8&lt;J8)),"")</f>
        <v>3</v>
      </c>
      <c r="AE8" s="82" t="n">
        <f aca="false">IF(NOT(ISNUMBER(G8)),0,IF($S8&lt;2,5,IF(AA8=1,1,IF(G8=MAX($G8:$J8),4,IF(AA8=2,2,3)))))</f>
        <v>1</v>
      </c>
      <c r="AF8" s="82" t="n">
        <f aca="false">IF(NOT(ISNUMBER(H8)),0,IF($S8&lt;2,5,IF(AB8=1,1,IF(H8=MAX($G8:$J8),4,IF(AB8=2,2,3)))))</f>
        <v>2</v>
      </c>
      <c r="AG8" s="82" t="n">
        <f aca="false">IF(NOT(ISNUMBER(I8)),0,IF($S8&lt;2,5,IF(AC8=1,1,IF(I8=MAX($G8:$J8),4,IF(AC8=2,2,3)))))</f>
        <v>4</v>
      </c>
      <c r="AH8" s="82" t="n">
        <f aca="false">IF(NOT(ISNUMBER(J8)),0,IF($S8&lt;2,5,IF(AD8=1,1,IF(J8=MAX($G8:$J8),4,IF(AD8=2,2,3)))))</f>
        <v>3</v>
      </c>
      <c r="AI8" s="83" t="n">
        <f aca="false">IF($S8&gt;=2,IF(ISNUMBER(G8),G8*$F8,MIN($G8:$J8)*$F8),0)</f>
        <v>2986.34</v>
      </c>
      <c r="AJ8" s="83" t="n">
        <f aca="false">IF($S8&gt;=2,IF(ISNUMBER(H8),H8*$F8,MIN($G8:$J8)*$F8),0)</f>
        <v>3120.22</v>
      </c>
      <c r="AK8" s="83" t="n">
        <f aca="false">IF($S8&gt;=2,IF(ISNUMBER(I8),I8*$F8,MIN($G8:$J8)*$F8),0)</f>
        <v>3387.8</v>
      </c>
      <c r="AL8" s="83" t="n">
        <f aca="false">IF($S8&gt;=2,IF(ISNUMBER(J8),J8*$F8,MIN($G8:$J8)*$F8),0)</f>
        <v>3268</v>
      </c>
      <c r="AM8" s="84" t="n">
        <f aca="false">IF($S8&gt;=2,$R8+ROW()/1000000,"")</f>
        <v>401.460008</v>
      </c>
      <c r="AN8" s="83" t="n">
        <f aca="false">IF($S8&gt;=2,MAX(G8:J8),"")</f>
        <v>1693.9</v>
      </c>
      <c r="AO8" s="82" t="str">
        <f aca="false">IF($S8&gt;=2,INDEX($G$6:$J$6,MATCH(MAX(G8:J8),G8:J8,0)),"")</f>
        <v>Mountainland</v>
      </c>
      <c r="AP8" s="83" t="n">
        <f aca="false">IF($S8&gt;=2,MIN(G8:J8)*$F8,0)</f>
        <v>2986.34</v>
      </c>
      <c r="AQ8" s="82" t="str">
        <f aca="false">IF($S8&gt;=2,INDEX($G$6:$J$6,MATCH(MIN(G8:J8),G8:J8,0)),"")</f>
        <v>Ferguson</v>
      </c>
    </row>
    <row r="9" customFormat="false" ht="15" hidden="false" customHeight="true" outlineLevel="0" collapsed="false">
      <c r="A9" s="70" t="s">
        <v>134</v>
      </c>
      <c r="B9" s="71" t="s">
        <v>130</v>
      </c>
      <c r="C9" s="72" t="s">
        <v>131</v>
      </c>
      <c r="D9" s="73" t="s">
        <v>135</v>
      </c>
      <c r="E9" s="74" t="s">
        <v>133</v>
      </c>
      <c r="F9" s="75" t="n">
        <v>2</v>
      </c>
      <c r="G9" s="76" t="n">
        <f aca="false">IF(COUNTIF('Quote Lines'!$P$3:$P$805,$A9&amp;"|"&amp;G$6&amp;"|1")=0,"—",SUMIFS('Quote Lines'!$O$3:$O$805,'Quote Lines'!$P$3:$P$805,$A9&amp;"|"&amp;G$6&amp;"|1")/SUMIFS('Quote Lines'!$L$3:$L$805,'Quote Lines'!$P$3:$P$805,$A9&amp;"|"&amp;G$6&amp;"|1"))</f>
        <v>946.86</v>
      </c>
      <c r="H9" s="76" t="n">
        <f aca="false">IF(COUNTIF('Quote Lines'!$P$3:$P$805,$A9&amp;"|"&amp;H$6&amp;"|1")=0,"—",SUMIFS('Quote Lines'!$O$3:$O$805,'Quote Lines'!$P$3:$P$805,$A9&amp;"|"&amp;H$6&amp;"|1")/SUMIFS('Quote Lines'!$L$3:$L$805,'Quote Lines'!$P$3:$P$805,$A9&amp;"|"&amp;H$6&amp;"|1"))</f>
        <v>989.3</v>
      </c>
      <c r="I9" s="76" t="n">
        <f aca="false">IF(COUNTIF('Quote Lines'!$P$3:$P$805,$A9&amp;"|"&amp;I$6&amp;"|1")=0,"—",SUMIFS('Quote Lines'!$O$3:$O$805,'Quote Lines'!$P$3:$P$805,$A9&amp;"|"&amp;I$6&amp;"|1")/SUMIFS('Quote Lines'!$L$3:$L$805,'Quote Lines'!$P$3:$P$805,$A9&amp;"|"&amp;I$6&amp;"|1"))</f>
        <v>1074.145</v>
      </c>
      <c r="J9" s="76" t="n">
        <f aca="false">IF(COUNTIF('Quote Lines'!$P$3:$P$805,$A9&amp;"|"&amp;J$6&amp;"|1")=0,"—",SUMIFS('Quote Lines'!$O$3:$O$805,'Quote Lines'!$P$3:$P$805,$A9&amp;"|"&amp;J$6&amp;"|1")/SUMIFS('Quote Lines'!$L$3:$L$805,'Quote Lines'!$P$3:$P$805,$A9&amp;"|"&amp;J$6&amp;"|1"))</f>
        <v>1054.02</v>
      </c>
      <c r="K9" s="14" t="n">
        <f aca="false">IF(ISNUMBER(G9),G9*$F9,"—")</f>
        <v>1893.72</v>
      </c>
      <c r="L9" s="14" t="n">
        <f aca="false">IF(ISNUMBER(H9),H9*$F9,"—")</f>
        <v>1978.6</v>
      </c>
      <c r="M9" s="14" t="n">
        <f aca="false">IF(ISNUMBER(I9),I9*$F9,"—")</f>
        <v>2148.29</v>
      </c>
      <c r="N9" s="14" t="n">
        <f aca="false">IF(ISNUMBER(J9),J9*$F9,"—")</f>
        <v>2108.04</v>
      </c>
      <c r="O9" s="77" t="n">
        <f aca="false">IF($S9=0,"—",MIN(G9:J9))</f>
        <v>946.86</v>
      </c>
      <c r="P9" s="42" t="str">
        <f aca="false">IF($S9=0,"—",IF(COUNTIF(G9:J9,O9)&gt;1,"Tie",INDEX($G$6:$J$6,MATCH(O9,G9:J9,0))))</f>
        <v>Ferguson</v>
      </c>
      <c r="Q9" s="48" t="n">
        <f aca="false">IF($S9&gt;=2,MAX(G9:J9)/MIN(G9:J9)-1,"—")</f>
        <v>0.13442853220117</v>
      </c>
      <c r="R9" s="78" t="n">
        <f aca="false">IF($S9&gt;=2,(MAX(G9:J9)-MIN(G9:J9))*$F9,"—")</f>
        <v>254.57</v>
      </c>
      <c r="S9" s="18" t="n">
        <f aca="false">COUNT(G9:J9)</f>
        <v>4</v>
      </c>
      <c r="T9" s="79" t="str">
        <f aca="false">IF($S9&lt;=1,IF($S9=1,"Single quote","—"),"Like-for-like")</f>
        <v>Like-for-like</v>
      </c>
      <c r="U9" s="79" t="str">
        <f aca="false">IF(COUNT(W9:Z9)&lt;2,"",IF(MAX(W9:Z9)=MIN(W9:Z9),"OK","Qty differs"))</f>
        <v>OK</v>
      </c>
      <c r="V9" s="80"/>
      <c r="W9" s="81" t="n">
        <f aca="false">IF(COUNTIFS('Quote Lines'!$P$3:$P$805,$A9&amp;"|"&amp;G$6&amp;"|1",'Quote Lines'!$M$3:$M$805,"Y")=0,"",SUMIFS('Quote Lines'!$L$3:$L$805,'Quote Lines'!$P$3:$P$805,$A9&amp;"|"&amp;G$6&amp;"|1",'Quote Lines'!$M$3:$M$805,"Y"))</f>
        <v>2</v>
      </c>
      <c r="X9" s="81" t="n">
        <f aca="false">IF(COUNTIFS('Quote Lines'!$P$3:$P$805,$A9&amp;"|"&amp;H$6&amp;"|1",'Quote Lines'!$M$3:$M$805,"Y")=0,"",SUMIFS('Quote Lines'!$L$3:$L$805,'Quote Lines'!$P$3:$P$805,$A9&amp;"|"&amp;H$6&amp;"|1",'Quote Lines'!$M$3:$M$805,"Y"))</f>
        <v>2</v>
      </c>
      <c r="Y9" s="81" t="n">
        <f aca="false">IF(COUNTIFS('Quote Lines'!$P$3:$P$805,$A9&amp;"|"&amp;I$6&amp;"|1",'Quote Lines'!$M$3:$M$805,"Y")=0,"",SUMIFS('Quote Lines'!$L$3:$L$805,'Quote Lines'!$P$3:$P$805,$A9&amp;"|"&amp;I$6&amp;"|1",'Quote Lines'!$M$3:$M$805,"Y"))</f>
        <v>2</v>
      </c>
      <c r="Z9" s="81" t="n">
        <f aca="false">IF(COUNTIFS('Quote Lines'!$P$3:$P$805,$A9&amp;"|"&amp;J$6&amp;"|1",'Quote Lines'!$M$3:$M$805,"Y")=0,"",SUMIFS('Quote Lines'!$L$3:$L$805,'Quote Lines'!$P$3:$P$805,$A9&amp;"|"&amp;J$6&amp;"|1",'Quote Lines'!$M$3:$M$805,"Y"))</f>
        <v>2</v>
      </c>
      <c r="AA9" s="82" t="n">
        <f aca="false">IF(ISNUMBER(G9),1+SUMPRODUCT(ISNUMBER($G9:$J9)*($G9:$J9&lt;G9)),"")</f>
        <v>1</v>
      </c>
      <c r="AB9" s="82" t="n">
        <f aca="false">IF(ISNUMBER(H9),1+SUMPRODUCT(ISNUMBER($G9:$J9)*($G9:$J9&lt;H9)),"")</f>
        <v>2</v>
      </c>
      <c r="AC9" s="82" t="n">
        <f aca="false">IF(ISNUMBER(I9),1+SUMPRODUCT(ISNUMBER($G9:$J9)*($G9:$J9&lt;I9)),"")</f>
        <v>4</v>
      </c>
      <c r="AD9" s="82" t="n">
        <f aca="false">IF(ISNUMBER(J9),1+SUMPRODUCT(ISNUMBER($G9:$J9)*($G9:$J9&lt;J9)),"")</f>
        <v>3</v>
      </c>
      <c r="AE9" s="82" t="n">
        <f aca="false">IF(NOT(ISNUMBER(G9)),0,IF($S9&lt;2,5,IF(AA9=1,1,IF(G9=MAX($G9:$J9),4,IF(AA9=2,2,3)))))</f>
        <v>1</v>
      </c>
      <c r="AF9" s="82" t="n">
        <f aca="false">IF(NOT(ISNUMBER(H9)),0,IF($S9&lt;2,5,IF(AB9=1,1,IF(H9=MAX($G9:$J9),4,IF(AB9=2,2,3)))))</f>
        <v>2</v>
      </c>
      <c r="AG9" s="82" t="n">
        <f aca="false">IF(NOT(ISNUMBER(I9)),0,IF($S9&lt;2,5,IF(AC9=1,1,IF(I9=MAX($G9:$J9),4,IF(AC9=2,2,3)))))</f>
        <v>4</v>
      </c>
      <c r="AH9" s="82" t="n">
        <f aca="false">IF(NOT(ISNUMBER(J9)),0,IF($S9&lt;2,5,IF(AD9=1,1,IF(J9=MAX($G9:$J9),4,IF(AD9=2,2,3)))))</f>
        <v>3</v>
      </c>
      <c r="AI9" s="83" t="n">
        <f aca="false">IF($S9&gt;=2,IF(ISNUMBER(G9),G9*$F9,MIN($G9:$J9)*$F9),0)</f>
        <v>1893.72</v>
      </c>
      <c r="AJ9" s="83" t="n">
        <f aca="false">IF($S9&gt;=2,IF(ISNUMBER(H9),H9*$F9,MIN($G9:$J9)*$F9),0)</f>
        <v>1978.6</v>
      </c>
      <c r="AK9" s="83" t="n">
        <f aca="false">IF($S9&gt;=2,IF(ISNUMBER(I9),I9*$F9,MIN($G9:$J9)*$F9),0)</f>
        <v>2148.29</v>
      </c>
      <c r="AL9" s="83" t="n">
        <f aca="false">IF($S9&gt;=2,IF(ISNUMBER(J9),J9*$F9,MIN($G9:$J9)*$F9),0)</f>
        <v>2108.04</v>
      </c>
      <c r="AM9" s="84" t="n">
        <f aca="false">IF($S9&gt;=2,$R9+ROW()/1000000,"")</f>
        <v>254.570009</v>
      </c>
      <c r="AN9" s="83" t="n">
        <f aca="false">IF($S9&gt;=2,MAX(G9:J9),"")</f>
        <v>1074.145</v>
      </c>
      <c r="AO9" s="82" t="str">
        <f aca="false">IF($S9&gt;=2,INDEX($G$6:$J$6,MATCH(MAX(G9:J9),G9:J9,0)),"")</f>
        <v>Mountainland</v>
      </c>
      <c r="AP9" s="83" t="n">
        <f aca="false">IF($S9&gt;=2,MIN(G9:J9)*$F9,0)</f>
        <v>1893.72</v>
      </c>
      <c r="AQ9" s="82" t="str">
        <f aca="false">IF($S9&gt;=2,INDEX($G$6:$J$6,MATCH(MIN(G9:J9),G9:J9,0)),"")</f>
        <v>Ferguson</v>
      </c>
    </row>
    <row r="10" customFormat="false" ht="15" hidden="false" customHeight="true" outlineLevel="0" collapsed="false">
      <c r="A10" s="70" t="s">
        <v>136</v>
      </c>
      <c r="B10" s="71" t="s">
        <v>130</v>
      </c>
      <c r="C10" s="72" t="s">
        <v>131</v>
      </c>
      <c r="D10" s="73" t="s">
        <v>137</v>
      </c>
      <c r="E10" s="74" t="s">
        <v>133</v>
      </c>
      <c r="F10" s="75" t="n">
        <v>1</v>
      </c>
      <c r="G10" s="85" t="s">
        <v>138</v>
      </c>
      <c r="H10" s="76" t="n">
        <f aca="false">IF(COUNTIF('Quote Lines'!$P$3:$P$805,$A10&amp;"|"&amp;H$6&amp;"|1")=0,"—",SUMIFS('Quote Lines'!$O$3:$O$805,'Quote Lines'!$P$3:$P$805,$A10&amp;"|"&amp;H$6&amp;"|1")/SUMIFS('Quote Lines'!$L$3:$L$805,'Quote Lines'!$P$3:$P$805,$A10&amp;"|"&amp;H$6&amp;"|1"))</f>
        <v>1309.41</v>
      </c>
      <c r="I10" s="85" t="s">
        <v>138</v>
      </c>
      <c r="J10" s="76" t="n">
        <f aca="false">IF(COUNTIF('Quote Lines'!$P$3:$P$805,$A10&amp;"|"&amp;J$6&amp;"|1")=0,"—",SUMIFS('Quote Lines'!$O$3:$O$805,'Quote Lines'!$P$3:$P$805,$A10&amp;"|"&amp;J$6&amp;"|1")/SUMIFS('Quote Lines'!$L$3:$L$805,'Quote Lines'!$P$3:$P$805,$A10&amp;"|"&amp;J$6&amp;"|1"))</f>
        <v>1395.07</v>
      </c>
      <c r="K10" s="14" t="str">
        <f aca="false">IF(ISNUMBER(G10),G10*$F10,"—")</f>
        <v>—</v>
      </c>
      <c r="L10" s="14" t="n">
        <f aca="false">IF(ISNUMBER(H10),H10*$F10,"—")</f>
        <v>1309.41</v>
      </c>
      <c r="M10" s="14" t="str">
        <f aca="false">IF(ISNUMBER(I10),I10*$F10,"—")</f>
        <v>—</v>
      </c>
      <c r="N10" s="14" t="n">
        <f aca="false">IF(ISNUMBER(J10),J10*$F10,"—")</f>
        <v>1395.07</v>
      </c>
      <c r="O10" s="77" t="n">
        <f aca="false">IF($S10=0,"—",MIN(G10:J10))</f>
        <v>1309.41</v>
      </c>
      <c r="P10" s="42" t="str">
        <f aca="false">IF($S10=0,"—",IF(COUNTIF(G10:J10,O10)&gt;1,"Tie",INDEX($G$6:$J$6,MATCH(O10,G10:J10,0))))</f>
        <v>HD Fowler</v>
      </c>
      <c r="Q10" s="48" t="n">
        <f aca="false">IF($S10&gt;=2,MAX(G10:J10)/MIN(G10:J10)-1,"—")</f>
        <v>0.0654187763954757</v>
      </c>
      <c r="R10" s="78" t="n">
        <f aca="false">IF($S10&gt;=2,(MAX(G10:J10)-MIN(G10:J10))*$F10,"—")</f>
        <v>85.6599999999999</v>
      </c>
      <c r="S10" s="18" t="n">
        <f aca="false">COUNT(G10:J10)</f>
        <v>2</v>
      </c>
      <c r="T10" s="79" t="str">
        <f aca="false">IF($S10&lt;=1,IF($S10=1,"Single quote","—"),"Like-for-like")</f>
        <v>Like-for-like</v>
      </c>
      <c r="U10" s="79" t="str">
        <f aca="false">IF(COUNT(W10:Z10)&lt;2,"",IF(MAX(W10:Z10)=MIN(W10:Z10),"OK","Qty differs"))</f>
        <v>OK</v>
      </c>
      <c r="V10" s="80" t="s">
        <v>139</v>
      </c>
      <c r="W10" s="81"/>
      <c r="X10" s="81" t="n">
        <f aca="false">IF(COUNTIFS('Quote Lines'!$P$3:$P$805,$A10&amp;"|"&amp;H$6&amp;"|1",'Quote Lines'!$M$3:$M$805,"Y")=0,"",SUMIFS('Quote Lines'!$L$3:$L$805,'Quote Lines'!$P$3:$P$805,$A10&amp;"|"&amp;H$6&amp;"|1",'Quote Lines'!$M$3:$M$805,"Y"))</f>
        <v>1</v>
      </c>
      <c r="Y10" s="81"/>
      <c r="Z10" s="81" t="n">
        <f aca="false">IF(COUNTIFS('Quote Lines'!$P$3:$P$805,$A10&amp;"|"&amp;J$6&amp;"|1",'Quote Lines'!$M$3:$M$805,"Y")=0,"",SUMIFS('Quote Lines'!$L$3:$L$805,'Quote Lines'!$P$3:$P$805,$A10&amp;"|"&amp;J$6&amp;"|1",'Quote Lines'!$M$3:$M$805,"Y"))</f>
        <v>1</v>
      </c>
      <c r="AA10" s="82" t="str">
        <f aca="false">IF(ISNUMBER(G10),1+SUMPRODUCT(ISNUMBER($G10:$J10)*($G10:$J10&lt;G10)),"")</f>
        <v/>
      </c>
      <c r="AB10" s="82" t="n">
        <f aca="false">IF(ISNUMBER(H10),1+SUMPRODUCT(ISNUMBER($G10:$J10)*($G10:$J10&lt;H10)),"")</f>
        <v>1</v>
      </c>
      <c r="AC10" s="82" t="str">
        <f aca="false">IF(ISNUMBER(I10),1+SUMPRODUCT(ISNUMBER($G10:$J10)*($G10:$J10&lt;I10)),"")</f>
        <v/>
      </c>
      <c r="AD10" s="82" t="n">
        <f aca="false">IF(ISNUMBER(J10),1+SUMPRODUCT(ISNUMBER($G10:$J10)*($G10:$J10&lt;J10)),"")</f>
        <v>2</v>
      </c>
      <c r="AE10" s="82" t="n">
        <f aca="false">IF(NOT(ISNUMBER(G10)),0,IF($S10&lt;2,5,IF(AA10=1,1,IF(G10=MAX($G10:$J10),4,IF(AA10=2,2,3)))))</f>
        <v>0</v>
      </c>
      <c r="AF10" s="82" t="n">
        <f aca="false">IF(NOT(ISNUMBER(H10)),0,IF($S10&lt;2,5,IF(AB10=1,1,IF(H10=MAX($G10:$J10),4,IF(AB10=2,2,3)))))</f>
        <v>1</v>
      </c>
      <c r="AG10" s="82" t="n">
        <f aca="false">IF(NOT(ISNUMBER(I10)),0,IF($S10&lt;2,5,IF(AC10=1,1,IF(I10=MAX($G10:$J10),4,IF(AC10=2,2,3)))))</f>
        <v>0</v>
      </c>
      <c r="AH10" s="82" t="n">
        <f aca="false">IF(NOT(ISNUMBER(J10)),0,IF($S10&lt;2,5,IF(AD10=1,1,IF(J10=MAX($G10:$J10),4,IF(AD10=2,2,3)))))</f>
        <v>4</v>
      </c>
      <c r="AI10" s="83" t="n">
        <f aca="false">IF($S10&gt;=2,IF(ISNUMBER(G10),G10*$F10,MIN($G10:$J10)*$F10),0)</f>
        <v>1309.41</v>
      </c>
      <c r="AJ10" s="83" t="n">
        <f aca="false">IF($S10&gt;=2,IF(ISNUMBER(H10),H10*$F10,MIN($G10:$J10)*$F10),0)</f>
        <v>1309.41</v>
      </c>
      <c r="AK10" s="83" t="n">
        <f aca="false">IF($S10&gt;=2,IF(ISNUMBER(I10),I10*$F10,MIN($G10:$J10)*$F10),0)</f>
        <v>1309.41</v>
      </c>
      <c r="AL10" s="83" t="n">
        <f aca="false">IF($S10&gt;=2,IF(ISNUMBER(J10),J10*$F10,MIN($G10:$J10)*$F10),0)</f>
        <v>1395.07</v>
      </c>
      <c r="AM10" s="84" t="n">
        <f aca="false">IF($S10&gt;=2,$R10+ROW()/1000000,"")</f>
        <v>85.6600099999999</v>
      </c>
      <c r="AN10" s="83" t="n">
        <f aca="false">IF($S10&gt;=2,MAX(G10:J10),"")</f>
        <v>1395.07</v>
      </c>
      <c r="AO10" s="82" t="str">
        <f aca="false">IF($S10&gt;=2,INDEX($G$6:$J$6,MATCH(MAX(G10:J10),G10:J10,0)),"")</f>
        <v>Scholzen</v>
      </c>
      <c r="AP10" s="83" t="n">
        <f aca="false">IF($S10&gt;=2,MIN(G10:J10)*$F10,0)</f>
        <v>1309.41</v>
      </c>
      <c r="AQ10" s="82" t="str">
        <f aca="false">IF($S10&gt;=2,INDEX($G$6:$J$6,MATCH(MIN(G10:J10),G10:J10,0)),"")</f>
        <v>HD Fowler</v>
      </c>
    </row>
    <row r="11" customFormat="false" ht="27.75" hidden="false" customHeight="true" outlineLevel="0" collapsed="false">
      <c r="A11" s="70" t="s">
        <v>140</v>
      </c>
      <c r="B11" s="71" t="s">
        <v>130</v>
      </c>
      <c r="C11" s="72" t="s">
        <v>131</v>
      </c>
      <c r="D11" s="73" t="s">
        <v>141</v>
      </c>
      <c r="E11" s="74" t="s">
        <v>133</v>
      </c>
      <c r="F11" s="75" t="n">
        <v>2</v>
      </c>
      <c r="G11" s="76" t="n">
        <f aca="false">IF(COUNTIF('Quote Lines'!$P$3:$P$805,$A11&amp;"|"&amp;G$6&amp;"|1")=0,"—",SUMIFS('Quote Lines'!$O$3:$O$805,'Quote Lines'!$P$3:$P$805,$A11&amp;"|"&amp;G$6&amp;"|1")/SUMIFS('Quote Lines'!$L$3:$L$805,'Quote Lines'!$P$3:$P$805,$A11&amp;"|"&amp;G$6&amp;"|1"))</f>
        <v>519.874</v>
      </c>
      <c r="H11" s="76" t="n">
        <f aca="false">IF(COUNTIF('Quote Lines'!$P$3:$P$805,$A11&amp;"|"&amp;H$6&amp;"|1")=0,"—",SUMIFS('Quote Lines'!$O$3:$O$805,'Quote Lines'!$P$3:$P$805,$A11&amp;"|"&amp;H$6&amp;"|1")/SUMIFS('Quote Lines'!$L$3:$L$805,'Quote Lines'!$P$3:$P$805,$A11&amp;"|"&amp;H$6&amp;"|1"))</f>
        <v>542.5</v>
      </c>
      <c r="I11" s="76" t="n">
        <f aca="false">IF(COUNTIF('Quote Lines'!$P$3:$P$805,$A11&amp;"|"&amp;I$6&amp;"|1")=0,"—",SUMIFS('Quote Lines'!$O$3:$O$805,'Quote Lines'!$P$3:$P$805,$A11&amp;"|"&amp;I$6&amp;"|1")/SUMIFS('Quote Lines'!$L$3:$L$805,'Quote Lines'!$P$3:$P$805,$A11&amp;"|"&amp;I$6&amp;"|1"))</f>
        <v>589.023333333333</v>
      </c>
      <c r="J11" s="76" t="n">
        <f aca="false">IF(COUNTIF('Quote Lines'!$P$3:$P$805,$A11&amp;"|"&amp;J$6&amp;"|1")=0,"—",SUMIFS('Quote Lines'!$O$3:$O$805,'Quote Lines'!$P$3:$P$805,$A11&amp;"|"&amp;J$6&amp;"|1")/SUMIFS('Quote Lines'!$L$3:$L$805,'Quote Lines'!$P$3:$P$805,$A11&amp;"|"&amp;J$6&amp;"|1"))</f>
        <v>568</v>
      </c>
      <c r="K11" s="14" t="n">
        <f aca="false">IF(ISNUMBER(G11),G11*$F11,"—")</f>
        <v>1039.748</v>
      </c>
      <c r="L11" s="14" t="n">
        <f aca="false">IF(ISNUMBER(H11),H11*$F11,"—")</f>
        <v>1085</v>
      </c>
      <c r="M11" s="14" t="n">
        <f aca="false">IF(ISNUMBER(I11),I11*$F11,"—")</f>
        <v>1178.04666666667</v>
      </c>
      <c r="N11" s="14" t="n">
        <f aca="false">IF(ISNUMBER(J11),J11*$F11,"—")</f>
        <v>1136</v>
      </c>
      <c r="O11" s="77" t="n">
        <f aca="false">IF($S11=0,"—",MIN(G11:J11))</f>
        <v>519.874</v>
      </c>
      <c r="P11" s="42" t="str">
        <f aca="false">IF($S11=0,"—",IF(COUNTIF(G11:J11,O11)&gt;1,"Tie",INDEX($G$6:$J$6,MATCH(O11,G11:J11,0))))</f>
        <v>Ferguson</v>
      </c>
      <c r="Q11" s="48" t="n">
        <f aca="false">IF($S11&gt;=2,MAX(G11:J11)/MIN(G11:J11)-1,"—")</f>
        <v>0.133011716941669</v>
      </c>
      <c r="R11" s="78" t="n">
        <f aca="false">IF($S11&gt;=2,(MAX(G11:J11)-MIN(G11:J11))*$F11,"—")</f>
        <v>138.298666666667</v>
      </c>
      <c r="S11" s="18" t="n">
        <f aca="false">COUNT(G11:J11)</f>
        <v>4</v>
      </c>
      <c r="T11" s="79" t="str">
        <f aca="false">IF($S11&lt;=1,IF($S11=1,"Single quote","—"),"Alt spec – verify")</f>
        <v>Alt spec – verify</v>
      </c>
      <c r="U11" s="79" t="str">
        <f aca="false">IF(COUNT(W11:Z11)&lt;2,"",IF(MAX(W11:Z11)=MIN(W11:Z11),"OK","Qty differs"))</f>
        <v>Qty differs</v>
      </c>
      <c r="V11" s="80" t="s">
        <v>142</v>
      </c>
      <c r="W11" s="81" t="n">
        <f aca="false">IF(COUNTIFS('Quote Lines'!$P$3:$P$805,$A11&amp;"|"&amp;G$6&amp;"|1",'Quote Lines'!$M$3:$M$805,"Y")=0,"",SUMIFS('Quote Lines'!$L$3:$L$805,'Quote Lines'!$P$3:$P$805,$A11&amp;"|"&amp;G$6&amp;"|1",'Quote Lines'!$M$3:$M$805,"Y"))</f>
        <v>5</v>
      </c>
      <c r="X11" s="81" t="n">
        <f aca="false">IF(COUNTIFS('Quote Lines'!$P$3:$P$805,$A11&amp;"|"&amp;H$6&amp;"|1",'Quote Lines'!$M$3:$M$805,"Y")=0,"",SUMIFS('Quote Lines'!$L$3:$L$805,'Quote Lines'!$P$3:$P$805,$A11&amp;"|"&amp;H$6&amp;"|1",'Quote Lines'!$M$3:$M$805,"Y"))</f>
        <v>2</v>
      </c>
      <c r="Y11" s="81" t="n">
        <f aca="false">IF(COUNTIFS('Quote Lines'!$P$3:$P$805,$A11&amp;"|"&amp;I$6&amp;"|1",'Quote Lines'!$M$3:$M$805,"Y")=0,"",SUMIFS('Quote Lines'!$L$3:$L$805,'Quote Lines'!$P$3:$P$805,$A11&amp;"|"&amp;I$6&amp;"|1",'Quote Lines'!$M$3:$M$805,"Y"))</f>
        <v>3</v>
      </c>
      <c r="Z11" s="81" t="n">
        <f aca="false">IF(COUNTIFS('Quote Lines'!$P$3:$P$805,$A11&amp;"|"&amp;J$6&amp;"|1",'Quote Lines'!$M$3:$M$805,"Y")=0,"",SUMIFS('Quote Lines'!$L$3:$L$805,'Quote Lines'!$P$3:$P$805,$A11&amp;"|"&amp;J$6&amp;"|1",'Quote Lines'!$M$3:$M$805,"Y"))</f>
        <v>2</v>
      </c>
      <c r="AA11" s="82" t="n">
        <f aca="false">IF(ISNUMBER(G11),1+SUMPRODUCT(ISNUMBER($G11:$J11)*($G11:$J11&lt;G11)),"")</f>
        <v>1</v>
      </c>
      <c r="AB11" s="82" t="n">
        <f aca="false">IF(ISNUMBER(H11),1+SUMPRODUCT(ISNUMBER($G11:$J11)*($G11:$J11&lt;H11)),"")</f>
        <v>2</v>
      </c>
      <c r="AC11" s="82" t="n">
        <f aca="false">IF(ISNUMBER(I11),1+SUMPRODUCT(ISNUMBER($G11:$J11)*($G11:$J11&lt;I11)),"")</f>
        <v>4</v>
      </c>
      <c r="AD11" s="82" t="n">
        <f aca="false">IF(ISNUMBER(J11),1+SUMPRODUCT(ISNUMBER($G11:$J11)*($G11:$J11&lt;J11)),"")</f>
        <v>3</v>
      </c>
      <c r="AE11" s="82" t="n">
        <f aca="false">IF(NOT(ISNUMBER(G11)),0,IF($S11&lt;2,5,IF(AA11=1,1,IF(G11=MAX($G11:$J11),4,IF(AA11=2,2,3)))))</f>
        <v>1</v>
      </c>
      <c r="AF11" s="82" t="n">
        <f aca="false">IF(NOT(ISNUMBER(H11)),0,IF($S11&lt;2,5,IF(AB11=1,1,IF(H11=MAX($G11:$J11),4,IF(AB11=2,2,3)))))</f>
        <v>2</v>
      </c>
      <c r="AG11" s="82" t="n">
        <f aca="false">IF(NOT(ISNUMBER(I11)),0,IF($S11&lt;2,5,IF(AC11=1,1,IF(I11=MAX($G11:$J11),4,IF(AC11=2,2,3)))))</f>
        <v>4</v>
      </c>
      <c r="AH11" s="82" t="n">
        <f aca="false">IF(NOT(ISNUMBER(J11)),0,IF($S11&lt;2,5,IF(AD11=1,1,IF(J11=MAX($G11:$J11),4,IF(AD11=2,2,3)))))</f>
        <v>3</v>
      </c>
      <c r="AI11" s="83" t="n">
        <f aca="false">IF($S11&gt;=2,IF(ISNUMBER(G11),G11*$F11,MIN($G11:$J11)*$F11),0)</f>
        <v>1039.748</v>
      </c>
      <c r="AJ11" s="83" t="n">
        <f aca="false">IF($S11&gt;=2,IF(ISNUMBER(H11),H11*$F11,MIN($G11:$J11)*$F11),0)</f>
        <v>1085</v>
      </c>
      <c r="AK11" s="83" t="n">
        <f aca="false">IF($S11&gt;=2,IF(ISNUMBER(I11),I11*$F11,MIN($G11:$J11)*$F11),0)</f>
        <v>1178.04666666667</v>
      </c>
      <c r="AL11" s="83" t="n">
        <f aca="false">IF($S11&gt;=2,IF(ISNUMBER(J11),J11*$F11,MIN($G11:$J11)*$F11),0)</f>
        <v>1136</v>
      </c>
      <c r="AM11" s="84" t="n">
        <f aca="false">IF($S11&gt;=2,$R11+ROW()/1000000,"")</f>
        <v>138.298677666667</v>
      </c>
      <c r="AN11" s="83" t="n">
        <f aca="false">IF($S11&gt;=2,MAX(G11:J11),"")</f>
        <v>589.023333333333</v>
      </c>
      <c r="AO11" s="82" t="str">
        <f aca="false">IF($S11&gt;=2,INDEX($G$6:$J$6,MATCH(MAX(G11:J11),G11:J11,0)),"")</f>
        <v>Mountainland</v>
      </c>
      <c r="AP11" s="83" t="n">
        <f aca="false">IF($S11&gt;=2,MIN(G11:J11)*$F11,0)</f>
        <v>1039.748</v>
      </c>
      <c r="AQ11" s="82" t="str">
        <f aca="false">IF($S11&gt;=2,INDEX($G$6:$J$6,MATCH(MIN(G11:J11),G11:J11,0)),"")</f>
        <v>Ferguson</v>
      </c>
    </row>
    <row r="12" customFormat="false" ht="15" hidden="false" customHeight="true" outlineLevel="0" collapsed="false">
      <c r="A12" s="70" t="s">
        <v>143</v>
      </c>
      <c r="B12" s="71" t="s">
        <v>130</v>
      </c>
      <c r="C12" s="72" t="s">
        <v>131</v>
      </c>
      <c r="D12" s="73" t="s">
        <v>144</v>
      </c>
      <c r="E12" s="74" t="s">
        <v>133</v>
      </c>
      <c r="F12" s="75" t="n">
        <v>1</v>
      </c>
      <c r="G12" s="76" t="n">
        <f aca="false">IF(COUNTIF('Quote Lines'!$P$3:$P$805,$A12&amp;"|"&amp;G$6&amp;"|1")=0,"—",SUMIFS('Quote Lines'!$O$3:$O$805,'Quote Lines'!$P$3:$P$805,$A12&amp;"|"&amp;G$6&amp;"|1")/SUMIFS('Quote Lines'!$L$3:$L$805,'Quote Lines'!$P$3:$P$805,$A12&amp;"|"&amp;G$6&amp;"|1"))</f>
        <v>1468.02</v>
      </c>
      <c r="H12" s="76" t="n">
        <f aca="false">IF(COUNTIF('Quote Lines'!$P$3:$P$805,$A12&amp;"|"&amp;H$6&amp;"|1")=0,"—",SUMIFS('Quote Lines'!$O$3:$O$805,'Quote Lines'!$P$3:$P$805,$A12&amp;"|"&amp;H$6&amp;"|1")/SUMIFS('Quote Lines'!$L$3:$L$805,'Quote Lines'!$P$3:$P$805,$A12&amp;"|"&amp;H$6&amp;"|1"))</f>
        <v>1533.83</v>
      </c>
      <c r="I12" s="85" t="s">
        <v>138</v>
      </c>
      <c r="J12" s="76" t="n">
        <f aca="false">IF(COUNTIF('Quote Lines'!$P$3:$P$805,$A12&amp;"|"&amp;J$6&amp;"|1")=0,"—",SUMIFS('Quote Lines'!$O$3:$O$805,'Quote Lines'!$P$3:$P$805,$A12&amp;"|"&amp;J$6&amp;"|1")/SUMIFS('Quote Lines'!$L$3:$L$805,'Quote Lines'!$P$3:$P$805,$A12&amp;"|"&amp;J$6&amp;"|1"))</f>
        <v>1707</v>
      </c>
      <c r="K12" s="14" t="n">
        <f aca="false">IF(ISNUMBER(G12),G12*$F12,"—")</f>
        <v>1468.02</v>
      </c>
      <c r="L12" s="14" t="n">
        <f aca="false">IF(ISNUMBER(H12),H12*$F12,"—")</f>
        <v>1533.83</v>
      </c>
      <c r="M12" s="14" t="str">
        <f aca="false">IF(ISNUMBER(I12),I12*$F12,"—")</f>
        <v>—</v>
      </c>
      <c r="N12" s="14" t="n">
        <f aca="false">IF(ISNUMBER(J12),J12*$F12,"—")</f>
        <v>1707</v>
      </c>
      <c r="O12" s="77" t="n">
        <f aca="false">IF($S12=0,"—",MIN(G12:J12))</f>
        <v>1468.02</v>
      </c>
      <c r="P12" s="42" t="str">
        <f aca="false">IF($S12=0,"—",IF(COUNTIF(G12:J12,O12)&gt;1,"Tie",INDEX($G$6:$J$6,MATCH(O12,G12:J12,0))))</f>
        <v>Ferguson</v>
      </c>
      <c r="Q12" s="48" t="n">
        <f aca="false">IF($S12&gt;=2,MAX(G12:J12)/MIN(G12:J12)-1,"—")</f>
        <v>0.162790697674419</v>
      </c>
      <c r="R12" s="78" t="n">
        <f aca="false">IF($S12&gt;=2,(MAX(G12:J12)-MIN(G12:J12))*$F12,"—")</f>
        <v>238.98</v>
      </c>
      <c r="S12" s="18" t="n">
        <f aca="false">COUNT(G12:J12)</f>
        <v>3</v>
      </c>
      <c r="T12" s="79" t="str">
        <f aca="false">IF($S12&lt;=1,IF($S12=1,"Single quote","—"),"Like-for-like")</f>
        <v>Like-for-like</v>
      </c>
      <c r="U12" s="79" t="str">
        <f aca="false">IF(COUNT(W12:Z12)&lt;2,"",IF(MAX(W12:Z12)=MIN(W12:Z12),"OK","Qty differs"))</f>
        <v>OK</v>
      </c>
      <c r="V12" s="80"/>
      <c r="W12" s="81" t="n">
        <f aca="false">IF(COUNTIFS('Quote Lines'!$P$3:$P$805,$A12&amp;"|"&amp;G$6&amp;"|1",'Quote Lines'!$M$3:$M$805,"Y")=0,"",SUMIFS('Quote Lines'!$L$3:$L$805,'Quote Lines'!$P$3:$P$805,$A12&amp;"|"&amp;G$6&amp;"|1",'Quote Lines'!$M$3:$M$805,"Y"))</f>
        <v>1</v>
      </c>
      <c r="X12" s="81" t="n">
        <f aca="false">IF(COUNTIFS('Quote Lines'!$P$3:$P$805,$A12&amp;"|"&amp;H$6&amp;"|1",'Quote Lines'!$M$3:$M$805,"Y")=0,"",SUMIFS('Quote Lines'!$L$3:$L$805,'Quote Lines'!$P$3:$P$805,$A12&amp;"|"&amp;H$6&amp;"|1",'Quote Lines'!$M$3:$M$805,"Y"))</f>
        <v>1</v>
      </c>
      <c r="Y12" s="81"/>
      <c r="Z12" s="81" t="n">
        <f aca="false">IF(COUNTIFS('Quote Lines'!$P$3:$P$805,$A12&amp;"|"&amp;J$6&amp;"|1",'Quote Lines'!$M$3:$M$805,"Y")=0,"",SUMIFS('Quote Lines'!$L$3:$L$805,'Quote Lines'!$P$3:$P$805,$A12&amp;"|"&amp;J$6&amp;"|1",'Quote Lines'!$M$3:$M$805,"Y"))</f>
        <v>1</v>
      </c>
      <c r="AA12" s="82" t="n">
        <f aca="false">IF(ISNUMBER(G12),1+SUMPRODUCT(ISNUMBER($G12:$J12)*($G12:$J12&lt;G12)),"")</f>
        <v>1</v>
      </c>
      <c r="AB12" s="82" t="n">
        <f aca="false">IF(ISNUMBER(H12),1+SUMPRODUCT(ISNUMBER($G12:$J12)*($G12:$J12&lt;H12)),"")</f>
        <v>2</v>
      </c>
      <c r="AC12" s="82" t="str">
        <f aca="false">IF(ISNUMBER(I12),1+SUMPRODUCT(ISNUMBER($G12:$J12)*($G12:$J12&lt;I12)),"")</f>
        <v/>
      </c>
      <c r="AD12" s="82" t="n">
        <f aca="false">IF(ISNUMBER(J12),1+SUMPRODUCT(ISNUMBER($G12:$J12)*($G12:$J12&lt;J12)),"")</f>
        <v>3</v>
      </c>
      <c r="AE12" s="82" t="n">
        <f aca="false">IF(NOT(ISNUMBER(G12)),0,IF($S12&lt;2,5,IF(AA12=1,1,IF(G12=MAX($G12:$J12),4,IF(AA12=2,2,3)))))</f>
        <v>1</v>
      </c>
      <c r="AF12" s="82" t="n">
        <f aca="false">IF(NOT(ISNUMBER(H12)),0,IF($S12&lt;2,5,IF(AB12=1,1,IF(H12=MAX($G12:$J12),4,IF(AB12=2,2,3)))))</f>
        <v>2</v>
      </c>
      <c r="AG12" s="82" t="n">
        <f aca="false">IF(NOT(ISNUMBER(I12)),0,IF($S12&lt;2,5,IF(AC12=1,1,IF(I12=MAX($G12:$J12),4,IF(AC12=2,2,3)))))</f>
        <v>0</v>
      </c>
      <c r="AH12" s="82" t="n">
        <f aca="false">IF(NOT(ISNUMBER(J12)),0,IF($S12&lt;2,5,IF(AD12=1,1,IF(J12=MAX($G12:$J12),4,IF(AD12=2,2,3)))))</f>
        <v>4</v>
      </c>
      <c r="AI12" s="83" t="n">
        <f aca="false">IF($S12&gt;=2,IF(ISNUMBER(G12),G12*$F12,MIN($G12:$J12)*$F12),0)</f>
        <v>1468.02</v>
      </c>
      <c r="AJ12" s="83" t="n">
        <f aca="false">IF($S12&gt;=2,IF(ISNUMBER(H12),H12*$F12,MIN($G12:$J12)*$F12),0)</f>
        <v>1533.83</v>
      </c>
      <c r="AK12" s="83" t="n">
        <f aca="false">IF($S12&gt;=2,IF(ISNUMBER(I12),I12*$F12,MIN($G12:$J12)*$F12),0)</f>
        <v>1468.02</v>
      </c>
      <c r="AL12" s="83" t="n">
        <f aca="false">IF($S12&gt;=2,IF(ISNUMBER(J12),J12*$F12,MIN($G12:$J12)*$F12),0)</f>
        <v>1707</v>
      </c>
      <c r="AM12" s="84" t="n">
        <f aca="false">IF($S12&gt;=2,$R12+ROW()/1000000,"")</f>
        <v>238.980012</v>
      </c>
      <c r="AN12" s="83" t="n">
        <f aca="false">IF($S12&gt;=2,MAX(G12:J12),"")</f>
        <v>1707</v>
      </c>
      <c r="AO12" s="82" t="str">
        <f aca="false">IF($S12&gt;=2,INDEX($G$6:$J$6,MATCH(MAX(G12:J12),G12:J12,0)),"")</f>
        <v>Scholzen</v>
      </c>
      <c r="AP12" s="83" t="n">
        <f aca="false">IF($S12&gt;=2,MIN(G12:J12)*$F12,0)</f>
        <v>1468.02</v>
      </c>
      <c r="AQ12" s="82" t="str">
        <f aca="false">IF($S12&gt;=2,INDEX($G$6:$J$6,MATCH(MIN(G12:J12),G12:J12,0)),"")</f>
        <v>Ferguson</v>
      </c>
    </row>
    <row r="13" customFormat="false" ht="15" hidden="false" customHeight="true" outlineLevel="0" collapsed="false">
      <c r="A13" s="70" t="s">
        <v>145</v>
      </c>
      <c r="B13" s="71" t="s">
        <v>130</v>
      </c>
      <c r="C13" s="72" t="s">
        <v>131</v>
      </c>
      <c r="D13" s="73" t="s">
        <v>146</v>
      </c>
      <c r="E13" s="74" t="s">
        <v>133</v>
      </c>
      <c r="F13" s="75" t="n">
        <v>2</v>
      </c>
      <c r="G13" s="76" t="n">
        <f aca="false">IF(COUNTIF('Quote Lines'!$P$3:$P$805,$A13&amp;"|"&amp;G$6&amp;"|1")=0,"—",SUMIFS('Quote Lines'!$O$3:$O$805,'Quote Lines'!$P$3:$P$805,$A13&amp;"|"&amp;G$6&amp;"|1")/SUMIFS('Quote Lines'!$L$3:$L$805,'Quote Lines'!$P$3:$P$805,$A13&amp;"|"&amp;G$6&amp;"|1"))</f>
        <v>1012</v>
      </c>
      <c r="H13" s="76" t="n">
        <f aca="false">IF(COUNTIF('Quote Lines'!$P$3:$P$805,$A13&amp;"|"&amp;H$6&amp;"|1")=0,"—",SUMIFS('Quote Lines'!$O$3:$O$805,'Quote Lines'!$P$3:$P$805,$A13&amp;"|"&amp;H$6&amp;"|1")/SUMIFS('Quote Lines'!$L$3:$L$805,'Quote Lines'!$P$3:$P$805,$A13&amp;"|"&amp;H$6&amp;"|1"))</f>
        <v>1057.37</v>
      </c>
      <c r="I13" s="76" t="n">
        <f aca="false">IF(COUNTIF('Quote Lines'!$P$3:$P$805,$A13&amp;"|"&amp;I$6&amp;"|1")=0,"—",SUMIFS('Quote Lines'!$O$3:$O$805,'Quote Lines'!$P$3:$P$805,$A13&amp;"|"&amp;I$6&amp;"|1")/SUMIFS('Quote Lines'!$L$3:$L$805,'Quote Lines'!$P$3:$P$805,$A13&amp;"|"&amp;I$6&amp;"|1"))</f>
        <v>1148.05</v>
      </c>
      <c r="J13" s="76" t="n">
        <f aca="false">IF(COUNTIF('Quote Lines'!$P$3:$P$805,$A13&amp;"|"&amp;J$6&amp;"|1")=0,"—",SUMIFS('Quote Lines'!$O$3:$O$805,'Quote Lines'!$P$3:$P$805,$A13&amp;"|"&amp;J$6&amp;"|1")/SUMIFS('Quote Lines'!$L$3:$L$805,'Quote Lines'!$P$3:$P$805,$A13&amp;"|"&amp;J$6&amp;"|1"))</f>
        <v>1176.75</v>
      </c>
      <c r="K13" s="14" t="n">
        <f aca="false">IF(ISNUMBER(G13),G13*$F13,"—")</f>
        <v>2024</v>
      </c>
      <c r="L13" s="14" t="n">
        <f aca="false">IF(ISNUMBER(H13),H13*$F13,"—")</f>
        <v>2114.74</v>
      </c>
      <c r="M13" s="14" t="n">
        <f aca="false">IF(ISNUMBER(I13),I13*$F13,"—")</f>
        <v>2296.1</v>
      </c>
      <c r="N13" s="14" t="n">
        <f aca="false">IF(ISNUMBER(J13),J13*$F13,"—")</f>
        <v>2353.5</v>
      </c>
      <c r="O13" s="77" t="n">
        <f aca="false">IF($S13=0,"—",MIN(G13:J13))</f>
        <v>1012</v>
      </c>
      <c r="P13" s="42" t="str">
        <f aca="false">IF($S13=0,"—",IF(COUNTIF(G13:J13,O13)&gt;1,"Tie",INDEX($G$6:$J$6,MATCH(O13,G13:J13,0))))</f>
        <v>Ferguson</v>
      </c>
      <c r="Q13" s="48" t="n">
        <f aca="false">IF($S13&gt;=2,MAX(G13:J13)/MIN(G13:J13)-1,"—")</f>
        <v>0.162796442687747</v>
      </c>
      <c r="R13" s="78" t="n">
        <f aca="false">IF($S13&gt;=2,(MAX(G13:J13)-MIN(G13:J13))*$F13,"—")</f>
        <v>329.5</v>
      </c>
      <c r="S13" s="18" t="n">
        <f aca="false">COUNT(G13:J13)</f>
        <v>4</v>
      </c>
      <c r="T13" s="79" t="str">
        <f aca="false">IF($S13&lt;=1,IF($S13=1,"Single quote","—"),"Like-for-like")</f>
        <v>Like-for-like</v>
      </c>
      <c r="U13" s="79" t="str">
        <f aca="false">IF(COUNT(W13:Z13)&lt;2,"",IF(MAX(W13:Z13)=MIN(W13:Z13),"OK","Qty differs"))</f>
        <v>OK</v>
      </c>
      <c r="V13" s="80"/>
      <c r="W13" s="81" t="n">
        <f aca="false">IF(COUNTIFS('Quote Lines'!$P$3:$P$805,$A13&amp;"|"&amp;G$6&amp;"|1",'Quote Lines'!$M$3:$M$805,"Y")=0,"",SUMIFS('Quote Lines'!$L$3:$L$805,'Quote Lines'!$P$3:$P$805,$A13&amp;"|"&amp;G$6&amp;"|1",'Quote Lines'!$M$3:$M$805,"Y"))</f>
        <v>2</v>
      </c>
      <c r="X13" s="81" t="n">
        <f aca="false">IF(COUNTIFS('Quote Lines'!$P$3:$P$805,$A13&amp;"|"&amp;H$6&amp;"|1",'Quote Lines'!$M$3:$M$805,"Y")=0,"",SUMIFS('Quote Lines'!$L$3:$L$805,'Quote Lines'!$P$3:$P$805,$A13&amp;"|"&amp;H$6&amp;"|1",'Quote Lines'!$M$3:$M$805,"Y"))</f>
        <v>2</v>
      </c>
      <c r="Y13" s="81" t="n">
        <f aca="false">IF(COUNTIFS('Quote Lines'!$P$3:$P$805,$A13&amp;"|"&amp;I$6&amp;"|1",'Quote Lines'!$M$3:$M$805,"Y")=0,"",SUMIFS('Quote Lines'!$L$3:$L$805,'Quote Lines'!$P$3:$P$805,$A13&amp;"|"&amp;I$6&amp;"|1",'Quote Lines'!$M$3:$M$805,"Y"))</f>
        <v>2</v>
      </c>
      <c r="Z13" s="81" t="n">
        <f aca="false">IF(COUNTIFS('Quote Lines'!$P$3:$P$805,$A13&amp;"|"&amp;J$6&amp;"|1",'Quote Lines'!$M$3:$M$805,"Y")=0,"",SUMIFS('Quote Lines'!$L$3:$L$805,'Quote Lines'!$P$3:$P$805,$A13&amp;"|"&amp;J$6&amp;"|1",'Quote Lines'!$M$3:$M$805,"Y"))</f>
        <v>2</v>
      </c>
      <c r="AA13" s="82" t="n">
        <f aca="false">IF(ISNUMBER(G13),1+SUMPRODUCT(ISNUMBER($G13:$J13)*($G13:$J13&lt;G13)),"")</f>
        <v>1</v>
      </c>
      <c r="AB13" s="82" t="n">
        <f aca="false">IF(ISNUMBER(H13),1+SUMPRODUCT(ISNUMBER($G13:$J13)*($G13:$J13&lt;H13)),"")</f>
        <v>2</v>
      </c>
      <c r="AC13" s="82" t="n">
        <f aca="false">IF(ISNUMBER(I13),1+SUMPRODUCT(ISNUMBER($G13:$J13)*($G13:$J13&lt;I13)),"")</f>
        <v>3</v>
      </c>
      <c r="AD13" s="82" t="n">
        <f aca="false">IF(ISNUMBER(J13),1+SUMPRODUCT(ISNUMBER($G13:$J13)*($G13:$J13&lt;J13)),"")</f>
        <v>4</v>
      </c>
      <c r="AE13" s="82" t="n">
        <f aca="false">IF(NOT(ISNUMBER(G13)),0,IF($S13&lt;2,5,IF(AA13=1,1,IF(G13=MAX($G13:$J13),4,IF(AA13=2,2,3)))))</f>
        <v>1</v>
      </c>
      <c r="AF13" s="82" t="n">
        <f aca="false">IF(NOT(ISNUMBER(H13)),0,IF($S13&lt;2,5,IF(AB13=1,1,IF(H13=MAX($G13:$J13),4,IF(AB13=2,2,3)))))</f>
        <v>2</v>
      </c>
      <c r="AG13" s="82" t="n">
        <f aca="false">IF(NOT(ISNUMBER(I13)),0,IF($S13&lt;2,5,IF(AC13=1,1,IF(I13=MAX($G13:$J13),4,IF(AC13=2,2,3)))))</f>
        <v>3</v>
      </c>
      <c r="AH13" s="82" t="n">
        <f aca="false">IF(NOT(ISNUMBER(J13)),0,IF($S13&lt;2,5,IF(AD13=1,1,IF(J13=MAX($G13:$J13),4,IF(AD13=2,2,3)))))</f>
        <v>4</v>
      </c>
      <c r="AI13" s="83" t="n">
        <f aca="false">IF($S13&gt;=2,IF(ISNUMBER(G13),G13*$F13,MIN($G13:$J13)*$F13),0)</f>
        <v>2024</v>
      </c>
      <c r="AJ13" s="83" t="n">
        <f aca="false">IF($S13&gt;=2,IF(ISNUMBER(H13),H13*$F13,MIN($G13:$J13)*$F13),0)</f>
        <v>2114.74</v>
      </c>
      <c r="AK13" s="83" t="n">
        <f aca="false">IF($S13&gt;=2,IF(ISNUMBER(I13),I13*$F13,MIN($G13:$J13)*$F13),0)</f>
        <v>2296.1</v>
      </c>
      <c r="AL13" s="83" t="n">
        <f aca="false">IF($S13&gt;=2,IF(ISNUMBER(J13),J13*$F13,MIN($G13:$J13)*$F13),0)</f>
        <v>2353.5</v>
      </c>
      <c r="AM13" s="84" t="n">
        <f aca="false">IF($S13&gt;=2,$R13+ROW()/1000000,"")</f>
        <v>329.500013</v>
      </c>
      <c r="AN13" s="83" t="n">
        <f aca="false">IF($S13&gt;=2,MAX(G13:J13),"")</f>
        <v>1176.75</v>
      </c>
      <c r="AO13" s="82" t="str">
        <f aca="false">IF($S13&gt;=2,INDEX($G$6:$J$6,MATCH(MAX(G13:J13),G13:J13,0)),"")</f>
        <v>Scholzen</v>
      </c>
      <c r="AP13" s="83" t="n">
        <f aca="false">IF($S13&gt;=2,MIN(G13:J13)*$F13,0)</f>
        <v>2024</v>
      </c>
      <c r="AQ13" s="82" t="str">
        <f aca="false">IF($S13&gt;=2,INDEX($G$6:$J$6,MATCH(MIN(G13:J13),G13:J13,0)),"")</f>
        <v>Ferguson</v>
      </c>
    </row>
    <row r="14" customFormat="false" ht="15" hidden="false" customHeight="true" outlineLevel="0" collapsed="false">
      <c r="A14" s="70" t="s">
        <v>147</v>
      </c>
      <c r="B14" s="71" t="s">
        <v>130</v>
      </c>
      <c r="C14" s="72" t="s">
        <v>131</v>
      </c>
      <c r="D14" s="73" t="s">
        <v>148</v>
      </c>
      <c r="E14" s="74" t="s">
        <v>133</v>
      </c>
      <c r="F14" s="75" t="n">
        <v>2</v>
      </c>
      <c r="G14" s="76" t="n">
        <f aca="false">IF(COUNTIF('Quote Lines'!$P$3:$P$805,$A14&amp;"|"&amp;G$6&amp;"|1")=0,"—",SUMIFS('Quote Lines'!$O$3:$O$805,'Quote Lines'!$P$3:$P$805,$A14&amp;"|"&amp;G$6&amp;"|1")/SUMIFS('Quote Lines'!$L$3:$L$805,'Quote Lines'!$P$3:$P$805,$A14&amp;"|"&amp;G$6&amp;"|1"))</f>
        <v>870.11</v>
      </c>
      <c r="H14" s="76" t="n">
        <f aca="false">IF(COUNTIF('Quote Lines'!$P$3:$P$805,$A14&amp;"|"&amp;H$6&amp;"|1")=0,"—",SUMIFS('Quote Lines'!$O$3:$O$805,'Quote Lines'!$P$3:$P$805,$A14&amp;"|"&amp;H$6&amp;"|1")/SUMIFS('Quote Lines'!$L$3:$L$805,'Quote Lines'!$P$3:$P$805,$A14&amp;"|"&amp;H$6&amp;"|1"))</f>
        <v>909.11</v>
      </c>
      <c r="I14" s="76" t="n">
        <f aca="false">IF(COUNTIF('Quote Lines'!$P$3:$P$805,$A14&amp;"|"&amp;I$6&amp;"|1")=0,"—",SUMIFS('Quote Lines'!$O$3:$O$805,'Quote Lines'!$P$3:$P$805,$A14&amp;"|"&amp;I$6&amp;"|1")/SUMIFS('Quote Lines'!$L$3:$L$805,'Quote Lines'!$P$3:$P$805,$A14&amp;"|"&amp;I$6&amp;"|1"))</f>
        <v>987.075</v>
      </c>
      <c r="J14" s="76" t="n">
        <f aca="false">IF(COUNTIF('Quote Lines'!$P$3:$P$805,$A14&amp;"|"&amp;J$6&amp;"|1")=0,"—",SUMIFS('Quote Lines'!$O$3:$O$805,'Quote Lines'!$P$3:$P$805,$A14&amp;"|"&amp;J$6&amp;"|1")/SUMIFS('Quote Lines'!$L$3:$L$805,'Quote Lines'!$P$3:$P$805,$A14&amp;"|"&amp;J$6&amp;"|1"))</f>
        <v>1011.75</v>
      </c>
      <c r="K14" s="14" t="n">
        <f aca="false">IF(ISNUMBER(G14),G14*$F14,"—")</f>
        <v>1740.22</v>
      </c>
      <c r="L14" s="14" t="n">
        <f aca="false">IF(ISNUMBER(H14),H14*$F14,"—")</f>
        <v>1818.22</v>
      </c>
      <c r="M14" s="14" t="n">
        <f aca="false">IF(ISNUMBER(I14),I14*$F14,"—")</f>
        <v>1974.15</v>
      </c>
      <c r="N14" s="14" t="n">
        <f aca="false">IF(ISNUMBER(J14),J14*$F14,"—")</f>
        <v>2023.5</v>
      </c>
      <c r="O14" s="77" t="n">
        <f aca="false">IF($S14=0,"—",MIN(G14:J14))</f>
        <v>870.11</v>
      </c>
      <c r="P14" s="42" t="str">
        <f aca="false">IF($S14=0,"—",IF(COUNTIF(G14:J14,O14)&gt;1,"Tie",INDEX($G$6:$J$6,MATCH(O14,G14:J14,0))))</f>
        <v>Ferguson</v>
      </c>
      <c r="Q14" s="48" t="n">
        <f aca="false">IF($S14&gt;=2,MAX(G14:J14)/MIN(G14:J14)-1,"—")</f>
        <v>0.162784015814093</v>
      </c>
      <c r="R14" s="78" t="n">
        <f aca="false">IF($S14&gt;=2,(MAX(G14:J14)-MIN(G14:J14))*$F14,"—")</f>
        <v>283.28</v>
      </c>
      <c r="S14" s="18" t="n">
        <f aca="false">COUNT(G14:J14)</f>
        <v>4</v>
      </c>
      <c r="T14" s="79" t="str">
        <f aca="false">IF($S14&lt;=1,IF($S14=1,"Single quote","—"),"Like-for-like")</f>
        <v>Like-for-like</v>
      </c>
      <c r="U14" s="79" t="str">
        <f aca="false">IF(COUNT(W14:Z14)&lt;2,"",IF(MAX(W14:Z14)=MIN(W14:Z14),"OK","Qty differs"))</f>
        <v>OK</v>
      </c>
      <c r="V14" s="80"/>
      <c r="W14" s="81" t="n">
        <f aca="false">IF(COUNTIFS('Quote Lines'!$P$3:$P$805,$A14&amp;"|"&amp;G$6&amp;"|1",'Quote Lines'!$M$3:$M$805,"Y")=0,"",SUMIFS('Quote Lines'!$L$3:$L$805,'Quote Lines'!$P$3:$P$805,$A14&amp;"|"&amp;G$6&amp;"|1",'Quote Lines'!$M$3:$M$805,"Y"))</f>
        <v>2</v>
      </c>
      <c r="X14" s="81" t="n">
        <f aca="false">IF(COUNTIFS('Quote Lines'!$P$3:$P$805,$A14&amp;"|"&amp;H$6&amp;"|1",'Quote Lines'!$M$3:$M$805,"Y")=0,"",SUMIFS('Quote Lines'!$L$3:$L$805,'Quote Lines'!$P$3:$P$805,$A14&amp;"|"&amp;H$6&amp;"|1",'Quote Lines'!$M$3:$M$805,"Y"))</f>
        <v>2</v>
      </c>
      <c r="Y14" s="81" t="n">
        <f aca="false">IF(COUNTIFS('Quote Lines'!$P$3:$P$805,$A14&amp;"|"&amp;I$6&amp;"|1",'Quote Lines'!$M$3:$M$805,"Y")=0,"",SUMIFS('Quote Lines'!$L$3:$L$805,'Quote Lines'!$P$3:$P$805,$A14&amp;"|"&amp;I$6&amp;"|1",'Quote Lines'!$M$3:$M$805,"Y"))</f>
        <v>2</v>
      </c>
      <c r="Z14" s="81" t="n">
        <f aca="false">IF(COUNTIFS('Quote Lines'!$P$3:$P$805,$A14&amp;"|"&amp;J$6&amp;"|1",'Quote Lines'!$M$3:$M$805,"Y")=0,"",SUMIFS('Quote Lines'!$L$3:$L$805,'Quote Lines'!$P$3:$P$805,$A14&amp;"|"&amp;J$6&amp;"|1",'Quote Lines'!$M$3:$M$805,"Y"))</f>
        <v>2</v>
      </c>
      <c r="AA14" s="82" t="n">
        <f aca="false">IF(ISNUMBER(G14),1+SUMPRODUCT(ISNUMBER($G14:$J14)*($G14:$J14&lt;G14)),"")</f>
        <v>1</v>
      </c>
      <c r="AB14" s="82" t="n">
        <f aca="false">IF(ISNUMBER(H14),1+SUMPRODUCT(ISNUMBER($G14:$J14)*($G14:$J14&lt;H14)),"")</f>
        <v>2</v>
      </c>
      <c r="AC14" s="82" t="n">
        <f aca="false">IF(ISNUMBER(I14),1+SUMPRODUCT(ISNUMBER($G14:$J14)*($G14:$J14&lt;I14)),"")</f>
        <v>3</v>
      </c>
      <c r="AD14" s="82" t="n">
        <f aca="false">IF(ISNUMBER(J14),1+SUMPRODUCT(ISNUMBER($G14:$J14)*($G14:$J14&lt;J14)),"")</f>
        <v>4</v>
      </c>
      <c r="AE14" s="82" t="n">
        <f aca="false">IF(NOT(ISNUMBER(G14)),0,IF($S14&lt;2,5,IF(AA14=1,1,IF(G14=MAX($G14:$J14),4,IF(AA14=2,2,3)))))</f>
        <v>1</v>
      </c>
      <c r="AF14" s="82" t="n">
        <f aca="false">IF(NOT(ISNUMBER(H14)),0,IF($S14&lt;2,5,IF(AB14=1,1,IF(H14=MAX($G14:$J14),4,IF(AB14=2,2,3)))))</f>
        <v>2</v>
      </c>
      <c r="AG14" s="82" t="n">
        <f aca="false">IF(NOT(ISNUMBER(I14)),0,IF($S14&lt;2,5,IF(AC14=1,1,IF(I14=MAX($G14:$J14),4,IF(AC14=2,2,3)))))</f>
        <v>3</v>
      </c>
      <c r="AH14" s="82" t="n">
        <f aca="false">IF(NOT(ISNUMBER(J14)),0,IF($S14&lt;2,5,IF(AD14=1,1,IF(J14=MAX($G14:$J14),4,IF(AD14=2,2,3)))))</f>
        <v>4</v>
      </c>
      <c r="AI14" s="83" t="n">
        <f aca="false">IF($S14&gt;=2,IF(ISNUMBER(G14),G14*$F14,MIN($G14:$J14)*$F14),0)</f>
        <v>1740.22</v>
      </c>
      <c r="AJ14" s="83" t="n">
        <f aca="false">IF($S14&gt;=2,IF(ISNUMBER(H14),H14*$F14,MIN($G14:$J14)*$F14),0)</f>
        <v>1818.22</v>
      </c>
      <c r="AK14" s="83" t="n">
        <f aca="false">IF($S14&gt;=2,IF(ISNUMBER(I14),I14*$F14,MIN($G14:$J14)*$F14),0)</f>
        <v>1974.15</v>
      </c>
      <c r="AL14" s="83" t="n">
        <f aca="false">IF($S14&gt;=2,IF(ISNUMBER(J14),J14*$F14,MIN($G14:$J14)*$F14),0)</f>
        <v>2023.5</v>
      </c>
      <c r="AM14" s="84" t="n">
        <f aca="false">IF($S14&gt;=2,$R14+ROW()/1000000,"")</f>
        <v>283.280014</v>
      </c>
      <c r="AN14" s="83" t="n">
        <f aca="false">IF($S14&gt;=2,MAX(G14:J14),"")</f>
        <v>1011.75</v>
      </c>
      <c r="AO14" s="82" t="str">
        <f aca="false">IF($S14&gt;=2,INDEX($G$6:$J$6,MATCH(MAX(G14:J14),G14:J14,0)),"")</f>
        <v>Scholzen</v>
      </c>
      <c r="AP14" s="83" t="n">
        <f aca="false">IF($S14&gt;=2,MIN(G14:J14)*$F14,0)</f>
        <v>1740.22</v>
      </c>
      <c r="AQ14" s="82" t="str">
        <f aca="false">IF($S14&gt;=2,INDEX($G$6:$J$6,MATCH(MIN(G14:J14),G14:J14,0)),"")</f>
        <v>Ferguson</v>
      </c>
    </row>
    <row r="15" customFormat="false" ht="15" hidden="false" customHeight="true" outlineLevel="0" collapsed="false">
      <c r="A15" s="70" t="s">
        <v>149</v>
      </c>
      <c r="B15" s="71" t="s">
        <v>130</v>
      </c>
      <c r="C15" s="72" t="s">
        <v>131</v>
      </c>
      <c r="D15" s="73" t="s">
        <v>150</v>
      </c>
      <c r="E15" s="74" t="s">
        <v>133</v>
      </c>
      <c r="F15" s="75" t="n">
        <v>2</v>
      </c>
      <c r="G15" s="76" t="n">
        <f aca="false">IF(COUNTIF('Quote Lines'!$P$3:$P$805,$A15&amp;"|"&amp;G$6&amp;"|1")=0,"—",SUMIFS('Quote Lines'!$O$3:$O$805,'Quote Lines'!$P$3:$P$805,$A15&amp;"|"&amp;G$6&amp;"|1")/SUMIFS('Quote Lines'!$L$3:$L$805,'Quote Lines'!$P$3:$P$805,$A15&amp;"|"&amp;G$6&amp;"|1"))</f>
        <v>446.99</v>
      </c>
      <c r="H15" s="76" t="n">
        <f aca="false">IF(COUNTIF('Quote Lines'!$P$3:$P$805,$A15&amp;"|"&amp;H$6&amp;"|1")=0,"—",SUMIFS('Quote Lines'!$O$3:$O$805,'Quote Lines'!$P$3:$P$805,$A15&amp;"|"&amp;H$6&amp;"|1")/SUMIFS('Quote Lines'!$L$3:$L$805,'Quote Lines'!$P$3:$P$805,$A15&amp;"|"&amp;H$6&amp;"|1"))</f>
        <v>467.02</v>
      </c>
      <c r="I15" s="76" t="n">
        <f aca="false">IF(COUNTIF('Quote Lines'!$P$3:$P$805,$A15&amp;"|"&amp;I$6&amp;"|1")=0,"—",SUMIFS('Quote Lines'!$O$3:$O$805,'Quote Lines'!$P$3:$P$805,$A15&amp;"|"&amp;I$6&amp;"|1")/SUMIFS('Quote Lines'!$L$3:$L$805,'Quote Lines'!$P$3:$P$805,$A15&amp;"|"&amp;I$6&amp;"|1"))</f>
        <v>507.075</v>
      </c>
      <c r="J15" s="76" t="n">
        <f aca="false">IF(COUNTIF('Quote Lines'!$P$3:$P$805,$A15&amp;"|"&amp;J$6&amp;"|1")=0,"—",SUMIFS('Quote Lines'!$O$3:$O$805,'Quote Lines'!$P$3:$P$805,$A15&amp;"|"&amp;J$6&amp;"|1")/SUMIFS('Quote Lines'!$L$3:$L$805,'Quote Lines'!$P$3:$P$805,$A15&amp;"|"&amp;J$6&amp;"|1"))</f>
        <v>519.75</v>
      </c>
      <c r="K15" s="14" t="n">
        <f aca="false">IF(ISNUMBER(G15),G15*$F15,"—")</f>
        <v>893.98</v>
      </c>
      <c r="L15" s="14" t="n">
        <f aca="false">IF(ISNUMBER(H15),H15*$F15,"—")</f>
        <v>934.04</v>
      </c>
      <c r="M15" s="14" t="n">
        <f aca="false">IF(ISNUMBER(I15),I15*$F15,"—")</f>
        <v>1014.15</v>
      </c>
      <c r="N15" s="14" t="n">
        <f aca="false">IF(ISNUMBER(J15),J15*$F15,"—")</f>
        <v>1039.5</v>
      </c>
      <c r="O15" s="77" t="n">
        <f aca="false">IF($S15=0,"—",MIN(G15:J15))</f>
        <v>446.99</v>
      </c>
      <c r="P15" s="42" t="str">
        <f aca="false">IF($S15=0,"—",IF(COUNTIF(G15:J15,O15)&gt;1,"Tie",INDEX($G$6:$J$6,MATCH(O15,G15:J15,0))))</f>
        <v>Ferguson</v>
      </c>
      <c r="Q15" s="48" t="n">
        <f aca="false">IF($S15&gt;=2,MAX(G15:J15)/MIN(G15:J15)-1,"—")</f>
        <v>0.16277769077608</v>
      </c>
      <c r="R15" s="78" t="n">
        <f aca="false">IF($S15&gt;=2,(MAX(G15:J15)-MIN(G15:J15))*$F15,"—")</f>
        <v>145.52</v>
      </c>
      <c r="S15" s="18" t="n">
        <f aca="false">COUNT(G15:J15)</f>
        <v>4</v>
      </c>
      <c r="T15" s="79" t="str">
        <f aca="false">IF($S15&lt;=1,IF($S15=1,"Single quote","—"),"Like-for-like")</f>
        <v>Like-for-like</v>
      </c>
      <c r="U15" s="79" t="str">
        <f aca="false">IF(COUNT(W15:Z15)&lt;2,"",IF(MAX(W15:Z15)=MIN(W15:Z15),"OK","Qty differs"))</f>
        <v>OK</v>
      </c>
      <c r="V15" s="80"/>
      <c r="W15" s="81" t="n">
        <f aca="false">IF(COUNTIFS('Quote Lines'!$P$3:$P$805,$A15&amp;"|"&amp;G$6&amp;"|1",'Quote Lines'!$M$3:$M$805,"Y")=0,"",SUMIFS('Quote Lines'!$L$3:$L$805,'Quote Lines'!$P$3:$P$805,$A15&amp;"|"&amp;G$6&amp;"|1",'Quote Lines'!$M$3:$M$805,"Y"))</f>
        <v>2</v>
      </c>
      <c r="X15" s="81" t="n">
        <f aca="false">IF(COUNTIFS('Quote Lines'!$P$3:$P$805,$A15&amp;"|"&amp;H$6&amp;"|1",'Quote Lines'!$M$3:$M$805,"Y")=0,"",SUMIFS('Quote Lines'!$L$3:$L$805,'Quote Lines'!$P$3:$P$805,$A15&amp;"|"&amp;H$6&amp;"|1",'Quote Lines'!$M$3:$M$805,"Y"))</f>
        <v>2</v>
      </c>
      <c r="Y15" s="81" t="n">
        <f aca="false">IF(COUNTIFS('Quote Lines'!$P$3:$P$805,$A15&amp;"|"&amp;I$6&amp;"|1",'Quote Lines'!$M$3:$M$805,"Y")=0,"",SUMIFS('Quote Lines'!$L$3:$L$805,'Quote Lines'!$P$3:$P$805,$A15&amp;"|"&amp;I$6&amp;"|1",'Quote Lines'!$M$3:$M$805,"Y"))</f>
        <v>2</v>
      </c>
      <c r="Z15" s="81" t="n">
        <f aca="false">IF(COUNTIFS('Quote Lines'!$P$3:$P$805,$A15&amp;"|"&amp;J$6&amp;"|1",'Quote Lines'!$M$3:$M$805,"Y")=0,"",SUMIFS('Quote Lines'!$L$3:$L$805,'Quote Lines'!$P$3:$P$805,$A15&amp;"|"&amp;J$6&amp;"|1",'Quote Lines'!$M$3:$M$805,"Y"))</f>
        <v>2</v>
      </c>
      <c r="AA15" s="82" t="n">
        <f aca="false">IF(ISNUMBER(G15),1+SUMPRODUCT(ISNUMBER($G15:$J15)*($G15:$J15&lt;G15)),"")</f>
        <v>1</v>
      </c>
      <c r="AB15" s="82" t="n">
        <f aca="false">IF(ISNUMBER(H15),1+SUMPRODUCT(ISNUMBER($G15:$J15)*($G15:$J15&lt;H15)),"")</f>
        <v>2</v>
      </c>
      <c r="AC15" s="82" t="n">
        <f aca="false">IF(ISNUMBER(I15),1+SUMPRODUCT(ISNUMBER($G15:$J15)*($G15:$J15&lt;I15)),"")</f>
        <v>3</v>
      </c>
      <c r="AD15" s="82" t="n">
        <f aca="false">IF(ISNUMBER(J15),1+SUMPRODUCT(ISNUMBER($G15:$J15)*($G15:$J15&lt;J15)),"")</f>
        <v>4</v>
      </c>
      <c r="AE15" s="82" t="n">
        <f aca="false">IF(NOT(ISNUMBER(G15)),0,IF($S15&lt;2,5,IF(AA15=1,1,IF(G15=MAX($G15:$J15),4,IF(AA15=2,2,3)))))</f>
        <v>1</v>
      </c>
      <c r="AF15" s="82" t="n">
        <f aca="false">IF(NOT(ISNUMBER(H15)),0,IF($S15&lt;2,5,IF(AB15=1,1,IF(H15=MAX($G15:$J15),4,IF(AB15=2,2,3)))))</f>
        <v>2</v>
      </c>
      <c r="AG15" s="82" t="n">
        <f aca="false">IF(NOT(ISNUMBER(I15)),0,IF($S15&lt;2,5,IF(AC15=1,1,IF(I15=MAX($G15:$J15),4,IF(AC15=2,2,3)))))</f>
        <v>3</v>
      </c>
      <c r="AH15" s="82" t="n">
        <f aca="false">IF(NOT(ISNUMBER(J15)),0,IF($S15&lt;2,5,IF(AD15=1,1,IF(J15=MAX($G15:$J15),4,IF(AD15=2,2,3)))))</f>
        <v>4</v>
      </c>
      <c r="AI15" s="83" t="n">
        <f aca="false">IF($S15&gt;=2,IF(ISNUMBER(G15),G15*$F15,MIN($G15:$J15)*$F15),0)</f>
        <v>893.98</v>
      </c>
      <c r="AJ15" s="83" t="n">
        <f aca="false">IF($S15&gt;=2,IF(ISNUMBER(H15),H15*$F15,MIN($G15:$J15)*$F15),0)</f>
        <v>934.04</v>
      </c>
      <c r="AK15" s="83" t="n">
        <f aca="false">IF($S15&gt;=2,IF(ISNUMBER(I15),I15*$F15,MIN($G15:$J15)*$F15),0)</f>
        <v>1014.15</v>
      </c>
      <c r="AL15" s="83" t="n">
        <f aca="false">IF($S15&gt;=2,IF(ISNUMBER(J15),J15*$F15,MIN($G15:$J15)*$F15),0)</f>
        <v>1039.5</v>
      </c>
      <c r="AM15" s="84" t="n">
        <f aca="false">IF($S15&gt;=2,$R15+ROW()/1000000,"")</f>
        <v>145.520015</v>
      </c>
      <c r="AN15" s="83" t="n">
        <f aca="false">IF($S15&gt;=2,MAX(G15:J15),"")</f>
        <v>519.75</v>
      </c>
      <c r="AO15" s="82" t="str">
        <f aca="false">IF($S15&gt;=2,INDEX($G$6:$J$6,MATCH(MAX(G15:J15),G15:J15,0)),"")</f>
        <v>Scholzen</v>
      </c>
      <c r="AP15" s="83" t="n">
        <f aca="false">IF($S15&gt;=2,MIN(G15:J15)*$F15,0)</f>
        <v>893.98</v>
      </c>
      <c r="AQ15" s="82" t="str">
        <f aca="false">IF($S15&gt;=2,INDEX($G$6:$J$6,MATCH(MIN(G15:J15),G15:J15,0)),"")</f>
        <v>Ferguson</v>
      </c>
    </row>
    <row r="16" customFormat="false" ht="15" hidden="false" customHeight="true" outlineLevel="0" collapsed="false">
      <c r="A16" s="70" t="s">
        <v>151</v>
      </c>
      <c r="B16" s="71" t="s">
        <v>130</v>
      </c>
      <c r="C16" s="72" t="s">
        <v>131</v>
      </c>
      <c r="D16" s="73" t="s">
        <v>152</v>
      </c>
      <c r="E16" s="74" t="s">
        <v>133</v>
      </c>
      <c r="F16" s="75" t="n">
        <v>1</v>
      </c>
      <c r="G16" s="76" t="n">
        <f aca="false">IF(COUNTIF('Quote Lines'!$P$3:$P$805,$A16&amp;"|"&amp;G$6&amp;"|1")=0,"—",SUMIFS('Quote Lines'!$O$3:$O$805,'Quote Lines'!$P$3:$P$805,$A16&amp;"|"&amp;G$6&amp;"|1")/SUMIFS('Quote Lines'!$L$3:$L$805,'Quote Lines'!$P$3:$P$805,$A16&amp;"|"&amp;G$6&amp;"|1"))</f>
        <v>728.21</v>
      </c>
      <c r="H16" s="85" t="s">
        <v>138</v>
      </c>
      <c r="I16" s="85" t="s">
        <v>138</v>
      </c>
      <c r="J16" s="85" t="s">
        <v>138</v>
      </c>
      <c r="K16" s="14" t="n">
        <f aca="false">IF(ISNUMBER(G16),G16*$F16,"—")</f>
        <v>728.21</v>
      </c>
      <c r="L16" s="14" t="str">
        <f aca="false">IF(ISNUMBER(H16),H16*$F16,"—")</f>
        <v>—</v>
      </c>
      <c r="M16" s="14" t="str">
        <f aca="false">IF(ISNUMBER(I16),I16*$F16,"—")</f>
        <v>—</v>
      </c>
      <c r="N16" s="14" t="str">
        <f aca="false">IF(ISNUMBER(J16),J16*$F16,"—")</f>
        <v>—</v>
      </c>
      <c r="O16" s="77" t="n">
        <f aca="false">IF($S16=0,"—",MIN(G16:J16))</f>
        <v>728.21</v>
      </c>
      <c r="P16" s="42" t="str">
        <f aca="false">IF($S16=0,"—",IF(COUNTIF(G16:J16,O16)&gt;1,"Tie",INDEX($G$6:$J$6,MATCH(O16,G16:J16,0))))</f>
        <v>Ferguson</v>
      </c>
      <c r="Q16" s="48" t="str">
        <f aca="false">IF($S16&gt;=2,MAX(G16:J16)/MIN(G16:J16)-1,"—")</f>
        <v>—</v>
      </c>
      <c r="R16" s="78" t="str">
        <f aca="false">IF($S16&gt;=2,(MAX(G16:J16)-MIN(G16:J16))*$F16,"—")</f>
        <v>—</v>
      </c>
      <c r="S16" s="18" t="n">
        <f aca="false">COUNT(G16:J16)</f>
        <v>1</v>
      </c>
      <c r="T16" s="79" t="str">
        <f aca="false">IF($S16&lt;=1,IF($S16=1,"Single quote","—"),"Like-for-like")</f>
        <v>Single quote</v>
      </c>
      <c r="U16" s="79" t="str">
        <f aca="false">IF(COUNT(W16:Z16)&lt;2,"",IF(MAX(W16:Z16)=MIN(W16:Z16),"OK","Qty differs"))</f>
        <v/>
      </c>
      <c r="V16" s="80" t="s">
        <v>153</v>
      </c>
      <c r="W16" s="81" t="n">
        <f aca="false">IF(COUNTIFS('Quote Lines'!$P$3:$P$805,$A16&amp;"|"&amp;G$6&amp;"|1",'Quote Lines'!$M$3:$M$805,"Y")=0,"",SUMIFS('Quote Lines'!$L$3:$L$805,'Quote Lines'!$P$3:$P$805,$A16&amp;"|"&amp;G$6&amp;"|1",'Quote Lines'!$M$3:$M$805,"Y"))</f>
        <v>1</v>
      </c>
      <c r="X16" s="81"/>
      <c r="Y16" s="81"/>
      <c r="Z16" s="81"/>
      <c r="AA16" s="82" t="n">
        <f aca="false">IF(ISNUMBER(G16),1+SUMPRODUCT(ISNUMBER($G16:$J16)*($G16:$J16&lt;G16)),"")</f>
        <v>1</v>
      </c>
      <c r="AB16" s="82" t="str">
        <f aca="false">IF(ISNUMBER(H16),1+SUMPRODUCT(ISNUMBER($G16:$J16)*($G16:$J16&lt;H16)),"")</f>
        <v/>
      </c>
      <c r="AC16" s="82" t="str">
        <f aca="false">IF(ISNUMBER(I16),1+SUMPRODUCT(ISNUMBER($G16:$J16)*($G16:$J16&lt;I16)),"")</f>
        <v/>
      </c>
      <c r="AD16" s="82" t="str">
        <f aca="false">IF(ISNUMBER(J16),1+SUMPRODUCT(ISNUMBER($G16:$J16)*($G16:$J16&lt;J16)),"")</f>
        <v/>
      </c>
      <c r="AE16" s="82" t="n">
        <f aca="false">IF(NOT(ISNUMBER(G16)),0,IF($S16&lt;2,5,IF(AA16=1,1,IF(G16=MAX($G16:$J16),4,IF(AA16=2,2,3)))))</f>
        <v>5</v>
      </c>
      <c r="AF16" s="82" t="n">
        <f aca="false">IF(NOT(ISNUMBER(H16)),0,IF($S16&lt;2,5,IF(AB16=1,1,IF(H16=MAX($G16:$J16),4,IF(AB16=2,2,3)))))</f>
        <v>0</v>
      </c>
      <c r="AG16" s="82" t="n">
        <f aca="false">IF(NOT(ISNUMBER(I16)),0,IF($S16&lt;2,5,IF(AC16=1,1,IF(I16=MAX($G16:$J16),4,IF(AC16=2,2,3)))))</f>
        <v>0</v>
      </c>
      <c r="AH16" s="82" t="n">
        <f aca="false">IF(NOT(ISNUMBER(J16)),0,IF($S16&lt;2,5,IF(AD16=1,1,IF(J16=MAX($G16:$J16),4,IF(AD16=2,2,3)))))</f>
        <v>0</v>
      </c>
      <c r="AI16" s="83" t="n">
        <f aca="false">IF($S16&gt;=2,IF(ISNUMBER(G16),G16*$F16,MIN($G16:$J16)*$F16),0)</f>
        <v>0</v>
      </c>
      <c r="AJ16" s="83" t="n">
        <f aca="false">IF($S16&gt;=2,IF(ISNUMBER(H16),H16*$F16,MIN($G16:$J16)*$F16),0)</f>
        <v>0</v>
      </c>
      <c r="AK16" s="83" t="n">
        <f aca="false">IF($S16&gt;=2,IF(ISNUMBER(I16),I16*$F16,MIN($G16:$J16)*$F16),0)</f>
        <v>0</v>
      </c>
      <c r="AL16" s="83" t="n">
        <f aca="false">IF($S16&gt;=2,IF(ISNUMBER(J16),J16*$F16,MIN($G16:$J16)*$F16),0)</f>
        <v>0</v>
      </c>
      <c r="AM16" s="84" t="str">
        <f aca="false">IF($S16&gt;=2,$R16+ROW()/1000000,"")</f>
        <v/>
      </c>
      <c r="AN16" s="83" t="str">
        <f aca="false">IF($S16&gt;=2,MAX(G16:J16),"")</f>
        <v/>
      </c>
      <c r="AO16" s="82" t="str">
        <f aca="false">IF($S16&gt;=2,INDEX($G$6:$J$6,MATCH(MAX(G16:J16),G16:J16,0)),"")</f>
        <v/>
      </c>
      <c r="AP16" s="83" t="n">
        <f aca="false">IF($S16&gt;=2,MIN(G16:J16)*$F16,0)</f>
        <v>0</v>
      </c>
      <c r="AQ16" s="82" t="str">
        <f aca="false">IF($S16&gt;=2,INDEX($G$6:$J$6,MATCH(MIN(G16:J16),G16:J16,0)),"")</f>
        <v/>
      </c>
    </row>
    <row r="17" customFormat="false" ht="15" hidden="false" customHeight="true" outlineLevel="0" collapsed="false">
      <c r="A17" s="70" t="s">
        <v>154</v>
      </c>
      <c r="B17" s="71" t="s">
        <v>130</v>
      </c>
      <c r="C17" s="72" t="s">
        <v>131</v>
      </c>
      <c r="D17" s="73" t="s">
        <v>155</v>
      </c>
      <c r="E17" s="74" t="s">
        <v>133</v>
      </c>
      <c r="F17" s="75" t="n">
        <v>1</v>
      </c>
      <c r="G17" s="76" t="n">
        <f aca="false">IF(COUNTIF('Quote Lines'!$P$3:$P$805,$A17&amp;"|"&amp;G$6&amp;"|1")=0,"—",SUMIFS('Quote Lines'!$O$3:$O$805,'Quote Lines'!$P$3:$P$805,$A17&amp;"|"&amp;G$6&amp;"|1")/SUMIFS('Quote Lines'!$L$3:$L$805,'Quote Lines'!$P$3:$P$805,$A17&amp;"|"&amp;G$6&amp;"|1"))</f>
        <v>636.61</v>
      </c>
      <c r="H17" s="76" t="n">
        <f aca="false">IF(COUNTIF('Quote Lines'!$P$3:$P$805,$A17&amp;"|"&amp;H$6&amp;"|1")=0,"—",SUMIFS('Quote Lines'!$O$3:$O$805,'Quote Lines'!$P$3:$P$805,$A17&amp;"|"&amp;H$6&amp;"|1")/SUMIFS('Quote Lines'!$L$3:$L$805,'Quote Lines'!$P$3:$P$805,$A17&amp;"|"&amp;H$6&amp;"|1"))</f>
        <v>665.15</v>
      </c>
      <c r="I17" s="85" t="s">
        <v>138</v>
      </c>
      <c r="J17" s="85" t="s">
        <v>138</v>
      </c>
      <c r="K17" s="14" t="n">
        <f aca="false">IF(ISNUMBER(G17),G17*$F17,"—")</f>
        <v>636.61</v>
      </c>
      <c r="L17" s="14" t="n">
        <f aca="false">IF(ISNUMBER(H17),H17*$F17,"—")</f>
        <v>665.15</v>
      </c>
      <c r="M17" s="14" t="str">
        <f aca="false">IF(ISNUMBER(I17),I17*$F17,"—")</f>
        <v>—</v>
      </c>
      <c r="N17" s="14" t="str">
        <f aca="false">IF(ISNUMBER(J17),J17*$F17,"—")</f>
        <v>—</v>
      </c>
      <c r="O17" s="77" t="n">
        <f aca="false">IF($S17=0,"—",MIN(G17:J17))</f>
        <v>636.61</v>
      </c>
      <c r="P17" s="42" t="str">
        <f aca="false">IF($S17=0,"—",IF(COUNTIF(G17:J17,O17)&gt;1,"Tie",INDEX($G$6:$J$6,MATCH(O17,G17:J17,0))))</f>
        <v>Ferguson</v>
      </c>
      <c r="Q17" s="48" t="n">
        <f aca="false">IF($S17&gt;=2,MAX(G17:J17)/MIN(G17:J17)-1,"—")</f>
        <v>0.044831215343774</v>
      </c>
      <c r="R17" s="78" t="n">
        <f aca="false">IF($S17&gt;=2,(MAX(G17:J17)-MIN(G17:J17))*$F17,"—")</f>
        <v>28.54</v>
      </c>
      <c r="S17" s="18" t="n">
        <f aca="false">COUNT(G17:J17)</f>
        <v>2</v>
      </c>
      <c r="T17" s="79" t="str">
        <f aca="false">IF($S17&lt;=1,IF($S17=1,"Single quote","—"),"Like-for-like")</f>
        <v>Like-for-like</v>
      </c>
      <c r="U17" s="79" t="str">
        <f aca="false">IF(COUNT(W17:Z17)&lt;2,"",IF(MAX(W17:Z17)=MIN(W17:Z17),"OK","Qty differs"))</f>
        <v>OK</v>
      </c>
      <c r="V17" s="80"/>
      <c r="W17" s="81" t="n">
        <f aca="false">IF(COUNTIFS('Quote Lines'!$P$3:$P$805,$A17&amp;"|"&amp;G$6&amp;"|1",'Quote Lines'!$M$3:$M$805,"Y")=0,"",SUMIFS('Quote Lines'!$L$3:$L$805,'Quote Lines'!$P$3:$P$805,$A17&amp;"|"&amp;G$6&amp;"|1",'Quote Lines'!$M$3:$M$805,"Y"))</f>
        <v>1</v>
      </c>
      <c r="X17" s="81" t="n">
        <f aca="false">IF(COUNTIFS('Quote Lines'!$P$3:$P$805,$A17&amp;"|"&amp;H$6&amp;"|1",'Quote Lines'!$M$3:$M$805,"Y")=0,"",SUMIFS('Quote Lines'!$L$3:$L$805,'Quote Lines'!$P$3:$P$805,$A17&amp;"|"&amp;H$6&amp;"|1",'Quote Lines'!$M$3:$M$805,"Y"))</f>
        <v>1</v>
      </c>
      <c r="Y17" s="81"/>
      <c r="Z17" s="81"/>
      <c r="AA17" s="82" t="n">
        <f aca="false">IF(ISNUMBER(G17),1+SUMPRODUCT(ISNUMBER($G17:$J17)*($G17:$J17&lt;G17)),"")</f>
        <v>1</v>
      </c>
      <c r="AB17" s="82" t="n">
        <f aca="false">IF(ISNUMBER(H17),1+SUMPRODUCT(ISNUMBER($G17:$J17)*($G17:$J17&lt;H17)),"")</f>
        <v>2</v>
      </c>
      <c r="AC17" s="82" t="str">
        <f aca="false">IF(ISNUMBER(I17),1+SUMPRODUCT(ISNUMBER($G17:$J17)*($G17:$J17&lt;I17)),"")</f>
        <v/>
      </c>
      <c r="AD17" s="82" t="str">
        <f aca="false">IF(ISNUMBER(J17),1+SUMPRODUCT(ISNUMBER($G17:$J17)*($G17:$J17&lt;J17)),"")</f>
        <v/>
      </c>
      <c r="AE17" s="82" t="n">
        <f aca="false">IF(NOT(ISNUMBER(G17)),0,IF($S17&lt;2,5,IF(AA17=1,1,IF(G17=MAX($G17:$J17),4,IF(AA17=2,2,3)))))</f>
        <v>1</v>
      </c>
      <c r="AF17" s="82" t="n">
        <f aca="false">IF(NOT(ISNUMBER(H17)),0,IF($S17&lt;2,5,IF(AB17=1,1,IF(H17=MAX($G17:$J17),4,IF(AB17=2,2,3)))))</f>
        <v>4</v>
      </c>
      <c r="AG17" s="82" t="n">
        <f aca="false">IF(NOT(ISNUMBER(I17)),0,IF($S17&lt;2,5,IF(AC17=1,1,IF(I17=MAX($G17:$J17),4,IF(AC17=2,2,3)))))</f>
        <v>0</v>
      </c>
      <c r="AH17" s="82" t="n">
        <f aca="false">IF(NOT(ISNUMBER(J17)),0,IF($S17&lt;2,5,IF(AD17=1,1,IF(J17=MAX($G17:$J17),4,IF(AD17=2,2,3)))))</f>
        <v>0</v>
      </c>
      <c r="AI17" s="83" t="n">
        <f aca="false">IF($S17&gt;=2,IF(ISNUMBER(G17),G17*$F17,MIN($G17:$J17)*$F17),0)</f>
        <v>636.61</v>
      </c>
      <c r="AJ17" s="83" t="n">
        <f aca="false">IF($S17&gt;=2,IF(ISNUMBER(H17),H17*$F17,MIN($G17:$J17)*$F17),0)</f>
        <v>665.15</v>
      </c>
      <c r="AK17" s="83" t="n">
        <f aca="false">IF($S17&gt;=2,IF(ISNUMBER(I17),I17*$F17,MIN($G17:$J17)*$F17),0)</f>
        <v>636.61</v>
      </c>
      <c r="AL17" s="83" t="n">
        <f aca="false">IF($S17&gt;=2,IF(ISNUMBER(J17),J17*$F17,MIN($G17:$J17)*$F17),0)</f>
        <v>636.61</v>
      </c>
      <c r="AM17" s="84" t="n">
        <f aca="false">IF($S17&gt;=2,$R17+ROW()/1000000,"")</f>
        <v>28.540017</v>
      </c>
      <c r="AN17" s="83" t="n">
        <f aca="false">IF($S17&gt;=2,MAX(G17:J17),"")</f>
        <v>665.15</v>
      </c>
      <c r="AO17" s="82" t="str">
        <f aca="false">IF($S17&gt;=2,INDEX($G$6:$J$6,MATCH(MAX(G17:J17),G17:J17,0)),"")</f>
        <v>HD Fowler</v>
      </c>
      <c r="AP17" s="83" t="n">
        <f aca="false">IF($S17&gt;=2,MIN(G17:J17)*$F17,0)</f>
        <v>636.61</v>
      </c>
      <c r="AQ17" s="82" t="str">
        <f aca="false">IF($S17&gt;=2,INDEX($G$6:$J$6,MATCH(MIN(G17:J17),G17:J17,0)),"")</f>
        <v>Ferguson</v>
      </c>
    </row>
    <row r="18" customFormat="false" ht="15" hidden="false" customHeight="true" outlineLevel="0" collapsed="false">
      <c r="A18" s="70" t="s">
        <v>156</v>
      </c>
      <c r="B18" s="71" t="s">
        <v>130</v>
      </c>
      <c r="C18" s="72" t="s">
        <v>131</v>
      </c>
      <c r="D18" s="73" t="s">
        <v>157</v>
      </c>
      <c r="E18" s="74" t="s">
        <v>133</v>
      </c>
      <c r="F18" s="75" t="n">
        <v>1</v>
      </c>
      <c r="G18" s="85" t="s">
        <v>138</v>
      </c>
      <c r="H18" s="76" t="n">
        <f aca="false">IF(COUNTIF('Quote Lines'!$P$3:$P$805,$A18&amp;"|"&amp;H$6&amp;"|1")=0,"—",SUMIFS('Quote Lines'!$O$3:$O$805,'Quote Lines'!$P$3:$P$805,$A18&amp;"|"&amp;H$6&amp;"|1")/SUMIFS('Quote Lines'!$L$3:$L$805,'Quote Lines'!$P$3:$P$805,$A18&amp;"|"&amp;H$6&amp;"|1"))</f>
        <v>418.5</v>
      </c>
      <c r="I18" s="85" t="s">
        <v>138</v>
      </c>
      <c r="J18" s="76" t="n">
        <f aca="false">IF(COUNTIF('Quote Lines'!$P$3:$P$805,$A18&amp;"|"&amp;J$6&amp;"|1")=0,"—",SUMIFS('Quote Lines'!$O$3:$O$805,'Quote Lines'!$P$3:$P$805,$A18&amp;"|"&amp;J$6&amp;"|1")/SUMIFS('Quote Lines'!$L$3:$L$805,'Quote Lines'!$P$3:$P$805,$A18&amp;"|"&amp;J$6&amp;"|1"))</f>
        <v>465.75</v>
      </c>
      <c r="K18" s="14" t="str">
        <f aca="false">IF(ISNUMBER(G18),G18*$F18,"—")</f>
        <v>—</v>
      </c>
      <c r="L18" s="14" t="n">
        <f aca="false">IF(ISNUMBER(H18),H18*$F18,"—")</f>
        <v>418.5</v>
      </c>
      <c r="M18" s="14" t="str">
        <f aca="false">IF(ISNUMBER(I18),I18*$F18,"—")</f>
        <v>—</v>
      </c>
      <c r="N18" s="14" t="n">
        <f aca="false">IF(ISNUMBER(J18),J18*$F18,"—")</f>
        <v>465.75</v>
      </c>
      <c r="O18" s="77" t="n">
        <f aca="false">IF($S18=0,"—",MIN(G18:J18))</f>
        <v>418.5</v>
      </c>
      <c r="P18" s="42" t="str">
        <f aca="false">IF($S18=0,"—",IF(COUNTIF(G18:J18,O18)&gt;1,"Tie",INDEX($G$6:$J$6,MATCH(O18,G18:J18,0))))</f>
        <v>HD Fowler</v>
      </c>
      <c r="Q18" s="48" t="n">
        <f aca="false">IF($S18&gt;=2,MAX(G18:J18)/MIN(G18:J18)-1,"—")</f>
        <v>0.112903225806452</v>
      </c>
      <c r="R18" s="78" t="n">
        <f aca="false">IF($S18&gt;=2,(MAX(G18:J18)-MIN(G18:J18))*$F18,"—")</f>
        <v>47.25</v>
      </c>
      <c r="S18" s="18" t="n">
        <f aca="false">COUNT(G18:J18)</f>
        <v>2</v>
      </c>
      <c r="T18" s="79" t="str">
        <f aca="false">IF($S18&lt;=1,IF($S18=1,"Single quote","—"),"Like-for-like")</f>
        <v>Like-for-like</v>
      </c>
      <c r="U18" s="79" t="str">
        <f aca="false">IF(COUNT(W18:Z18)&lt;2,"",IF(MAX(W18:Z18)=MIN(W18:Z18),"OK","Qty differs"))</f>
        <v>OK</v>
      </c>
      <c r="V18" s="80"/>
      <c r="W18" s="81"/>
      <c r="X18" s="81" t="n">
        <f aca="false">IF(COUNTIFS('Quote Lines'!$P$3:$P$805,$A18&amp;"|"&amp;H$6&amp;"|1",'Quote Lines'!$M$3:$M$805,"Y")=0,"",SUMIFS('Quote Lines'!$L$3:$L$805,'Quote Lines'!$P$3:$P$805,$A18&amp;"|"&amp;H$6&amp;"|1",'Quote Lines'!$M$3:$M$805,"Y"))</f>
        <v>1</v>
      </c>
      <c r="Y18" s="81"/>
      <c r="Z18" s="81" t="n">
        <f aca="false">IF(COUNTIFS('Quote Lines'!$P$3:$P$805,$A18&amp;"|"&amp;J$6&amp;"|1",'Quote Lines'!$M$3:$M$805,"Y")=0,"",SUMIFS('Quote Lines'!$L$3:$L$805,'Quote Lines'!$P$3:$P$805,$A18&amp;"|"&amp;J$6&amp;"|1",'Quote Lines'!$M$3:$M$805,"Y"))</f>
        <v>1</v>
      </c>
      <c r="AA18" s="82" t="str">
        <f aca="false">IF(ISNUMBER(G18),1+SUMPRODUCT(ISNUMBER($G18:$J18)*($G18:$J18&lt;G18)),"")</f>
        <v/>
      </c>
      <c r="AB18" s="82" t="n">
        <f aca="false">IF(ISNUMBER(H18),1+SUMPRODUCT(ISNUMBER($G18:$J18)*($G18:$J18&lt;H18)),"")</f>
        <v>1</v>
      </c>
      <c r="AC18" s="82" t="str">
        <f aca="false">IF(ISNUMBER(I18),1+SUMPRODUCT(ISNUMBER($G18:$J18)*($G18:$J18&lt;I18)),"")</f>
        <v/>
      </c>
      <c r="AD18" s="82" t="n">
        <f aca="false">IF(ISNUMBER(J18),1+SUMPRODUCT(ISNUMBER($G18:$J18)*($G18:$J18&lt;J18)),"")</f>
        <v>2</v>
      </c>
      <c r="AE18" s="82" t="n">
        <f aca="false">IF(NOT(ISNUMBER(G18)),0,IF($S18&lt;2,5,IF(AA18=1,1,IF(G18=MAX($G18:$J18),4,IF(AA18=2,2,3)))))</f>
        <v>0</v>
      </c>
      <c r="AF18" s="82" t="n">
        <f aca="false">IF(NOT(ISNUMBER(H18)),0,IF($S18&lt;2,5,IF(AB18=1,1,IF(H18=MAX($G18:$J18),4,IF(AB18=2,2,3)))))</f>
        <v>1</v>
      </c>
      <c r="AG18" s="82" t="n">
        <f aca="false">IF(NOT(ISNUMBER(I18)),0,IF($S18&lt;2,5,IF(AC18=1,1,IF(I18=MAX($G18:$J18),4,IF(AC18=2,2,3)))))</f>
        <v>0</v>
      </c>
      <c r="AH18" s="82" t="n">
        <f aca="false">IF(NOT(ISNUMBER(J18)),0,IF($S18&lt;2,5,IF(AD18=1,1,IF(J18=MAX($G18:$J18),4,IF(AD18=2,2,3)))))</f>
        <v>4</v>
      </c>
      <c r="AI18" s="83" t="n">
        <f aca="false">IF($S18&gt;=2,IF(ISNUMBER(G18),G18*$F18,MIN($G18:$J18)*$F18),0)</f>
        <v>418.5</v>
      </c>
      <c r="AJ18" s="83" t="n">
        <f aca="false">IF($S18&gt;=2,IF(ISNUMBER(H18),H18*$F18,MIN($G18:$J18)*$F18),0)</f>
        <v>418.5</v>
      </c>
      <c r="AK18" s="83" t="n">
        <f aca="false">IF($S18&gt;=2,IF(ISNUMBER(I18),I18*$F18,MIN($G18:$J18)*$F18),0)</f>
        <v>418.5</v>
      </c>
      <c r="AL18" s="83" t="n">
        <f aca="false">IF($S18&gt;=2,IF(ISNUMBER(J18),J18*$F18,MIN($G18:$J18)*$F18),0)</f>
        <v>465.75</v>
      </c>
      <c r="AM18" s="84" t="n">
        <f aca="false">IF($S18&gt;=2,$R18+ROW()/1000000,"")</f>
        <v>47.250018</v>
      </c>
      <c r="AN18" s="83" t="n">
        <f aca="false">IF($S18&gt;=2,MAX(G18:J18),"")</f>
        <v>465.75</v>
      </c>
      <c r="AO18" s="82" t="str">
        <f aca="false">IF($S18&gt;=2,INDEX($G$6:$J$6,MATCH(MAX(G18:J18),G18:J18,0)),"")</f>
        <v>Scholzen</v>
      </c>
      <c r="AP18" s="83" t="n">
        <f aca="false">IF($S18&gt;=2,MIN(G18:J18)*$F18,0)</f>
        <v>418.5</v>
      </c>
      <c r="AQ18" s="82" t="str">
        <f aca="false">IF($S18&gt;=2,INDEX($G$6:$J$6,MATCH(MIN(G18:J18),G18:J18,0)),"")</f>
        <v>HD Fowler</v>
      </c>
    </row>
    <row r="19" customFormat="false" ht="15" hidden="false" customHeight="true" outlineLevel="0" collapsed="false">
      <c r="A19" s="70" t="s">
        <v>158</v>
      </c>
      <c r="B19" s="71" t="s">
        <v>130</v>
      </c>
      <c r="C19" s="72" t="s">
        <v>131</v>
      </c>
      <c r="D19" s="73" t="s">
        <v>159</v>
      </c>
      <c r="E19" s="74" t="s">
        <v>133</v>
      </c>
      <c r="F19" s="75" t="n">
        <v>1</v>
      </c>
      <c r="G19" s="85" t="s">
        <v>138</v>
      </c>
      <c r="H19" s="85" t="s">
        <v>138</v>
      </c>
      <c r="I19" s="85" t="s">
        <v>138</v>
      </c>
      <c r="J19" s="76" t="n">
        <f aca="false">IF(COUNTIF('Quote Lines'!$P$3:$P$805,$A19&amp;"|"&amp;J$6&amp;"|1")=0,"—",SUMIFS('Quote Lines'!$O$3:$O$805,'Quote Lines'!$P$3:$P$805,$A19&amp;"|"&amp;J$6&amp;"|1")/SUMIFS('Quote Lines'!$L$3:$L$805,'Quote Lines'!$P$3:$P$805,$A19&amp;"|"&amp;J$6&amp;"|1"))</f>
        <v>406.5</v>
      </c>
      <c r="K19" s="14" t="str">
        <f aca="false">IF(ISNUMBER(G19),G19*$F19,"—")</f>
        <v>—</v>
      </c>
      <c r="L19" s="14" t="str">
        <f aca="false">IF(ISNUMBER(H19),H19*$F19,"—")</f>
        <v>—</v>
      </c>
      <c r="M19" s="14" t="str">
        <f aca="false">IF(ISNUMBER(I19),I19*$F19,"—")</f>
        <v>—</v>
      </c>
      <c r="N19" s="14" t="n">
        <f aca="false">IF(ISNUMBER(J19),J19*$F19,"—")</f>
        <v>406.5</v>
      </c>
      <c r="O19" s="77" t="n">
        <f aca="false">IF($S19=0,"—",MIN(G19:J19))</f>
        <v>406.5</v>
      </c>
      <c r="P19" s="42" t="str">
        <f aca="false">IF($S19=0,"—",IF(COUNTIF(G19:J19,O19)&gt;1,"Tie",INDEX($G$6:$J$6,MATCH(O19,G19:J19,0))))</f>
        <v>Scholzen</v>
      </c>
      <c r="Q19" s="48" t="str">
        <f aca="false">IF($S19&gt;=2,MAX(G19:J19)/MIN(G19:J19)-1,"—")</f>
        <v>—</v>
      </c>
      <c r="R19" s="78" t="str">
        <f aca="false">IF($S19&gt;=2,(MAX(G19:J19)-MIN(G19:J19))*$F19,"—")</f>
        <v>—</v>
      </c>
      <c r="S19" s="18" t="n">
        <f aca="false">COUNT(G19:J19)</f>
        <v>1</v>
      </c>
      <c r="T19" s="79" t="str">
        <f aca="false">IF($S19&lt;=1,IF($S19=1,"Single quote","—"),"Like-for-like")</f>
        <v>Single quote</v>
      </c>
      <c r="U19" s="79" t="str">
        <f aca="false">IF(COUNT(W19:Z19)&lt;2,"",IF(MAX(W19:Z19)=MIN(W19:Z19),"OK","Qty differs"))</f>
        <v/>
      </c>
      <c r="V19" s="80"/>
      <c r="W19" s="81"/>
      <c r="X19" s="81"/>
      <c r="Y19" s="81"/>
      <c r="Z19" s="81" t="n">
        <f aca="false">IF(COUNTIFS('Quote Lines'!$P$3:$P$805,$A19&amp;"|"&amp;J$6&amp;"|1",'Quote Lines'!$M$3:$M$805,"Y")=0,"",SUMIFS('Quote Lines'!$L$3:$L$805,'Quote Lines'!$P$3:$P$805,$A19&amp;"|"&amp;J$6&amp;"|1",'Quote Lines'!$M$3:$M$805,"Y"))</f>
        <v>1</v>
      </c>
      <c r="AA19" s="82" t="str">
        <f aca="false">IF(ISNUMBER(G19),1+SUMPRODUCT(ISNUMBER($G19:$J19)*($G19:$J19&lt;G19)),"")</f>
        <v/>
      </c>
      <c r="AB19" s="82" t="str">
        <f aca="false">IF(ISNUMBER(H19),1+SUMPRODUCT(ISNUMBER($G19:$J19)*($G19:$J19&lt;H19)),"")</f>
        <v/>
      </c>
      <c r="AC19" s="82" t="str">
        <f aca="false">IF(ISNUMBER(I19),1+SUMPRODUCT(ISNUMBER($G19:$J19)*($G19:$J19&lt;I19)),"")</f>
        <v/>
      </c>
      <c r="AD19" s="82" t="n">
        <f aca="false">IF(ISNUMBER(J19),1+SUMPRODUCT(ISNUMBER($G19:$J19)*($G19:$J19&lt;J19)),"")</f>
        <v>1</v>
      </c>
      <c r="AE19" s="82" t="n">
        <f aca="false">IF(NOT(ISNUMBER(G19)),0,IF($S19&lt;2,5,IF(AA19=1,1,IF(G19=MAX($G19:$J19),4,IF(AA19=2,2,3)))))</f>
        <v>0</v>
      </c>
      <c r="AF19" s="82" t="n">
        <f aca="false">IF(NOT(ISNUMBER(H19)),0,IF($S19&lt;2,5,IF(AB19=1,1,IF(H19=MAX($G19:$J19),4,IF(AB19=2,2,3)))))</f>
        <v>0</v>
      </c>
      <c r="AG19" s="82" t="n">
        <f aca="false">IF(NOT(ISNUMBER(I19)),0,IF($S19&lt;2,5,IF(AC19=1,1,IF(I19=MAX($G19:$J19),4,IF(AC19=2,2,3)))))</f>
        <v>0</v>
      </c>
      <c r="AH19" s="82" t="n">
        <f aca="false">IF(NOT(ISNUMBER(J19)),0,IF($S19&lt;2,5,IF(AD19=1,1,IF(J19=MAX($G19:$J19),4,IF(AD19=2,2,3)))))</f>
        <v>5</v>
      </c>
      <c r="AI19" s="83" t="n">
        <f aca="false">IF($S19&gt;=2,IF(ISNUMBER(G19),G19*$F19,MIN($G19:$J19)*$F19),0)</f>
        <v>0</v>
      </c>
      <c r="AJ19" s="83" t="n">
        <f aca="false">IF($S19&gt;=2,IF(ISNUMBER(H19),H19*$F19,MIN($G19:$J19)*$F19),0)</f>
        <v>0</v>
      </c>
      <c r="AK19" s="83" t="n">
        <f aca="false">IF($S19&gt;=2,IF(ISNUMBER(I19),I19*$F19,MIN($G19:$J19)*$F19),0)</f>
        <v>0</v>
      </c>
      <c r="AL19" s="83" t="n">
        <f aca="false">IF($S19&gt;=2,IF(ISNUMBER(J19),J19*$F19,MIN($G19:$J19)*$F19),0)</f>
        <v>0</v>
      </c>
      <c r="AM19" s="84" t="str">
        <f aca="false">IF($S19&gt;=2,$R19+ROW()/1000000,"")</f>
        <v/>
      </c>
      <c r="AN19" s="83" t="str">
        <f aca="false">IF($S19&gt;=2,MAX(G19:J19),"")</f>
        <v/>
      </c>
      <c r="AO19" s="82" t="str">
        <f aca="false">IF($S19&gt;=2,INDEX($G$6:$J$6,MATCH(MAX(G19:J19),G19:J19,0)),"")</f>
        <v/>
      </c>
      <c r="AP19" s="83" t="n">
        <f aca="false">IF($S19&gt;=2,MIN(G19:J19)*$F19,0)</f>
        <v>0</v>
      </c>
      <c r="AQ19" s="82" t="str">
        <f aca="false">IF($S19&gt;=2,INDEX($G$6:$J$6,MATCH(MIN(G19:J19),G19:J19,0)),"")</f>
        <v/>
      </c>
    </row>
    <row r="20" customFormat="false" ht="15" hidden="false" customHeight="true" outlineLevel="0" collapsed="false">
      <c r="A20" s="70" t="s">
        <v>160</v>
      </c>
      <c r="B20" s="71" t="s">
        <v>130</v>
      </c>
      <c r="C20" s="72" t="s">
        <v>131</v>
      </c>
      <c r="D20" s="73" t="s">
        <v>161</v>
      </c>
      <c r="E20" s="74" t="s">
        <v>133</v>
      </c>
      <c r="F20" s="75" t="n">
        <v>2</v>
      </c>
      <c r="G20" s="76" t="n">
        <f aca="false">IF(COUNTIF('Quote Lines'!$P$3:$P$805,$A20&amp;"|"&amp;G$6&amp;"|1")=0,"—",SUMIFS('Quote Lines'!$O$3:$O$805,'Quote Lines'!$P$3:$P$805,$A20&amp;"|"&amp;G$6&amp;"|1")/SUMIFS('Quote Lines'!$L$3:$L$805,'Quote Lines'!$P$3:$P$805,$A20&amp;"|"&amp;G$6&amp;"|1"))</f>
        <v>419.9</v>
      </c>
      <c r="H20" s="85" t="s">
        <v>138</v>
      </c>
      <c r="I20" s="85" t="s">
        <v>138</v>
      </c>
      <c r="J20" s="76" t="n">
        <f aca="false">IF(COUNTIF('Quote Lines'!$P$3:$P$805,$A20&amp;"|"&amp;J$6&amp;"|1")=0,"—",SUMIFS('Quote Lines'!$O$3:$O$805,'Quote Lines'!$P$3:$P$805,$A20&amp;"|"&amp;J$6&amp;"|1")/SUMIFS('Quote Lines'!$L$3:$L$805,'Quote Lines'!$P$3:$P$805,$A20&amp;"|"&amp;J$6&amp;"|1"))</f>
        <v>488.25</v>
      </c>
      <c r="K20" s="14" t="n">
        <f aca="false">IF(ISNUMBER(G20),G20*$F20,"—")</f>
        <v>839.8</v>
      </c>
      <c r="L20" s="14" t="str">
        <f aca="false">IF(ISNUMBER(H20),H20*$F20,"—")</f>
        <v>—</v>
      </c>
      <c r="M20" s="14" t="str">
        <f aca="false">IF(ISNUMBER(I20),I20*$F20,"—")</f>
        <v>—</v>
      </c>
      <c r="N20" s="14" t="n">
        <f aca="false">IF(ISNUMBER(J20),J20*$F20,"—")</f>
        <v>976.5</v>
      </c>
      <c r="O20" s="77" t="n">
        <f aca="false">IF($S20=0,"—",MIN(G20:J20))</f>
        <v>419.9</v>
      </c>
      <c r="P20" s="42" t="str">
        <f aca="false">IF($S20=0,"—",IF(COUNTIF(G20:J20,O20)&gt;1,"Tie",INDEX($G$6:$J$6,MATCH(O20,G20:J20,0))))</f>
        <v>Ferguson</v>
      </c>
      <c r="Q20" s="48" t="n">
        <f aca="false">IF($S20&gt;=2,MAX(G20:J20)/MIN(G20:J20)-1,"—")</f>
        <v>0.162776851631341</v>
      </c>
      <c r="R20" s="78" t="n">
        <f aca="false">IF($S20&gt;=2,(MAX(G20:J20)-MIN(G20:J20))*$F20,"—")</f>
        <v>136.7</v>
      </c>
      <c r="S20" s="18" t="n">
        <f aca="false">COUNT(G20:J20)</f>
        <v>2</v>
      </c>
      <c r="T20" s="79" t="str">
        <f aca="false">IF($S20&lt;=1,IF($S20=1,"Single quote","—"),"Like-for-like")</f>
        <v>Like-for-like</v>
      </c>
      <c r="U20" s="79" t="str">
        <f aca="false">IF(COUNT(W20:Z20)&lt;2,"",IF(MAX(W20:Z20)=MIN(W20:Z20),"OK","Qty differs"))</f>
        <v>Qty differs</v>
      </c>
      <c r="V20" s="80"/>
      <c r="W20" s="81" t="n">
        <f aca="false">IF(COUNTIFS('Quote Lines'!$P$3:$P$805,$A20&amp;"|"&amp;G$6&amp;"|1",'Quote Lines'!$M$3:$M$805,"Y")=0,"",SUMIFS('Quote Lines'!$L$3:$L$805,'Quote Lines'!$P$3:$P$805,$A20&amp;"|"&amp;G$6&amp;"|1",'Quote Lines'!$M$3:$M$805,"Y"))</f>
        <v>1</v>
      </c>
      <c r="X20" s="81"/>
      <c r="Y20" s="81"/>
      <c r="Z20" s="81" t="n">
        <f aca="false">IF(COUNTIFS('Quote Lines'!$P$3:$P$805,$A20&amp;"|"&amp;J$6&amp;"|1",'Quote Lines'!$M$3:$M$805,"Y")=0,"",SUMIFS('Quote Lines'!$L$3:$L$805,'Quote Lines'!$P$3:$P$805,$A20&amp;"|"&amp;J$6&amp;"|1",'Quote Lines'!$M$3:$M$805,"Y"))</f>
        <v>2</v>
      </c>
      <c r="AA20" s="82" t="n">
        <f aca="false">IF(ISNUMBER(G20),1+SUMPRODUCT(ISNUMBER($G20:$J20)*($G20:$J20&lt;G20)),"")</f>
        <v>1</v>
      </c>
      <c r="AB20" s="82" t="str">
        <f aca="false">IF(ISNUMBER(H20),1+SUMPRODUCT(ISNUMBER($G20:$J20)*($G20:$J20&lt;H20)),"")</f>
        <v/>
      </c>
      <c r="AC20" s="82" t="str">
        <f aca="false">IF(ISNUMBER(I20),1+SUMPRODUCT(ISNUMBER($G20:$J20)*($G20:$J20&lt;I20)),"")</f>
        <v/>
      </c>
      <c r="AD20" s="82" t="n">
        <f aca="false">IF(ISNUMBER(J20),1+SUMPRODUCT(ISNUMBER($G20:$J20)*($G20:$J20&lt;J20)),"")</f>
        <v>2</v>
      </c>
      <c r="AE20" s="82" t="n">
        <f aca="false">IF(NOT(ISNUMBER(G20)),0,IF($S20&lt;2,5,IF(AA20=1,1,IF(G20=MAX($G20:$J20),4,IF(AA20=2,2,3)))))</f>
        <v>1</v>
      </c>
      <c r="AF20" s="82" t="n">
        <f aca="false">IF(NOT(ISNUMBER(H20)),0,IF($S20&lt;2,5,IF(AB20=1,1,IF(H20=MAX($G20:$J20),4,IF(AB20=2,2,3)))))</f>
        <v>0</v>
      </c>
      <c r="AG20" s="82" t="n">
        <f aca="false">IF(NOT(ISNUMBER(I20)),0,IF($S20&lt;2,5,IF(AC20=1,1,IF(I20=MAX($G20:$J20),4,IF(AC20=2,2,3)))))</f>
        <v>0</v>
      </c>
      <c r="AH20" s="82" t="n">
        <f aca="false">IF(NOT(ISNUMBER(J20)),0,IF($S20&lt;2,5,IF(AD20=1,1,IF(J20=MAX($G20:$J20),4,IF(AD20=2,2,3)))))</f>
        <v>4</v>
      </c>
      <c r="AI20" s="83" t="n">
        <f aca="false">IF($S20&gt;=2,IF(ISNUMBER(G20),G20*$F20,MIN($G20:$J20)*$F20),0)</f>
        <v>839.8</v>
      </c>
      <c r="AJ20" s="83" t="n">
        <f aca="false">IF($S20&gt;=2,IF(ISNUMBER(H20),H20*$F20,MIN($G20:$J20)*$F20),0)</f>
        <v>839.8</v>
      </c>
      <c r="AK20" s="83" t="n">
        <f aca="false">IF($S20&gt;=2,IF(ISNUMBER(I20),I20*$F20,MIN($G20:$J20)*$F20),0)</f>
        <v>839.8</v>
      </c>
      <c r="AL20" s="83" t="n">
        <f aca="false">IF($S20&gt;=2,IF(ISNUMBER(J20),J20*$F20,MIN($G20:$J20)*$F20),0)</f>
        <v>976.5</v>
      </c>
      <c r="AM20" s="84" t="n">
        <f aca="false">IF($S20&gt;=2,$R20+ROW()/1000000,"")</f>
        <v>136.70002</v>
      </c>
      <c r="AN20" s="83" t="n">
        <f aca="false">IF($S20&gt;=2,MAX(G20:J20),"")</f>
        <v>488.25</v>
      </c>
      <c r="AO20" s="82" t="str">
        <f aca="false">IF($S20&gt;=2,INDEX($G$6:$J$6,MATCH(MAX(G20:J20),G20:J20,0)),"")</f>
        <v>Scholzen</v>
      </c>
      <c r="AP20" s="83" t="n">
        <f aca="false">IF($S20&gt;=2,MIN(G20:J20)*$F20,0)</f>
        <v>839.8</v>
      </c>
      <c r="AQ20" s="82" t="str">
        <f aca="false">IF($S20&gt;=2,INDEX($G$6:$J$6,MATCH(MIN(G20:J20),G20:J20,0)),"")</f>
        <v>Ferguson</v>
      </c>
    </row>
    <row r="21" customFormat="false" ht="15" hidden="false" customHeight="true" outlineLevel="0" collapsed="false">
      <c r="A21" s="70" t="s">
        <v>162</v>
      </c>
      <c r="B21" s="71" t="s">
        <v>130</v>
      </c>
      <c r="C21" s="72" t="s">
        <v>131</v>
      </c>
      <c r="D21" s="73" t="s">
        <v>163</v>
      </c>
      <c r="E21" s="74" t="s">
        <v>133</v>
      </c>
      <c r="F21" s="75" t="n">
        <v>2</v>
      </c>
      <c r="G21" s="76" t="n">
        <f aca="false">IF(COUNTIF('Quote Lines'!$P$3:$P$805,$A21&amp;"|"&amp;G$6&amp;"|1")=0,"—",SUMIFS('Quote Lines'!$O$3:$O$805,'Quote Lines'!$P$3:$P$805,$A21&amp;"|"&amp;G$6&amp;"|1")/SUMIFS('Quote Lines'!$L$3:$L$805,'Quote Lines'!$P$3:$P$805,$A21&amp;"|"&amp;G$6&amp;"|1"))</f>
        <v>368.94</v>
      </c>
      <c r="H21" s="76" t="n">
        <f aca="false">IF(COUNTIF('Quote Lines'!$P$3:$P$805,$A21&amp;"|"&amp;H$6&amp;"|1")=0,"—",SUMIFS('Quote Lines'!$O$3:$O$805,'Quote Lines'!$P$3:$P$805,$A21&amp;"|"&amp;H$6&amp;"|1")/SUMIFS('Quote Lines'!$L$3:$L$805,'Quote Lines'!$P$3:$P$805,$A21&amp;"|"&amp;H$6&amp;"|1"))</f>
        <v>385.48</v>
      </c>
      <c r="I21" s="76" t="n">
        <f aca="false">IF(COUNTIF('Quote Lines'!$P$3:$P$805,$A21&amp;"|"&amp;I$6&amp;"|1")=0,"—",SUMIFS('Quote Lines'!$O$3:$O$805,'Quote Lines'!$P$3:$P$805,$A21&amp;"|"&amp;I$6&amp;"|1")/SUMIFS('Quote Lines'!$L$3:$L$805,'Quote Lines'!$P$3:$P$805,$A21&amp;"|"&amp;I$6&amp;"|1"))</f>
        <v>418.54</v>
      </c>
      <c r="J21" s="76" t="n">
        <f aca="false">IF(COUNTIF('Quote Lines'!$P$3:$P$805,$A21&amp;"|"&amp;J$6&amp;"|1")=0,"—",SUMIFS('Quote Lines'!$O$3:$O$805,'Quote Lines'!$P$3:$P$805,$A21&amp;"|"&amp;J$6&amp;"|1")/SUMIFS('Quote Lines'!$L$3:$L$805,'Quote Lines'!$P$3:$P$805,$A21&amp;"|"&amp;J$6&amp;"|1"))</f>
        <v>429</v>
      </c>
      <c r="K21" s="14" t="n">
        <f aca="false">IF(ISNUMBER(G21),G21*$F21,"—")</f>
        <v>737.88</v>
      </c>
      <c r="L21" s="14" t="n">
        <f aca="false">IF(ISNUMBER(H21),H21*$F21,"—")</f>
        <v>770.96</v>
      </c>
      <c r="M21" s="14" t="n">
        <f aca="false">IF(ISNUMBER(I21),I21*$F21,"—")</f>
        <v>837.08</v>
      </c>
      <c r="N21" s="14" t="n">
        <f aca="false">IF(ISNUMBER(J21),J21*$F21,"—")</f>
        <v>858</v>
      </c>
      <c r="O21" s="77" t="n">
        <f aca="false">IF($S21=0,"—",MIN(G21:J21))</f>
        <v>368.94</v>
      </c>
      <c r="P21" s="42" t="str">
        <f aca="false">IF($S21=0,"—",IF(COUNTIF(G21:J21,O21)&gt;1,"Tie",INDEX($G$6:$J$6,MATCH(O21,G21:J21,0))))</f>
        <v>Ferguson</v>
      </c>
      <c r="Q21" s="48" t="n">
        <f aca="false">IF($S21&gt;=2,MAX(G21:J21)/MIN(G21:J21)-1,"—")</f>
        <v>0.162790697674419</v>
      </c>
      <c r="R21" s="78" t="n">
        <f aca="false">IF($S21&gt;=2,(MAX(G21:J21)-MIN(G21:J21))*$F21,"—")</f>
        <v>120.12</v>
      </c>
      <c r="S21" s="18" t="n">
        <f aca="false">COUNT(G21:J21)</f>
        <v>4</v>
      </c>
      <c r="T21" s="79" t="str">
        <f aca="false">IF($S21&lt;=1,IF($S21=1,"Single quote","—"),"Like-for-like")</f>
        <v>Like-for-like</v>
      </c>
      <c r="U21" s="79" t="str">
        <f aca="false">IF(COUNT(W21:Z21)&lt;2,"",IF(MAX(W21:Z21)=MIN(W21:Z21),"OK","Qty differs"))</f>
        <v>Qty differs</v>
      </c>
      <c r="V21" s="80"/>
      <c r="W21" s="81" t="n">
        <f aca="false">IF(COUNTIFS('Quote Lines'!$P$3:$P$805,$A21&amp;"|"&amp;G$6&amp;"|1",'Quote Lines'!$M$3:$M$805,"Y")=0,"",SUMIFS('Quote Lines'!$L$3:$L$805,'Quote Lines'!$P$3:$P$805,$A21&amp;"|"&amp;G$6&amp;"|1",'Quote Lines'!$M$3:$M$805,"Y"))</f>
        <v>3</v>
      </c>
      <c r="X21" s="81" t="n">
        <f aca="false">IF(COUNTIFS('Quote Lines'!$P$3:$P$805,$A21&amp;"|"&amp;H$6&amp;"|1",'Quote Lines'!$M$3:$M$805,"Y")=0,"",SUMIFS('Quote Lines'!$L$3:$L$805,'Quote Lines'!$P$3:$P$805,$A21&amp;"|"&amp;H$6&amp;"|1",'Quote Lines'!$M$3:$M$805,"Y"))</f>
        <v>2</v>
      </c>
      <c r="Y21" s="81" t="n">
        <f aca="false">IF(COUNTIFS('Quote Lines'!$P$3:$P$805,$A21&amp;"|"&amp;I$6&amp;"|1",'Quote Lines'!$M$3:$M$805,"Y")=0,"",SUMIFS('Quote Lines'!$L$3:$L$805,'Quote Lines'!$P$3:$P$805,$A21&amp;"|"&amp;I$6&amp;"|1",'Quote Lines'!$M$3:$M$805,"Y"))</f>
        <v>1</v>
      </c>
      <c r="Z21" s="81" t="n">
        <f aca="false">IF(COUNTIFS('Quote Lines'!$P$3:$P$805,$A21&amp;"|"&amp;J$6&amp;"|1",'Quote Lines'!$M$3:$M$805,"Y")=0,"",SUMIFS('Quote Lines'!$L$3:$L$805,'Quote Lines'!$P$3:$P$805,$A21&amp;"|"&amp;J$6&amp;"|1",'Quote Lines'!$M$3:$M$805,"Y"))</f>
        <v>2</v>
      </c>
      <c r="AA21" s="82" t="n">
        <f aca="false">IF(ISNUMBER(G21),1+SUMPRODUCT(ISNUMBER($G21:$J21)*($G21:$J21&lt;G21)),"")</f>
        <v>1</v>
      </c>
      <c r="AB21" s="82" t="n">
        <f aca="false">IF(ISNUMBER(H21),1+SUMPRODUCT(ISNUMBER($G21:$J21)*($G21:$J21&lt;H21)),"")</f>
        <v>2</v>
      </c>
      <c r="AC21" s="82" t="n">
        <f aca="false">IF(ISNUMBER(I21),1+SUMPRODUCT(ISNUMBER($G21:$J21)*($G21:$J21&lt;I21)),"")</f>
        <v>3</v>
      </c>
      <c r="AD21" s="82" t="n">
        <f aca="false">IF(ISNUMBER(J21),1+SUMPRODUCT(ISNUMBER($G21:$J21)*($G21:$J21&lt;J21)),"")</f>
        <v>4</v>
      </c>
      <c r="AE21" s="82" t="n">
        <f aca="false">IF(NOT(ISNUMBER(G21)),0,IF($S21&lt;2,5,IF(AA21=1,1,IF(G21=MAX($G21:$J21),4,IF(AA21=2,2,3)))))</f>
        <v>1</v>
      </c>
      <c r="AF21" s="82" t="n">
        <f aca="false">IF(NOT(ISNUMBER(H21)),0,IF($S21&lt;2,5,IF(AB21=1,1,IF(H21=MAX($G21:$J21),4,IF(AB21=2,2,3)))))</f>
        <v>2</v>
      </c>
      <c r="AG21" s="82" t="n">
        <f aca="false">IF(NOT(ISNUMBER(I21)),0,IF($S21&lt;2,5,IF(AC21=1,1,IF(I21=MAX($G21:$J21),4,IF(AC21=2,2,3)))))</f>
        <v>3</v>
      </c>
      <c r="AH21" s="82" t="n">
        <f aca="false">IF(NOT(ISNUMBER(J21)),0,IF($S21&lt;2,5,IF(AD21=1,1,IF(J21=MAX($G21:$J21),4,IF(AD21=2,2,3)))))</f>
        <v>4</v>
      </c>
      <c r="AI21" s="83" t="n">
        <f aca="false">IF($S21&gt;=2,IF(ISNUMBER(G21),G21*$F21,MIN($G21:$J21)*$F21),0)</f>
        <v>737.88</v>
      </c>
      <c r="AJ21" s="83" t="n">
        <f aca="false">IF($S21&gt;=2,IF(ISNUMBER(H21),H21*$F21,MIN($G21:$J21)*$F21),0)</f>
        <v>770.96</v>
      </c>
      <c r="AK21" s="83" t="n">
        <f aca="false">IF($S21&gt;=2,IF(ISNUMBER(I21),I21*$F21,MIN($G21:$J21)*$F21),0)</f>
        <v>837.08</v>
      </c>
      <c r="AL21" s="83" t="n">
        <f aca="false">IF($S21&gt;=2,IF(ISNUMBER(J21),J21*$F21,MIN($G21:$J21)*$F21),0)</f>
        <v>858</v>
      </c>
      <c r="AM21" s="84" t="n">
        <f aca="false">IF($S21&gt;=2,$R21+ROW()/1000000,"")</f>
        <v>120.120021</v>
      </c>
      <c r="AN21" s="83" t="n">
        <f aca="false">IF($S21&gt;=2,MAX(G21:J21),"")</f>
        <v>429</v>
      </c>
      <c r="AO21" s="82" t="str">
        <f aca="false">IF($S21&gt;=2,INDEX($G$6:$J$6,MATCH(MAX(G21:J21),G21:J21,0)),"")</f>
        <v>Scholzen</v>
      </c>
      <c r="AP21" s="83" t="n">
        <f aca="false">IF($S21&gt;=2,MIN(G21:J21)*$F21,0)</f>
        <v>737.88</v>
      </c>
      <c r="AQ21" s="82" t="str">
        <f aca="false">IF($S21&gt;=2,INDEX($G$6:$J$6,MATCH(MIN(G21:J21),G21:J21,0)),"")</f>
        <v>Ferguson</v>
      </c>
    </row>
    <row r="22" customFormat="false" ht="15" hidden="false" customHeight="true" outlineLevel="0" collapsed="false">
      <c r="A22" s="70" t="s">
        <v>164</v>
      </c>
      <c r="B22" s="71" t="s">
        <v>130</v>
      </c>
      <c r="C22" s="72" t="s">
        <v>131</v>
      </c>
      <c r="D22" s="73" t="s">
        <v>165</v>
      </c>
      <c r="E22" s="74" t="s">
        <v>133</v>
      </c>
      <c r="F22" s="75" t="n">
        <v>2</v>
      </c>
      <c r="G22" s="76" t="n">
        <f aca="false">IF(COUNTIF('Quote Lines'!$P$3:$P$805,$A22&amp;"|"&amp;G$6&amp;"|1")=0,"—",SUMIFS('Quote Lines'!$O$3:$O$805,'Quote Lines'!$P$3:$P$805,$A22&amp;"|"&amp;G$6&amp;"|1")/SUMIFS('Quote Lines'!$L$3:$L$805,'Quote Lines'!$P$3:$P$805,$A22&amp;"|"&amp;G$6&amp;"|1"))</f>
        <v>279.93</v>
      </c>
      <c r="H22" s="85" t="s">
        <v>138</v>
      </c>
      <c r="I22" s="85" t="s">
        <v>138</v>
      </c>
      <c r="J22" s="85" t="s">
        <v>138</v>
      </c>
      <c r="K22" s="14" t="n">
        <f aca="false">IF(ISNUMBER(G22),G22*$F22,"—")</f>
        <v>559.86</v>
      </c>
      <c r="L22" s="14" t="str">
        <f aca="false">IF(ISNUMBER(H22),H22*$F22,"—")</f>
        <v>—</v>
      </c>
      <c r="M22" s="14" t="str">
        <f aca="false">IF(ISNUMBER(I22),I22*$F22,"—")</f>
        <v>—</v>
      </c>
      <c r="N22" s="14" t="str">
        <f aca="false">IF(ISNUMBER(J22),J22*$F22,"—")</f>
        <v>—</v>
      </c>
      <c r="O22" s="77" t="n">
        <f aca="false">IF($S22=0,"—",MIN(G22:J22))</f>
        <v>279.93</v>
      </c>
      <c r="P22" s="42" t="str">
        <f aca="false">IF($S22=0,"—",IF(COUNTIF(G22:J22,O22)&gt;1,"Tie",INDEX($G$6:$J$6,MATCH(O22,G22:J22,0))))</f>
        <v>Ferguson</v>
      </c>
      <c r="Q22" s="48" t="str">
        <f aca="false">IF($S22&gt;=2,MAX(G22:J22)/MIN(G22:J22)-1,"—")</f>
        <v>—</v>
      </c>
      <c r="R22" s="78" t="str">
        <f aca="false">IF($S22&gt;=2,(MAX(G22:J22)-MIN(G22:J22))*$F22,"—")</f>
        <v>—</v>
      </c>
      <c r="S22" s="18" t="n">
        <f aca="false">COUNT(G22:J22)</f>
        <v>1</v>
      </c>
      <c r="T22" s="79" t="str">
        <f aca="false">IF($S22&lt;=1,IF($S22=1,"Single quote","—"),"Like-for-like")</f>
        <v>Single quote</v>
      </c>
      <c r="U22" s="79" t="str">
        <f aca="false">IF(COUNT(W22:Z22)&lt;2,"",IF(MAX(W22:Z22)=MIN(W22:Z22),"OK","Qty differs"))</f>
        <v/>
      </c>
      <c r="V22" s="80"/>
      <c r="W22" s="81" t="n">
        <f aca="false">IF(COUNTIFS('Quote Lines'!$P$3:$P$805,$A22&amp;"|"&amp;G$6&amp;"|1",'Quote Lines'!$M$3:$M$805,"Y")=0,"",SUMIFS('Quote Lines'!$L$3:$L$805,'Quote Lines'!$P$3:$P$805,$A22&amp;"|"&amp;G$6&amp;"|1",'Quote Lines'!$M$3:$M$805,"Y"))</f>
        <v>2</v>
      </c>
      <c r="X22" s="81"/>
      <c r="Y22" s="81"/>
      <c r="Z22" s="81"/>
      <c r="AA22" s="82" t="n">
        <f aca="false">IF(ISNUMBER(G22),1+SUMPRODUCT(ISNUMBER($G22:$J22)*($G22:$J22&lt;G22)),"")</f>
        <v>1</v>
      </c>
      <c r="AB22" s="82" t="str">
        <f aca="false">IF(ISNUMBER(H22),1+SUMPRODUCT(ISNUMBER($G22:$J22)*($G22:$J22&lt;H22)),"")</f>
        <v/>
      </c>
      <c r="AC22" s="82" t="str">
        <f aca="false">IF(ISNUMBER(I22),1+SUMPRODUCT(ISNUMBER($G22:$J22)*($G22:$J22&lt;I22)),"")</f>
        <v/>
      </c>
      <c r="AD22" s="82" t="str">
        <f aca="false">IF(ISNUMBER(J22),1+SUMPRODUCT(ISNUMBER($G22:$J22)*($G22:$J22&lt;J22)),"")</f>
        <v/>
      </c>
      <c r="AE22" s="82" t="n">
        <f aca="false">IF(NOT(ISNUMBER(G22)),0,IF($S22&lt;2,5,IF(AA22=1,1,IF(G22=MAX($G22:$J22),4,IF(AA22=2,2,3)))))</f>
        <v>5</v>
      </c>
      <c r="AF22" s="82" t="n">
        <f aca="false">IF(NOT(ISNUMBER(H22)),0,IF($S22&lt;2,5,IF(AB22=1,1,IF(H22=MAX($G22:$J22),4,IF(AB22=2,2,3)))))</f>
        <v>0</v>
      </c>
      <c r="AG22" s="82" t="n">
        <f aca="false">IF(NOT(ISNUMBER(I22)),0,IF($S22&lt;2,5,IF(AC22=1,1,IF(I22=MAX($G22:$J22),4,IF(AC22=2,2,3)))))</f>
        <v>0</v>
      </c>
      <c r="AH22" s="82" t="n">
        <f aca="false">IF(NOT(ISNUMBER(J22)),0,IF($S22&lt;2,5,IF(AD22=1,1,IF(J22=MAX($G22:$J22),4,IF(AD22=2,2,3)))))</f>
        <v>0</v>
      </c>
      <c r="AI22" s="83" t="n">
        <f aca="false">IF($S22&gt;=2,IF(ISNUMBER(G22),G22*$F22,MIN($G22:$J22)*$F22),0)</f>
        <v>0</v>
      </c>
      <c r="AJ22" s="83" t="n">
        <f aca="false">IF($S22&gt;=2,IF(ISNUMBER(H22),H22*$F22,MIN($G22:$J22)*$F22),0)</f>
        <v>0</v>
      </c>
      <c r="AK22" s="83" t="n">
        <f aca="false">IF($S22&gt;=2,IF(ISNUMBER(I22),I22*$F22,MIN($G22:$J22)*$F22),0)</f>
        <v>0</v>
      </c>
      <c r="AL22" s="83" t="n">
        <f aca="false">IF($S22&gt;=2,IF(ISNUMBER(J22),J22*$F22,MIN($G22:$J22)*$F22),0)</f>
        <v>0</v>
      </c>
      <c r="AM22" s="84" t="str">
        <f aca="false">IF($S22&gt;=2,$R22+ROW()/1000000,"")</f>
        <v/>
      </c>
      <c r="AN22" s="83" t="str">
        <f aca="false">IF($S22&gt;=2,MAX(G22:J22),"")</f>
        <v/>
      </c>
      <c r="AO22" s="82" t="str">
        <f aca="false">IF($S22&gt;=2,INDEX($G$6:$J$6,MATCH(MAX(G22:J22),G22:J22,0)),"")</f>
        <v/>
      </c>
      <c r="AP22" s="83" t="n">
        <f aca="false">IF($S22&gt;=2,MIN(G22:J22)*$F22,0)</f>
        <v>0</v>
      </c>
      <c r="AQ22" s="82" t="str">
        <f aca="false">IF($S22&gt;=2,INDEX($G$6:$J$6,MATCH(MIN(G22:J22),G22:J22,0)),"")</f>
        <v/>
      </c>
    </row>
    <row r="23" customFormat="false" ht="15" hidden="false" customHeight="true" outlineLevel="0" collapsed="false">
      <c r="A23" s="70" t="s">
        <v>166</v>
      </c>
      <c r="B23" s="71" t="s">
        <v>130</v>
      </c>
      <c r="C23" s="72" t="s">
        <v>131</v>
      </c>
      <c r="D23" s="73" t="s">
        <v>167</v>
      </c>
      <c r="E23" s="74" t="s">
        <v>133</v>
      </c>
      <c r="F23" s="75" t="n">
        <v>1</v>
      </c>
      <c r="G23" s="85" t="s">
        <v>138</v>
      </c>
      <c r="H23" s="85" t="s">
        <v>138</v>
      </c>
      <c r="I23" s="85" t="s">
        <v>138</v>
      </c>
      <c r="J23" s="76" t="n">
        <f aca="false">IF(COUNTIF('Quote Lines'!$P$3:$P$805,$A23&amp;"|"&amp;J$6&amp;"|1")=0,"—",SUMIFS('Quote Lines'!$O$3:$O$805,'Quote Lines'!$P$3:$P$805,$A23&amp;"|"&amp;J$6&amp;"|1")/SUMIFS('Quote Lines'!$L$3:$L$805,'Quote Lines'!$P$3:$P$805,$A23&amp;"|"&amp;J$6&amp;"|1"))</f>
        <v>784.77</v>
      </c>
      <c r="K23" s="14" t="str">
        <f aca="false">IF(ISNUMBER(G23),G23*$F23,"—")</f>
        <v>—</v>
      </c>
      <c r="L23" s="14" t="str">
        <f aca="false">IF(ISNUMBER(H23),H23*$F23,"—")</f>
        <v>—</v>
      </c>
      <c r="M23" s="14" t="str">
        <f aca="false">IF(ISNUMBER(I23),I23*$F23,"—")</f>
        <v>—</v>
      </c>
      <c r="N23" s="14" t="n">
        <f aca="false">IF(ISNUMBER(J23),J23*$F23,"—")</f>
        <v>784.77</v>
      </c>
      <c r="O23" s="77" t="n">
        <f aca="false">IF($S23=0,"—",MIN(G23:J23))</f>
        <v>784.77</v>
      </c>
      <c r="P23" s="42" t="str">
        <f aca="false">IF($S23=0,"—",IF(COUNTIF(G23:J23,O23)&gt;1,"Tie",INDEX($G$6:$J$6,MATCH(O23,G23:J23,0))))</f>
        <v>Scholzen</v>
      </c>
      <c r="Q23" s="48" t="str">
        <f aca="false">IF($S23&gt;=2,MAX(G23:J23)/MIN(G23:J23)-1,"—")</f>
        <v>—</v>
      </c>
      <c r="R23" s="78" t="str">
        <f aca="false">IF($S23&gt;=2,(MAX(G23:J23)-MIN(G23:J23))*$F23,"—")</f>
        <v>—</v>
      </c>
      <c r="S23" s="18" t="n">
        <f aca="false">COUNT(G23:J23)</f>
        <v>1</v>
      </c>
      <c r="T23" s="79" t="str">
        <f aca="false">IF($S23&lt;=1,IF($S23=1,"Single quote","—"),"Like-for-like")</f>
        <v>Single quote</v>
      </c>
      <c r="U23" s="79" t="str">
        <f aca="false">IF(COUNT(W23:Z23)&lt;2,"",IF(MAX(W23:Z23)=MIN(W23:Z23),"OK","Qty differs"))</f>
        <v/>
      </c>
      <c r="V23" s="80"/>
      <c r="W23" s="81"/>
      <c r="X23" s="81"/>
      <c r="Y23" s="81"/>
      <c r="Z23" s="81" t="n">
        <f aca="false">IF(COUNTIFS('Quote Lines'!$P$3:$P$805,$A23&amp;"|"&amp;J$6&amp;"|1",'Quote Lines'!$M$3:$M$805,"Y")=0,"",SUMIFS('Quote Lines'!$L$3:$L$805,'Quote Lines'!$P$3:$P$805,$A23&amp;"|"&amp;J$6&amp;"|1",'Quote Lines'!$M$3:$M$805,"Y"))</f>
        <v>1</v>
      </c>
      <c r="AA23" s="82" t="str">
        <f aca="false">IF(ISNUMBER(G23),1+SUMPRODUCT(ISNUMBER($G23:$J23)*($G23:$J23&lt;G23)),"")</f>
        <v/>
      </c>
      <c r="AB23" s="82" t="str">
        <f aca="false">IF(ISNUMBER(H23),1+SUMPRODUCT(ISNUMBER($G23:$J23)*($G23:$J23&lt;H23)),"")</f>
        <v/>
      </c>
      <c r="AC23" s="82" t="str">
        <f aca="false">IF(ISNUMBER(I23),1+SUMPRODUCT(ISNUMBER($G23:$J23)*($G23:$J23&lt;I23)),"")</f>
        <v/>
      </c>
      <c r="AD23" s="82" t="n">
        <f aca="false">IF(ISNUMBER(J23),1+SUMPRODUCT(ISNUMBER($G23:$J23)*($G23:$J23&lt;J23)),"")</f>
        <v>1</v>
      </c>
      <c r="AE23" s="82" t="n">
        <f aca="false">IF(NOT(ISNUMBER(G23)),0,IF($S23&lt;2,5,IF(AA23=1,1,IF(G23=MAX($G23:$J23),4,IF(AA23=2,2,3)))))</f>
        <v>0</v>
      </c>
      <c r="AF23" s="82" t="n">
        <f aca="false">IF(NOT(ISNUMBER(H23)),0,IF($S23&lt;2,5,IF(AB23=1,1,IF(H23=MAX($G23:$J23),4,IF(AB23=2,2,3)))))</f>
        <v>0</v>
      </c>
      <c r="AG23" s="82" t="n">
        <f aca="false">IF(NOT(ISNUMBER(I23)),0,IF($S23&lt;2,5,IF(AC23=1,1,IF(I23=MAX($G23:$J23),4,IF(AC23=2,2,3)))))</f>
        <v>0</v>
      </c>
      <c r="AH23" s="82" t="n">
        <f aca="false">IF(NOT(ISNUMBER(J23)),0,IF($S23&lt;2,5,IF(AD23=1,1,IF(J23=MAX($G23:$J23),4,IF(AD23=2,2,3)))))</f>
        <v>5</v>
      </c>
      <c r="AI23" s="83" t="n">
        <f aca="false">IF($S23&gt;=2,IF(ISNUMBER(G23),G23*$F23,MIN($G23:$J23)*$F23),0)</f>
        <v>0</v>
      </c>
      <c r="AJ23" s="83" t="n">
        <f aca="false">IF($S23&gt;=2,IF(ISNUMBER(H23),H23*$F23,MIN($G23:$J23)*$F23),0)</f>
        <v>0</v>
      </c>
      <c r="AK23" s="83" t="n">
        <f aca="false">IF($S23&gt;=2,IF(ISNUMBER(I23),I23*$F23,MIN($G23:$J23)*$F23),0)</f>
        <v>0</v>
      </c>
      <c r="AL23" s="83" t="n">
        <f aca="false">IF($S23&gt;=2,IF(ISNUMBER(J23),J23*$F23,MIN($G23:$J23)*$F23),0)</f>
        <v>0</v>
      </c>
      <c r="AM23" s="84" t="str">
        <f aca="false">IF($S23&gt;=2,$R23+ROW()/1000000,"")</f>
        <v/>
      </c>
      <c r="AN23" s="83" t="str">
        <f aca="false">IF($S23&gt;=2,MAX(G23:J23),"")</f>
        <v/>
      </c>
      <c r="AO23" s="82" t="str">
        <f aca="false">IF($S23&gt;=2,INDEX($G$6:$J$6,MATCH(MAX(G23:J23),G23:J23,0)),"")</f>
        <v/>
      </c>
      <c r="AP23" s="83" t="n">
        <f aca="false">IF($S23&gt;=2,MIN(G23:J23)*$F23,0)</f>
        <v>0</v>
      </c>
      <c r="AQ23" s="82" t="str">
        <f aca="false">IF($S23&gt;=2,INDEX($G$6:$J$6,MATCH(MIN(G23:J23),G23:J23,0)),"")</f>
        <v/>
      </c>
    </row>
    <row r="24" customFormat="false" ht="15" hidden="false" customHeight="true" outlineLevel="0" collapsed="false">
      <c r="A24" s="70" t="s">
        <v>168</v>
      </c>
      <c r="B24" s="71" t="s">
        <v>130</v>
      </c>
      <c r="C24" s="72" t="s">
        <v>131</v>
      </c>
      <c r="D24" s="73" t="s">
        <v>169</v>
      </c>
      <c r="E24" s="74" t="s">
        <v>133</v>
      </c>
      <c r="F24" s="75" t="n">
        <v>1</v>
      </c>
      <c r="G24" s="76" t="n">
        <f aca="false">IF(COUNTIF('Quote Lines'!$P$3:$P$805,$A24&amp;"|"&amp;G$6&amp;"|1")=0,"—",SUMIFS('Quote Lines'!$O$3:$O$805,'Quote Lines'!$P$3:$P$805,$A24&amp;"|"&amp;G$6&amp;"|1")/SUMIFS('Quote Lines'!$L$3:$L$805,'Quote Lines'!$P$3:$P$805,$A24&amp;"|"&amp;G$6&amp;"|1"))</f>
        <v>85.78</v>
      </c>
      <c r="H24" s="85" t="s">
        <v>138</v>
      </c>
      <c r="I24" s="85" t="s">
        <v>138</v>
      </c>
      <c r="J24" s="76" t="n">
        <f aca="false">IF(COUNTIF('Quote Lines'!$P$3:$P$805,$A24&amp;"|"&amp;J$6&amp;"|1")=0,"—",SUMIFS('Quote Lines'!$O$3:$O$805,'Quote Lines'!$P$3:$P$805,$A24&amp;"|"&amp;J$6&amp;"|1")/SUMIFS('Quote Lines'!$L$3:$L$805,'Quote Lines'!$P$3:$P$805,$A24&amp;"|"&amp;J$6&amp;"|1"))</f>
        <v>99.75</v>
      </c>
      <c r="K24" s="14" t="n">
        <f aca="false">IF(ISNUMBER(G24),G24*$F24,"—")</f>
        <v>85.78</v>
      </c>
      <c r="L24" s="14" t="str">
        <f aca="false">IF(ISNUMBER(H24),H24*$F24,"—")</f>
        <v>—</v>
      </c>
      <c r="M24" s="14" t="str">
        <f aca="false">IF(ISNUMBER(I24),I24*$F24,"—")</f>
        <v>—</v>
      </c>
      <c r="N24" s="14" t="n">
        <f aca="false">IF(ISNUMBER(J24),J24*$F24,"—")</f>
        <v>99.75</v>
      </c>
      <c r="O24" s="77" t="n">
        <f aca="false">IF($S24=0,"—",MIN(G24:J24))</f>
        <v>85.78</v>
      </c>
      <c r="P24" s="42" t="str">
        <f aca="false">IF($S24=0,"—",IF(COUNTIF(G24:J24,O24)&gt;1,"Tie",INDEX($G$6:$J$6,MATCH(O24,G24:J24,0))))</f>
        <v>Ferguson</v>
      </c>
      <c r="Q24" s="48" t="n">
        <f aca="false">IF($S24&gt;=2,MAX(G24:J24)/MIN(G24:J24)-1,"—")</f>
        <v>0.162858475169037</v>
      </c>
      <c r="R24" s="78" t="n">
        <f aca="false">IF($S24&gt;=2,(MAX(G24:J24)-MIN(G24:J24))*$F24,"—")</f>
        <v>13.97</v>
      </c>
      <c r="S24" s="18" t="n">
        <f aca="false">COUNT(G24:J24)</f>
        <v>2</v>
      </c>
      <c r="T24" s="79" t="str">
        <f aca="false">IF($S24&lt;=1,IF($S24=1,"Single quote","—"),"Like-for-like")</f>
        <v>Like-for-like</v>
      </c>
      <c r="U24" s="79" t="str">
        <f aca="false">IF(COUNT(W24:Z24)&lt;2,"",IF(MAX(W24:Z24)=MIN(W24:Z24),"OK","Qty differs"))</f>
        <v>OK</v>
      </c>
      <c r="V24" s="80" t="s">
        <v>170</v>
      </c>
      <c r="W24" s="81" t="n">
        <f aca="false">IF(COUNTIFS('Quote Lines'!$P$3:$P$805,$A24&amp;"|"&amp;G$6&amp;"|1",'Quote Lines'!$M$3:$M$805,"Y")=0,"",SUMIFS('Quote Lines'!$L$3:$L$805,'Quote Lines'!$P$3:$P$805,$A24&amp;"|"&amp;G$6&amp;"|1",'Quote Lines'!$M$3:$M$805,"Y"))</f>
        <v>1</v>
      </c>
      <c r="X24" s="81"/>
      <c r="Y24" s="81"/>
      <c r="Z24" s="81" t="n">
        <f aca="false">IF(COUNTIFS('Quote Lines'!$P$3:$P$805,$A24&amp;"|"&amp;J$6&amp;"|1",'Quote Lines'!$M$3:$M$805,"Y")=0,"",SUMIFS('Quote Lines'!$L$3:$L$805,'Quote Lines'!$P$3:$P$805,$A24&amp;"|"&amp;J$6&amp;"|1",'Quote Lines'!$M$3:$M$805,"Y"))</f>
        <v>1</v>
      </c>
      <c r="AA24" s="82" t="n">
        <f aca="false">IF(ISNUMBER(G24),1+SUMPRODUCT(ISNUMBER($G24:$J24)*($G24:$J24&lt;G24)),"")</f>
        <v>1</v>
      </c>
      <c r="AB24" s="82" t="str">
        <f aca="false">IF(ISNUMBER(H24),1+SUMPRODUCT(ISNUMBER($G24:$J24)*($G24:$J24&lt;H24)),"")</f>
        <v/>
      </c>
      <c r="AC24" s="82" t="str">
        <f aca="false">IF(ISNUMBER(I24),1+SUMPRODUCT(ISNUMBER($G24:$J24)*($G24:$J24&lt;I24)),"")</f>
        <v/>
      </c>
      <c r="AD24" s="82" t="n">
        <f aca="false">IF(ISNUMBER(J24),1+SUMPRODUCT(ISNUMBER($G24:$J24)*($G24:$J24&lt;J24)),"")</f>
        <v>2</v>
      </c>
      <c r="AE24" s="82" t="n">
        <f aca="false">IF(NOT(ISNUMBER(G24)),0,IF($S24&lt;2,5,IF(AA24=1,1,IF(G24=MAX($G24:$J24),4,IF(AA24=2,2,3)))))</f>
        <v>1</v>
      </c>
      <c r="AF24" s="82" t="n">
        <f aca="false">IF(NOT(ISNUMBER(H24)),0,IF($S24&lt;2,5,IF(AB24=1,1,IF(H24=MAX($G24:$J24),4,IF(AB24=2,2,3)))))</f>
        <v>0</v>
      </c>
      <c r="AG24" s="82" t="n">
        <f aca="false">IF(NOT(ISNUMBER(I24)),0,IF($S24&lt;2,5,IF(AC24=1,1,IF(I24=MAX($G24:$J24),4,IF(AC24=2,2,3)))))</f>
        <v>0</v>
      </c>
      <c r="AH24" s="82" t="n">
        <f aca="false">IF(NOT(ISNUMBER(J24)),0,IF($S24&lt;2,5,IF(AD24=1,1,IF(J24=MAX($G24:$J24),4,IF(AD24=2,2,3)))))</f>
        <v>4</v>
      </c>
      <c r="AI24" s="83" t="n">
        <f aca="false">IF($S24&gt;=2,IF(ISNUMBER(G24),G24*$F24,MIN($G24:$J24)*$F24),0)</f>
        <v>85.78</v>
      </c>
      <c r="AJ24" s="83" t="n">
        <f aca="false">IF($S24&gt;=2,IF(ISNUMBER(H24),H24*$F24,MIN($G24:$J24)*$F24),0)</f>
        <v>85.78</v>
      </c>
      <c r="AK24" s="83" t="n">
        <f aca="false">IF($S24&gt;=2,IF(ISNUMBER(I24),I24*$F24,MIN($G24:$J24)*$F24),0)</f>
        <v>85.78</v>
      </c>
      <c r="AL24" s="83" t="n">
        <f aca="false">IF($S24&gt;=2,IF(ISNUMBER(J24),J24*$F24,MIN($G24:$J24)*$F24),0)</f>
        <v>99.75</v>
      </c>
      <c r="AM24" s="84" t="n">
        <f aca="false">IF($S24&gt;=2,$R24+ROW()/1000000,"")</f>
        <v>13.970024</v>
      </c>
      <c r="AN24" s="83" t="n">
        <f aca="false">IF($S24&gt;=2,MAX(G24:J24),"")</f>
        <v>99.75</v>
      </c>
      <c r="AO24" s="82" t="str">
        <f aca="false">IF($S24&gt;=2,INDEX($G$6:$J$6,MATCH(MAX(G24:J24),G24:J24,0)),"")</f>
        <v>Scholzen</v>
      </c>
      <c r="AP24" s="83" t="n">
        <f aca="false">IF($S24&gt;=2,MIN(G24:J24)*$F24,0)</f>
        <v>85.78</v>
      </c>
      <c r="AQ24" s="82" t="str">
        <f aca="false">IF($S24&gt;=2,INDEX($G$6:$J$6,MATCH(MIN(G24:J24),G24:J24,0)),"")</f>
        <v>Ferguson</v>
      </c>
    </row>
    <row r="25" customFormat="false" ht="15" hidden="false" customHeight="true" outlineLevel="0" collapsed="false">
      <c r="A25" s="70" t="s">
        <v>171</v>
      </c>
      <c r="B25" s="71" t="s">
        <v>130</v>
      </c>
      <c r="C25" s="72" t="s">
        <v>131</v>
      </c>
      <c r="D25" s="73" t="s">
        <v>172</v>
      </c>
      <c r="E25" s="74" t="s">
        <v>133</v>
      </c>
      <c r="F25" s="75" t="n">
        <v>1</v>
      </c>
      <c r="G25" s="85" t="s">
        <v>138</v>
      </c>
      <c r="H25" s="85" t="s">
        <v>138</v>
      </c>
      <c r="I25" s="76" t="n">
        <f aca="false">IF(COUNTIF('Quote Lines'!$P$3:$P$805,$A25&amp;"|"&amp;I$6&amp;"|1")=0,"—",SUMIFS('Quote Lines'!$O$3:$O$805,'Quote Lines'!$P$3:$P$805,$A25&amp;"|"&amp;I$6&amp;"|1")/SUMIFS('Quote Lines'!$L$3:$L$805,'Quote Lines'!$P$3:$P$805,$A25&amp;"|"&amp;I$6&amp;"|1"))</f>
        <v>103.9</v>
      </c>
      <c r="J25" s="85" t="s">
        <v>138</v>
      </c>
      <c r="K25" s="14" t="str">
        <f aca="false">IF(ISNUMBER(G25),G25*$F25,"—")</f>
        <v>—</v>
      </c>
      <c r="L25" s="14" t="str">
        <f aca="false">IF(ISNUMBER(H25),H25*$F25,"—")</f>
        <v>—</v>
      </c>
      <c r="M25" s="14" t="n">
        <f aca="false">IF(ISNUMBER(I25),I25*$F25,"—")</f>
        <v>103.9</v>
      </c>
      <c r="N25" s="14" t="str">
        <f aca="false">IF(ISNUMBER(J25),J25*$F25,"—")</f>
        <v>—</v>
      </c>
      <c r="O25" s="77" t="n">
        <f aca="false">IF($S25=0,"—",MIN(G25:J25))</f>
        <v>103.9</v>
      </c>
      <c r="P25" s="42" t="str">
        <f aca="false">IF($S25=0,"—",IF(COUNTIF(G25:J25,O25)&gt;1,"Tie",INDEX($G$6:$J$6,MATCH(O25,G25:J25,0))))</f>
        <v>Mountainland</v>
      </c>
      <c r="Q25" s="48" t="str">
        <f aca="false">IF($S25&gt;=2,MAX(G25:J25)/MIN(G25:J25)-1,"—")</f>
        <v>—</v>
      </c>
      <c r="R25" s="78" t="str">
        <f aca="false">IF($S25&gt;=2,(MAX(G25:J25)-MIN(G25:J25))*$F25,"—")</f>
        <v>—</v>
      </c>
      <c r="S25" s="18" t="n">
        <f aca="false">COUNT(G25:J25)</f>
        <v>1</v>
      </c>
      <c r="T25" s="79" t="str">
        <f aca="false">IF($S25&lt;=1,IF($S25=1,"Single quote","—"),"Like-for-like")</f>
        <v>Single quote</v>
      </c>
      <c r="U25" s="79" t="str">
        <f aca="false">IF(COUNT(W25:Z25)&lt;2,"",IF(MAX(W25:Z25)=MIN(W25:Z25),"OK","Qty differs"))</f>
        <v/>
      </c>
      <c r="V25" s="80"/>
      <c r="W25" s="81"/>
      <c r="X25" s="81"/>
      <c r="Y25" s="81" t="n">
        <f aca="false">IF(COUNTIFS('Quote Lines'!$P$3:$P$805,$A25&amp;"|"&amp;I$6&amp;"|1",'Quote Lines'!$M$3:$M$805,"Y")=0,"",SUMIFS('Quote Lines'!$L$3:$L$805,'Quote Lines'!$P$3:$P$805,$A25&amp;"|"&amp;I$6&amp;"|1",'Quote Lines'!$M$3:$M$805,"Y"))</f>
        <v>1</v>
      </c>
      <c r="Z25" s="81"/>
      <c r="AA25" s="82" t="str">
        <f aca="false">IF(ISNUMBER(G25),1+SUMPRODUCT(ISNUMBER($G25:$J25)*($G25:$J25&lt;G25)),"")</f>
        <v/>
      </c>
      <c r="AB25" s="82" t="str">
        <f aca="false">IF(ISNUMBER(H25),1+SUMPRODUCT(ISNUMBER($G25:$J25)*($G25:$J25&lt;H25)),"")</f>
        <v/>
      </c>
      <c r="AC25" s="82" t="n">
        <f aca="false">IF(ISNUMBER(I25),1+SUMPRODUCT(ISNUMBER($G25:$J25)*($G25:$J25&lt;I25)),"")</f>
        <v>1</v>
      </c>
      <c r="AD25" s="82" t="str">
        <f aca="false">IF(ISNUMBER(J25),1+SUMPRODUCT(ISNUMBER($G25:$J25)*($G25:$J25&lt;J25)),"")</f>
        <v/>
      </c>
      <c r="AE25" s="82" t="n">
        <f aca="false">IF(NOT(ISNUMBER(G25)),0,IF($S25&lt;2,5,IF(AA25=1,1,IF(G25=MAX($G25:$J25),4,IF(AA25=2,2,3)))))</f>
        <v>0</v>
      </c>
      <c r="AF25" s="82" t="n">
        <f aca="false">IF(NOT(ISNUMBER(H25)),0,IF($S25&lt;2,5,IF(AB25=1,1,IF(H25=MAX($G25:$J25),4,IF(AB25=2,2,3)))))</f>
        <v>0</v>
      </c>
      <c r="AG25" s="82" t="n">
        <f aca="false">IF(NOT(ISNUMBER(I25)),0,IF($S25&lt;2,5,IF(AC25=1,1,IF(I25=MAX($G25:$J25),4,IF(AC25=2,2,3)))))</f>
        <v>5</v>
      </c>
      <c r="AH25" s="82" t="n">
        <f aca="false">IF(NOT(ISNUMBER(J25)),0,IF($S25&lt;2,5,IF(AD25=1,1,IF(J25=MAX($G25:$J25),4,IF(AD25=2,2,3)))))</f>
        <v>0</v>
      </c>
      <c r="AI25" s="83" t="n">
        <f aca="false">IF($S25&gt;=2,IF(ISNUMBER(G25),G25*$F25,MIN($G25:$J25)*$F25),0)</f>
        <v>0</v>
      </c>
      <c r="AJ25" s="83" t="n">
        <f aca="false">IF($S25&gt;=2,IF(ISNUMBER(H25),H25*$F25,MIN($G25:$J25)*$F25),0)</f>
        <v>0</v>
      </c>
      <c r="AK25" s="83" t="n">
        <f aca="false">IF($S25&gt;=2,IF(ISNUMBER(I25),I25*$F25,MIN($G25:$J25)*$F25),0)</f>
        <v>0</v>
      </c>
      <c r="AL25" s="83" t="n">
        <f aca="false">IF($S25&gt;=2,IF(ISNUMBER(J25),J25*$F25,MIN($G25:$J25)*$F25),0)</f>
        <v>0</v>
      </c>
      <c r="AM25" s="84" t="str">
        <f aca="false">IF($S25&gt;=2,$R25+ROW()/1000000,"")</f>
        <v/>
      </c>
      <c r="AN25" s="83" t="str">
        <f aca="false">IF($S25&gt;=2,MAX(G25:J25),"")</f>
        <v/>
      </c>
      <c r="AO25" s="82" t="str">
        <f aca="false">IF($S25&gt;=2,INDEX($G$6:$J$6,MATCH(MAX(G25:J25),G25:J25,0)),"")</f>
        <v/>
      </c>
      <c r="AP25" s="83" t="n">
        <f aca="false">IF($S25&gt;=2,MIN(G25:J25)*$F25,0)</f>
        <v>0</v>
      </c>
      <c r="AQ25" s="82" t="str">
        <f aca="false">IF($S25&gt;=2,INDEX($G$6:$J$6,MATCH(MIN(G25:J25),G25:J25,0)),"")</f>
        <v/>
      </c>
    </row>
    <row r="26" customFormat="false" ht="15" hidden="false" customHeight="true" outlineLevel="0" collapsed="false">
      <c r="A26" s="70" t="s">
        <v>173</v>
      </c>
      <c r="B26" s="71" t="s">
        <v>130</v>
      </c>
      <c r="C26" s="72" t="s">
        <v>131</v>
      </c>
      <c r="D26" s="73" t="s">
        <v>174</v>
      </c>
      <c r="E26" s="74" t="s">
        <v>133</v>
      </c>
      <c r="F26" s="75" t="n">
        <v>2</v>
      </c>
      <c r="G26" s="76" t="n">
        <f aca="false">IF(COUNTIF('Quote Lines'!$P$3:$P$805,$A26&amp;"|"&amp;G$6&amp;"|1")=0,"—",SUMIFS('Quote Lines'!$O$3:$O$805,'Quote Lines'!$P$3:$P$805,$A26&amp;"|"&amp;G$6&amp;"|1")/SUMIFS('Quote Lines'!$L$3:$L$805,'Quote Lines'!$P$3:$P$805,$A26&amp;"|"&amp;G$6&amp;"|1"))</f>
        <v>347.01</v>
      </c>
      <c r="H26" s="76" t="n">
        <f aca="false">IF(COUNTIF('Quote Lines'!$P$3:$P$805,$A26&amp;"|"&amp;H$6&amp;"|1")=0,"—",SUMIFS('Quote Lines'!$O$3:$O$805,'Quote Lines'!$P$3:$P$805,$A26&amp;"|"&amp;H$6&amp;"|1")/SUMIFS('Quote Lines'!$L$3:$L$805,'Quote Lines'!$P$3:$P$805,$A26&amp;"|"&amp;H$6&amp;"|1"))</f>
        <v>362.57</v>
      </c>
      <c r="I26" s="76" t="n">
        <f aca="false">IF(COUNTIF('Quote Lines'!$P$3:$P$805,$A26&amp;"|"&amp;I$6&amp;"|1")=0,"—",SUMIFS('Quote Lines'!$O$3:$O$805,'Quote Lines'!$P$3:$P$805,$A26&amp;"|"&amp;I$6&amp;"|1")/SUMIFS('Quote Lines'!$L$3:$L$805,'Quote Lines'!$P$3:$P$805,$A26&amp;"|"&amp;I$6&amp;"|1"))</f>
        <v>393.66</v>
      </c>
      <c r="J26" s="85" t="s">
        <v>138</v>
      </c>
      <c r="K26" s="14" t="n">
        <f aca="false">IF(ISNUMBER(G26),G26*$F26,"—")</f>
        <v>694.02</v>
      </c>
      <c r="L26" s="14" t="n">
        <f aca="false">IF(ISNUMBER(H26),H26*$F26,"—")</f>
        <v>725.14</v>
      </c>
      <c r="M26" s="14" t="n">
        <f aca="false">IF(ISNUMBER(I26),I26*$F26,"—")</f>
        <v>787.32</v>
      </c>
      <c r="N26" s="14" t="str">
        <f aca="false">IF(ISNUMBER(J26),J26*$F26,"—")</f>
        <v>—</v>
      </c>
      <c r="O26" s="77" t="n">
        <f aca="false">IF($S26=0,"—",MIN(G26:J26))</f>
        <v>347.01</v>
      </c>
      <c r="P26" s="42" t="str">
        <f aca="false">IF($S26=0,"—",IF(COUNTIF(G26:J26,O26)&gt;1,"Tie",INDEX($G$6:$J$6,MATCH(O26,G26:J26,0))))</f>
        <v>Ferguson</v>
      </c>
      <c r="Q26" s="48" t="n">
        <f aca="false">IF($S26&gt;=2,MAX(G26:J26)/MIN(G26:J26)-1,"—")</f>
        <v>0.134434166162358</v>
      </c>
      <c r="R26" s="78" t="n">
        <f aca="false">IF($S26&gt;=2,(MAX(G26:J26)-MIN(G26:J26))*$F26,"—")</f>
        <v>93.3000000000001</v>
      </c>
      <c r="S26" s="18" t="n">
        <f aca="false">COUNT(G26:J26)</f>
        <v>3</v>
      </c>
      <c r="T26" s="79" t="str">
        <f aca="false">IF($S26&lt;=1,IF($S26=1,"Single quote","—"),"Like-for-like")</f>
        <v>Like-for-like</v>
      </c>
      <c r="U26" s="79" t="str">
        <f aca="false">IF(COUNT(W26:Z26)&lt;2,"",IF(MAX(W26:Z26)=MIN(W26:Z26),"OK","Qty differs"))</f>
        <v>OK</v>
      </c>
      <c r="V26" s="80"/>
      <c r="W26" s="81" t="n">
        <f aca="false">IF(COUNTIFS('Quote Lines'!$P$3:$P$805,$A26&amp;"|"&amp;G$6&amp;"|1",'Quote Lines'!$M$3:$M$805,"Y")=0,"",SUMIFS('Quote Lines'!$L$3:$L$805,'Quote Lines'!$P$3:$P$805,$A26&amp;"|"&amp;G$6&amp;"|1",'Quote Lines'!$M$3:$M$805,"Y"))</f>
        <v>2</v>
      </c>
      <c r="X26" s="81" t="n">
        <f aca="false">IF(COUNTIFS('Quote Lines'!$P$3:$P$805,$A26&amp;"|"&amp;H$6&amp;"|1",'Quote Lines'!$M$3:$M$805,"Y")=0,"",SUMIFS('Quote Lines'!$L$3:$L$805,'Quote Lines'!$P$3:$P$805,$A26&amp;"|"&amp;H$6&amp;"|1",'Quote Lines'!$M$3:$M$805,"Y"))</f>
        <v>2</v>
      </c>
      <c r="Y26" s="81" t="n">
        <f aca="false">IF(COUNTIFS('Quote Lines'!$P$3:$P$805,$A26&amp;"|"&amp;I$6&amp;"|1",'Quote Lines'!$M$3:$M$805,"Y")=0,"",SUMIFS('Quote Lines'!$L$3:$L$805,'Quote Lines'!$P$3:$P$805,$A26&amp;"|"&amp;I$6&amp;"|1",'Quote Lines'!$M$3:$M$805,"Y"))</f>
        <v>2</v>
      </c>
      <c r="Z26" s="81"/>
      <c r="AA26" s="82" t="n">
        <f aca="false">IF(ISNUMBER(G26),1+SUMPRODUCT(ISNUMBER($G26:$J26)*($G26:$J26&lt;G26)),"")</f>
        <v>1</v>
      </c>
      <c r="AB26" s="82" t="n">
        <f aca="false">IF(ISNUMBER(H26),1+SUMPRODUCT(ISNUMBER($G26:$J26)*($G26:$J26&lt;H26)),"")</f>
        <v>2</v>
      </c>
      <c r="AC26" s="82" t="n">
        <f aca="false">IF(ISNUMBER(I26),1+SUMPRODUCT(ISNUMBER($G26:$J26)*($G26:$J26&lt;I26)),"")</f>
        <v>3</v>
      </c>
      <c r="AD26" s="82" t="str">
        <f aca="false">IF(ISNUMBER(J26),1+SUMPRODUCT(ISNUMBER($G26:$J26)*($G26:$J26&lt;J26)),"")</f>
        <v/>
      </c>
      <c r="AE26" s="82" t="n">
        <f aca="false">IF(NOT(ISNUMBER(G26)),0,IF($S26&lt;2,5,IF(AA26=1,1,IF(G26=MAX($G26:$J26),4,IF(AA26=2,2,3)))))</f>
        <v>1</v>
      </c>
      <c r="AF26" s="82" t="n">
        <f aca="false">IF(NOT(ISNUMBER(H26)),0,IF($S26&lt;2,5,IF(AB26=1,1,IF(H26=MAX($G26:$J26),4,IF(AB26=2,2,3)))))</f>
        <v>2</v>
      </c>
      <c r="AG26" s="82" t="n">
        <f aca="false">IF(NOT(ISNUMBER(I26)),0,IF($S26&lt;2,5,IF(AC26=1,1,IF(I26=MAX($G26:$J26),4,IF(AC26=2,2,3)))))</f>
        <v>4</v>
      </c>
      <c r="AH26" s="82" t="n">
        <f aca="false">IF(NOT(ISNUMBER(J26)),0,IF($S26&lt;2,5,IF(AD26=1,1,IF(J26=MAX($G26:$J26),4,IF(AD26=2,2,3)))))</f>
        <v>0</v>
      </c>
      <c r="AI26" s="83" t="n">
        <f aca="false">IF($S26&gt;=2,IF(ISNUMBER(G26),G26*$F26,MIN($G26:$J26)*$F26),0)</f>
        <v>694.02</v>
      </c>
      <c r="AJ26" s="83" t="n">
        <f aca="false">IF($S26&gt;=2,IF(ISNUMBER(H26),H26*$F26,MIN($G26:$J26)*$F26),0)</f>
        <v>725.14</v>
      </c>
      <c r="AK26" s="83" t="n">
        <f aca="false">IF($S26&gt;=2,IF(ISNUMBER(I26),I26*$F26,MIN($G26:$J26)*$F26),0)</f>
        <v>787.32</v>
      </c>
      <c r="AL26" s="83" t="n">
        <f aca="false">IF($S26&gt;=2,IF(ISNUMBER(J26),J26*$F26,MIN($G26:$J26)*$F26),0)</f>
        <v>694.02</v>
      </c>
      <c r="AM26" s="84" t="n">
        <f aca="false">IF($S26&gt;=2,$R26+ROW()/1000000,"")</f>
        <v>93.3000260000001</v>
      </c>
      <c r="AN26" s="83" t="n">
        <f aca="false">IF($S26&gt;=2,MAX(G26:J26),"")</f>
        <v>393.66</v>
      </c>
      <c r="AO26" s="82" t="str">
        <f aca="false">IF($S26&gt;=2,INDEX($G$6:$J$6,MATCH(MAX(G26:J26),G26:J26,0)),"")</f>
        <v>Mountainland</v>
      </c>
      <c r="AP26" s="83" t="n">
        <f aca="false">IF($S26&gt;=2,MIN(G26:J26)*$F26,0)</f>
        <v>694.02</v>
      </c>
      <c r="AQ26" s="82" t="str">
        <f aca="false">IF($S26&gt;=2,INDEX($G$6:$J$6,MATCH(MIN(G26:J26),G26:J26,0)),"")</f>
        <v>Ferguson</v>
      </c>
    </row>
    <row r="27" customFormat="false" ht="15" hidden="false" customHeight="true" outlineLevel="0" collapsed="false">
      <c r="A27" s="70" t="s">
        <v>175</v>
      </c>
      <c r="B27" s="71" t="s">
        <v>130</v>
      </c>
      <c r="C27" s="72" t="s">
        <v>176</v>
      </c>
      <c r="D27" s="73" t="s">
        <v>177</v>
      </c>
      <c r="E27" s="74" t="s">
        <v>178</v>
      </c>
      <c r="F27" s="75" t="n">
        <v>20</v>
      </c>
      <c r="G27" s="76" t="n">
        <f aca="false">IF(COUNTIF('Quote Lines'!$P$3:$P$805,$A27&amp;"|"&amp;G$6&amp;"|1")=0,"—",SUMIFS('Quote Lines'!$O$3:$O$805,'Quote Lines'!$P$3:$P$805,$A27&amp;"|"&amp;G$6&amp;"|1")/SUMIFS('Quote Lines'!$L$3:$L$805,'Quote Lines'!$P$3:$P$805,$A27&amp;"|"&amp;G$6&amp;"|1"))</f>
        <v>40.33</v>
      </c>
      <c r="H27" s="76" t="n">
        <f aca="false">IF(COUNTIF('Quote Lines'!$P$3:$P$805,$A27&amp;"|"&amp;H$6&amp;"|1")=0,"—",SUMIFS('Quote Lines'!$O$3:$O$805,'Quote Lines'!$P$3:$P$805,$A27&amp;"|"&amp;H$6&amp;"|1")/SUMIFS('Quote Lines'!$L$3:$L$805,'Quote Lines'!$P$3:$P$805,$A27&amp;"|"&amp;H$6&amp;"|1"))</f>
        <v>39.4898630136986</v>
      </c>
      <c r="I27" s="85" t="s">
        <v>138</v>
      </c>
      <c r="J27" s="76" t="n">
        <f aca="false">IF(COUNTIF('Quote Lines'!$P$3:$P$805,$A27&amp;"|"&amp;J$6&amp;"|1")=0,"—",SUMIFS('Quote Lines'!$O$3:$O$805,'Quote Lines'!$P$3:$P$805,$A27&amp;"|"&amp;J$6&amp;"|1")/SUMIFS('Quote Lines'!$L$3:$L$805,'Quote Lines'!$P$3:$P$805,$A27&amp;"|"&amp;J$6&amp;"|1"))</f>
        <v>43.37</v>
      </c>
      <c r="K27" s="14" t="n">
        <f aca="false">IF(ISNUMBER(G27),G27*$F27,"—")</f>
        <v>806.6</v>
      </c>
      <c r="L27" s="14" t="n">
        <f aca="false">IF(ISNUMBER(H27),H27*$F27,"—")</f>
        <v>789.797260273973</v>
      </c>
      <c r="M27" s="14" t="str">
        <f aca="false">IF(ISNUMBER(I27),I27*$F27,"—")</f>
        <v>—</v>
      </c>
      <c r="N27" s="14" t="n">
        <f aca="false">IF(ISNUMBER(J27),J27*$F27,"—")</f>
        <v>867.4</v>
      </c>
      <c r="O27" s="77" t="n">
        <f aca="false">IF($S27=0,"—",MIN(G27:J27))</f>
        <v>39.4898630136986</v>
      </c>
      <c r="P27" s="42" t="str">
        <f aca="false">IF($S27=0,"—",IF(COUNTIF(G27:J27,O27)&gt;1,"Tie",INDEX($G$6:$J$6,MATCH(O27,G27:J27,0))))</f>
        <v>HD Fowler</v>
      </c>
      <c r="Q27" s="48" t="n">
        <f aca="false">IF($S27&gt;=2,MAX(G27:J27)/MIN(G27:J27)-1,"—")</f>
        <v>0.0982565319346735</v>
      </c>
      <c r="R27" s="78" t="n">
        <f aca="false">IF($S27&gt;=2,(MAX(G27:J27)-MIN(G27:J27))*$F27,"—")</f>
        <v>77.6027397260273</v>
      </c>
      <c r="S27" s="18" t="n">
        <f aca="false">COUNT(G27:J27)</f>
        <v>3</v>
      </c>
      <c r="T27" s="79" t="str">
        <f aca="false">IF($S27&lt;=1,IF($S27=1,"Single quote","—"),"Alt spec – verify")</f>
        <v>Alt spec – verify</v>
      </c>
      <c r="U27" s="79" t="str">
        <f aca="false">IF(COUNT(W27:Z27)&lt;2,"",IF(MAX(W27:Z27)=MIN(W27:Z27),"OK","Qty differs"))</f>
        <v>Qty differs</v>
      </c>
      <c r="V27" s="80" t="s">
        <v>179</v>
      </c>
      <c r="W27" s="81" t="n">
        <f aca="false">IF(COUNTIFS('Quote Lines'!$P$3:$P$805,$A27&amp;"|"&amp;G$6&amp;"|1",'Quote Lines'!$M$3:$M$805,"Y")=0,"",SUMIFS('Quote Lines'!$L$3:$L$805,'Quote Lines'!$P$3:$P$805,$A27&amp;"|"&amp;G$6&amp;"|1",'Quote Lines'!$M$3:$M$805,"Y"))</f>
        <v>20</v>
      </c>
      <c r="X27" s="81" t="n">
        <f aca="false">IF(COUNTIFS('Quote Lines'!$P$3:$P$805,$A27&amp;"|"&amp;H$6&amp;"|1",'Quote Lines'!$M$3:$M$805,"Y")=0,"",SUMIFS('Quote Lines'!$L$3:$L$805,'Quote Lines'!$P$3:$P$805,$A27&amp;"|"&amp;H$6&amp;"|1",'Quote Lines'!$M$3:$M$805,"Y"))</f>
        <v>18.25</v>
      </c>
      <c r="Y27" s="81"/>
      <c r="Z27" s="81" t="n">
        <f aca="false">IF(COUNTIFS('Quote Lines'!$P$3:$P$805,$A27&amp;"|"&amp;J$6&amp;"|1",'Quote Lines'!$M$3:$M$805,"Y")=0,"",SUMIFS('Quote Lines'!$L$3:$L$805,'Quote Lines'!$P$3:$P$805,$A27&amp;"|"&amp;J$6&amp;"|1",'Quote Lines'!$M$3:$M$805,"Y"))</f>
        <v>20</v>
      </c>
      <c r="AA27" s="82" t="n">
        <f aca="false">IF(ISNUMBER(G27),1+SUMPRODUCT(ISNUMBER($G27:$J27)*($G27:$J27&lt;G27)),"")</f>
        <v>2</v>
      </c>
      <c r="AB27" s="82" t="n">
        <f aca="false">IF(ISNUMBER(H27),1+SUMPRODUCT(ISNUMBER($G27:$J27)*($G27:$J27&lt;H27)),"")</f>
        <v>1</v>
      </c>
      <c r="AC27" s="82" t="str">
        <f aca="false">IF(ISNUMBER(I27),1+SUMPRODUCT(ISNUMBER($G27:$J27)*($G27:$J27&lt;I27)),"")</f>
        <v/>
      </c>
      <c r="AD27" s="82" t="n">
        <f aca="false">IF(ISNUMBER(J27),1+SUMPRODUCT(ISNUMBER($G27:$J27)*($G27:$J27&lt;J27)),"")</f>
        <v>3</v>
      </c>
      <c r="AE27" s="82" t="n">
        <f aca="false">IF(NOT(ISNUMBER(G27)),0,IF($S27&lt;2,5,IF(AA27=1,1,IF(G27=MAX($G27:$J27),4,IF(AA27=2,2,3)))))</f>
        <v>2</v>
      </c>
      <c r="AF27" s="82" t="n">
        <f aca="false">IF(NOT(ISNUMBER(H27)),0,IF($S27&lt;2,5,IF(AB27=1,1,IF(H27=MAX($G27:$J27),4,IF(AB27=2,2,3)))))</f>
        <v>1</v>
      </c>
      <c r="AG27" s="82" t="n">
        <f aca="false">IF(NOT(ISNUMBER(I27)),0,IF($S27&lt;2,5,IF(AC27=1,1,IF(I27=MAX($G27:$J27),4,IF(AC27=2,2,3)))))</f>
        <v>0</v>
      </c>
      <c r="AH27" s="82" t="n">
        <f aca="false">IF(NOT(ISNUMBER(J27)),0,IF($S27&lt;2,5,IF(AD27=1,1,IF(J27=MAX($G27:$J27),4,IF(AD27=2,2,3)))))</f>
        <v>4</v>
      </c>
      <c r="AI27" s="83" t="n">
        <f aca="false">IF($S27&gt;=2,IF(ISNUMBER(G27),G27*$F27,MIN($G27:$J27)*$F27),0)</f>
        <v>806.6</v>
      </c>
      <c r="AJ27" s="83" t="n">
        <f aca="false">IF($S27&gt;=2,IF(ISNUMBER(H27),H27*$F27,MIN($G27:$J27)*$F27),0)</f>
        <v>789.797260273973</v>
      </c>
      <c r="AK27" s="83" t="n">
        <f aca="false">IF($S27&gt;=2,IF(ISNUMBER(I27),I27*$F27,MIN($G27:$J27)*$F27),0)</f>
        <v>789.797260273973</v>
      </c>
      <c r="AL27" s="83" t="n">
        <f aca="false">IF($S27&gt;=2,IF(ISNUMBER(J27),J27*$F27,MIN($G27:$J27)*$F27),0)</f>
        <v>867.4</v>
      </c>
      <c r="AM27" s="84" t="n">
        <f aca="false">IF($S27&gt;=2,$R27+ROW()/1000000,"")</f>
        <v>77.6027667260273</v>
      </c>
      <c r="AN27" s="83" t="n">
        <f aca="false">IF($S27&gt;=2,MAX(G27:J27),"")</f>
        <v>43.37</v>
      </c>
      <c r="AO27" s="82" t="str">
        <f aca="false">IF($S27&gt;=2,INDEX($G$6:$J$6,MATCH(MAX(G27:J27),G27:J27,0)),"")</f>
        <v>Scholzen</v>
      </c>
      <c r="AP27" s="83" t="n">
        <f aca="false">IF($S27&gt;=2,MIN(G27:J27)*$F27,0)</f>
        <v>789.797260273973</v>
      </c>
      <c r="AQ27" s="82" t="str">
        <f aca="false">IF($S27&gt;=2,INDEX($G$6:$J$6,MATCH(MIN(G27:J27),G27:J27,0)),"")</f>
        <v>HD Fowler</v>
      </c>
    </row>
    <row r="28" customFormat="false" ht="15" hidden="false" customHeight="true" outlineLevel="0" collapsed="false">
      <c r="A28" s="70" t="s">
        <v>180</v>
      </c>
      <c r="B28" s="71" t="s">
        <v>130</v>
      </c>
      <c r="C28" s="72" t="s">
        <v>176</v>
      </c>
      <c r="D28" s="73" t="s">
        <v>181</v>
      </c>
      <c r="E28" s="74" t="s">
        <v>178</v>
      </c>
      <c r="F28" s="75" t="n">
        <v>19</v>
      </c>
      <c r="G28" s="85" t="s">
        <v>138</v>
      </c>
      <c r="H28" s="85" t="s">
        <v>138</v>
      </c>
      <c r="I28" s="85" t="s">
        <v>138</v>
      </c>
      <c r="J28" s="76" t="n">
        <f aca="false">IF(COUNTIF('Quote Lines'!$P$3:$P$805,$A28&amp;"|"&amp;J$6&amp;"|1")=0,"—",SUMIFS('Quote Lines'!$O$3:$O$805,'Quote Lines'!$P$3:$P$805,$A28&amp;"|"&amp;J$6&amp;"|1")/SUMIFS('Quote Lines'!$L$3:$L$805,'Quote Lines'!$P$3:$P$805,$A28&amp;"|"&amp;J$6&amp;"|1"))</f>
        <v>71.67</v>
      </c>
      <c r="K28" s="14" t="str">
        <f aca="false">IF(ISNUMBER(G28),G28*$F28,"—")</f>
        <v>—</v>
      </c>
      <c r="L28" s="14" t="str">
        <f aca="false">IF(ISNUMBER(H28),H28*$F28,"—")</f>
        <v>—</v>
      </c>
      <c r="M28" s="14" t="str">
        <f aca="false">IF(ISNUMBER(I28),I28*$F28,"—")</f>
        <v>—</v>
      </c>
      <c r="N28" s="14" t="n">
        <f aca="false">IF(ISNUMBER(J28),J28*$F28,"—")</f>
        <v>1361.73</v>
      </c>
      <c r="O28" s="77" t="n">
        <f aca="false">IF($S28=0,"—",MIN(G28:J28))</f>
        <v>71.67</v>
      </c>
      <c r="P28" s="42" t="str">
        <f aca="false">IF($S28=0,"—",IF(COUNTIF(G28:J28,O28)&gt;1,"Tie",INDEX($G$6:$J$6,MATCH(O28,G28:J28,0))))</f>
        <v>Scholzen</v>
      </c>
      <c r="Q28" s="48" t="str">
        <f aca="false">IF($S28&gt;=2,MAX(G28:J28)/MIN(G28:J28)-1,"—")</f>
        <v>—</v>
      </c>
      <c r="R28" s="78" t="str">
        <f aca="false">IF($S28&gt;=2,(MAX(G28:J28)-MIN(G28:J28))*$F28,"—")</f>
        <v>—</v>
      </c>
      <c r="S28" s="18" t="n">
        <f aca="false">COUNT(G28:J28)</f>
        <v>1</v>
      </c>
      <c r="T28" s="79" t="str">
        <f aca="false">IF($S28&lt;=1,IF($S28=1,"Single quote","—"),"Like-for-like")</f>
        <v>Single quote</v>
      </c>
      <c r="U28" s="79" t="str">
        <f aca="false">IF(COUNT(W28:Z28)&lt;2,"",IF(MAX(W28:Z28)=MIN(W28:Z28),"OK","Qty differs"))</f>
        <v/>
      </c>
      <c r="V28" s="80"/>
      <c r="W28" s="81"/>
      <c r="X28" s="81"/>
      <c r="Y28" s="81"/>
      <c r="Z28" s="81" t="n">
        <f aca="false">IF(COUNTIFS('Quote Lines'!$P$3:$P$805,$A28&amp;"|"&amp;J$6&amp;"|1",'Quote Lines'!$M$3:$M$805,"Y")=0,"",SUMIFS('Quote Lines'!$L$3:$L$805,'Quote Lines'!$P$3:$P$805,$A28&amp;"|"&amp;J$6&amp;"|1",'Quote Lines'!$M$3:$M$805,"Y"))</f>
        <v>19</v>
      </c>
      <c r="AA28" s="82" t="str">
        <f aca="false">IF(ISNUMBER(G28),1+SUMPRODUCT(ISNUMBER($G28:$J28)*($G28:$J28&lt;G28)),"")</f>
        <v/>
      </c>
      <c r="AB28" s="82" t="str">
        <f aca="false">IF(ISNUMBER(H28),1+SUMPRODUCT(ISNUMBER($G28:$J28)*($G28:$J28&lt;H28)),"")</f>
        <v/>
      </c>
      <c r="AC28" s="82" t="str">
        <f aca="false">IF(ISNUMBER(I28),1+SUMPRODUCT(ISNUMBER($G28:$J28)*($G28:$J28&lt;I28)),"")</f>
        <v/>
      </c>
      <c r="AD28" s="82" t="n">
        <f aca="false">IF(ISNUMBER(J28),1+SUMPRODUCT(ISNUMBER($G28:$J28)*($G28:$J28&lt;J28)),"")</f>
        <v>1</v>
      </c>
      <c r="AE28" s="82" t="n">
        <f aca="false">IF(NOT(ISNUMBER(G28)),0,IF($S28&lt;2,5,IF(AA28=1,1,IF(G28=MAX($G28:$J28),4,IF(AA28=2,2,3)))))</f>
        <v>0</v>
      </c>
      <c r="AF28" s="82" t="n">
        <f aca="false">IF(NOT(ISNUMBER(H28)),0,IF($S28&lt;2,5,IF(AB28=1,1,IF(H28=MAX($G28:$J28),4,IF(AB28=2,2,3)))))</f>
        <v>0</v>
      </c>
      <c r="AG28" s="82" t="n">
        <f aca="false">IF(NOT(ISNUMBER(I28)),0,IF($S28&lt;2,5,IF(AC28=1,1,IF(I28=MAX($G28:$J28),4,IF(AC28=2,2,3)))))</f>
        <v>0</v>
      </c>
      <c r="AH28" s="82" t="n">
        <f aca="false">IF(NOT(ISNUMBER(J28)),0,IF($S28&lt;2,5,IF(AD28=1,1,IF(J28=MAX($G28:$J28),4,IF(AD28=2,2,3)))))</f>
        <v>5</v>
      </c>
      <c r="AI28" s="83" t="n">
        <f aca="false">IF($S28&gt;=2,IF(ISNUMBER(G28),G28*$F28,MIN($G28:$J28)*$F28),0)</f>
        <v>0</v>
      </c>
      <c r="AJ28" s="83" t="n">
        <f aca="false">IF($S28&gt;=2,IF(ISNUMBER(H28),H28*$F28,MIN($G28:$J28)*$F28),0)</f>
        <v>0</v>
      </c>
      <c r="AK28" s="83" t="n">
        <f aca="false">IF($S28&gt;=2,IF(ISNUMBER(I28),I28*$F28,MIN($G28:$J28)*$F28),0)</f>
        <v>0</v>
      </c>
      <c r="AL28" s="83" t="n">
        <f aca="false">IF($S28&gt;=2,IF(ISNUMBER(J28),J28*$F28,MIN($G28:$J28)*$F28),0)</f>
        <v>0</v>
      </c>
      <c r="AM28" s="84" t="str">
        <f aca="false">IF($S28&gt;=2,$R28+ROW()/1000000,"")</f>
        <v/>
      </c>
      <c r="AN28" s="83" t="str">
        <f aca="false">IF($S28&gt;=2,MAX(G28:J28),"")</f>
        <v/>
      </c>
      <c r="AO28" s="82" t="str">
        <f aca="false">IF($S28&gt;=2,INDEX($G$6:$J$6,MATCH(MAX(G28:J28),G28:J28,0)),"")</f>
        <v/>
      </c>
      <c r="AP28" s="83" t="n">
        <f aca="false">IF($S28&gt;=2,MIN(G28:J28)*$F28,0)</f>
        <v>0</v>
      </c>
      <c r="AQ28" s="82" t="str">
        <f aca="false">IF($S28&gt;=2,INDEX($G$6:$J$6,MATCH(MIN(G28:J28),G28:J28,0)),"")</f>
        <v/>
      </c>
    </row>
    <row r="29" customFormat="false" ht="15" hidden="false" customHeight="true" outlineLevel="0" collapsed="false">
      <c r="A29" s="70" t="s">
        <v>182</v>
      </c>
      <c r="B29" s="71" t="s">
        <v>130</v>
      </c>
      <c r="C29" s="72" t="s">
        <v>183</v>
      </c>
      <c r="D29" s="73" t="s">
        <v>184</v>
      </c>
      <c r="E29" s="74" t="s">
        <v>133</v>
      </c>
      <c r="F29" s="75" t="n">
        <v>1</v>
      </c>
      <c r="G29" s="76" t="n">
        <f aca="false">IF(COUNTIF('Quote Lines'!$P$3:$P$805,$A29&amp;"|"&amp;G$6&amp;"|1")=0,"—",SUMIFS('Quote Lines'!$O$3:$O$805,'Quote Lines'!$P$3:$P$805,$A29&amp;"|"&amp;G$6&amp;"|1")/SUMIFS('Quote Lines'!$L$3:$L$805,'Quote Lines'!$P$3:$P$805,$A29&amp;"|"&amp;G$6&amp;"|1"))</f>
        <v>6622.86</v>
      </c>
      <c r="H29" s="76" t="n">
        <f aca="false">IF(COUNTIF('Quote Lines'!$P$3:$P$805,$A29&amp;"|"&amp;H$6&amp;"|1")=0,"—",SUMIFS('Quote Lines'!$O$3:$O$805,'Quote Lines'!$P$3:$P$805,$A29&amp;"|"&amp;H$6&amp;"|1")/SUMIFS('Quote Lines'!$L$3:$L$805,'Quote Lines'!$P$3:$P$805,$A29&amp;"|"&amp;H$6&amp;"|1"))</f>
        <v>4510.99</v>
      </c>
      <c r="I29" s="76" t="n">
        <f aca="false">IF(COUNTIF('Quote Lines'!$P$3:$P$805,$A29&amp;"|"&amp;I$6&amp;"|1")=0,"—",SUMIFS('Quote Lines'!$O$3:$O$805,'Quote Lines'!$P$3:$P$805,$A29&amp;"|"&amp;I$6&amp;"|1")/SUMIFS('Quote Lines'!$L$3:$L$805,'Quote Lines'!$P$3:$P$805,$A29&amp;"|"&amp;I$6&amp;"|1"))</f>
        <v>5606.63</v>
      </c>
      <c r="J29" s="85" t="s">
        <v>138</v>
      </c>
      <c r="K29" s="14" t="n">
        <f aca="false">IF(ISNUMBER(G29),G29*$F29,"—")</f>
        <v>6622.86</v>
      </c>
      <c r="L29" s="14" t="n">
        <f aca="false">IF(ISNUMBER(H29),H29*$F29,"—")</f>
        <v>4510.99</v>
      </c>
      <c r="M29" s="14" t="n">
        <f aca="false">IF(ISNUMBER(I29),I29*$F29,"—")</f>
        <v>5606.63</v>
      </c>
      <c r="N29" s="14" t="str">
        <f aca="false">IF(ISNUMBER(J29),J29*$F29,"—")</f>
        <v>—</v>
      </c>
      <c r="O29" s="77" t="n">
        <f aca="false">IF($S29=0,"—",MIN(G29:J29))</f>
        <v>4510.99</v>
      </c>
      <c r="P29" s="42" t="str">
        <f aca="false">IF($S29=0,"—",IF(COUNTIF(G29:J29,O29)&gt;1,"Tie",INDEX($G$6:$J$6,MATCH(O29,G29:J29,0))))</f>
        <v>HD Fowler</v>
      </c>
      <c r="Q29" s="48" t="n">
        <f aca="false">IF($S29&gt;=2,MAX(G29:J29)/MIN(G29:J29)-1,"—")</f>
        <v>0.468161091024365</v>
      </c>
      <c r="R29" s="78" t="n">
        <f aca="false">IF($S29&gt;=2,(MAX(G29:J29)-MIN(G29:J29))*$F29,"—")</f>
        <v>2111.87</v>
      </c>
      <c r="S29" s="18" t="n">
        <f aca="false">COUNT(G29:J29)</f>
        <v>3</v>
      </c>
      <c r="T29" s="79" t="str">
        <f aca="false">IF($S29&lt;=1,IF($S29=1,"Single quote","—"),"Like-for-like")</f>
        <v>Like-for-like</v>
      </c>
      <c r="U29" s="79" t="str">
        <f aca="false">IF(COUNT(W29:Z29)&lt;2,"",IF(MAX(W29:Z29)=MIN(W29:Z29),"OK","Qty differs"))</f>
        <v>OK</v>
      </c>
      <c r="V29" s="80"/>
      <c r="W29" s="81" t="n">
        <f aca="false">IF(COUNTIFS('Quote Lines'!$P$3:$P$805,$A29&amp;"|"&amp;G$6&amp;"|1",'Quote Lines'!$M$3:$M$805,"Y")=0,"",SUMIFS('Quote Lines'!$L$3:$L$805,'Quote Lines'!$P$3:$P$805,$A29&amp;"|"&amp;G$6&amp;"|1",'Quote Lines'!$M$3:$M$805,"Y"))</f>
        <v>1</v>
      </c>
      <c r="X29" s="81" t="n">
        <f aca="false">IF(COUNTIFS('Quote Lines'!$P$3:$P$805,$A29&amp;"|"&amp;H$6&amp;"|1",'Quote Lines'!$M$3:$M$805,"Y")=0,"",SUMIFS('Quote Lines'!$L$3:$L$805,'Quote Lines'!$P$3:$P$805,$A29&amp;"|"&amp;H$6&amp;"|1",'Quote Lines'!$M$3:$M$805,"Y"))</f>
        <v>1</v>
      </c>
      <c r="Y29" s="81" t="n">
        <f aca="false">IF(COUNTIFS('Quote Lines'!$P$3:$P$805,$A29&amp;"|"&amp;I$6&amp;"|1",'Quote Lines'!$M$3:$M$805,"Y")=0,"",SUMIFS('Quote Lines'!$L$3:$L$805,'Quote Lines'!$P$3:$P$805,$A29&amp;"|"&amp;I$6&amp;"|1",'Quote Lines'!$M$3:$M$805,"Y"))</f>
        <v>1</v>
      </c>
      <c r="Z29" s="81"/>
      <c r="AA29" s="82" t="n">
        <f aca="false">IF(ISNUMBER(G29),1+SUMPRODUCT(ISNUMBER($G29:$J29)*($G29:$J29&lt;G29)),"")</f>
        <v>3</v>
      </c>
      <c r="AB29" s="82" t="n">
        <f aca="false">IF(ISNUMBER(H29),1+SUMPRODUCT(ISNUMBER($G29:$J29)*($G29:$J29&lt;H29)),"")</f>
        <v>1</v>
      </c>
      <c r="AC29" s="82" t="n">
        <f aca="false">IF(ISNUMBER(I29),1+SUMPRODUCT(ISNUMBER($G29:$J29)*($G29:$J29&lt;I29)),"")</f>
        <v>2</v>
      </c>
      <c r="AD29" s="82" t="str">
        <f aca="false">IF(ISNUMBER(J29),1+SUMPRODUCT(ISNUMBER($G29:$J29)*($G29:$J29&lt;J29)),"")</f>
        <v/>
      </c>
      <c r="AE29" s="82" t="n">
        <f aca="false">IF(NOT(ISNUMBER(G29)),0,IF($S29&lt;2,5,IF(AA29=1,1,IF(G29=MAX($G29:$J29),4,IF(AA29=2,2,3)))))</f>
        <v>4</v>
      </c>
      <c r="AF29" s="82" t="n">
        <f aca="false">IF(NOT(ISNUMBER(H29)),0,IF($S29&lt;2,5,IF(AB29=1,1,IF(H29=MAX($G29:$J29),4,IF(AB29=2,2,3)))))</f>
        <v>1</v>
      </c>
      <c r="AG29" s="82" t="n">
        <f aca="false">IF(NOT(ISNUMBER(I29)),0,IF($S29&lt;2,5,IF(AC29=1,1,IF(I29=MAX($G29:$J29),4,IF(AC29=2,2,3)))))</f>
        <v>2</v>
      </c>
      <c r="AH29" s="82" t="n">
        <f aca="false">IF(NOT(ISNUMBER(J29)),0,IF($S29&lt;2,5,IF(AD29=1,1,IF(J29=MAX($G29:$J29),4,IF(AD29=2,2,3)))))</f>
        <v>0</v>
      </c>
      <c r="AI29" s="83" t="n">
        <f aca="false">IF($S29&gt;=2,IF(ISNUMBER(G29),G29*$F29,MIN($G29:$J29)*$F29),0)</f>
        <v>6622.86</v>
      </c>
      <c r="AJ29" s="83" t="n">
        <f aca="false">IF($S29&gt;=2,IF(ISNUMBER(H29),H29*$F29,MIN($G29:$J29)*$F29),0)</f>
        <v>4510.99</v>
      </c>
      <c r="AK29" s="83" t="n">
        <f aca="false">IF($S29&gt;=2,IF(ISNUMBER(I29),I29*$F29,MIN($G29:$J29)*$F29),0)</f>
        <v>5606.63</v>
      </c>
      <c r="AL29" s="83" t="n">
        <f aca="false">IF($S29&gt;=2,IF(ISNUMBER(J29),J29*$F29,MIN($G29:$J29)*$F29),0)</f>
        <v>4510.99</v>
      </c>
      <c r="AM29" s="84" t="n">
        <f aca="false">IF($S29&gt;=2,$R29+ROW()/1000000,"")</f>
        <v>2111.870029</v>
      </c>
      <c r="AN29" s="83" t="n">
        <f aca="false">IF($S29&gt;=2,MAX(G29:J29),"")</f>
        <v>6622.86</v>
      </c>
      <c r="AO29" s="82" t="str">
        <f aca="false">IF($S29&gt;=2,INDEX($G$6:$J$6,MATCH(MAX(G29:J29),G29:J29,0)),"")</f>
        <v>Ferguson</v>
      </c>
      <c r="AP29" s="83" t="n">
        <f aca="false">IF($S29&gt;=2,MIN(G29:J29)*$F29,0)</f>
        <v>4510.99</v>
      </c>
      <c r="AQ29" s="82" t="str">
        <f aca="false">IF($S29&gt;=2,INDEX($G$6:$J$6,MATCH(MIN(G29:J29),G29:J29,0)),"")</f>
        <v>HD Fowler</v>
      </c>
    </row>
    <row r="30" customFormat="false" ht="15" hidden="false" customHeight="true" outlineLevel="0" collapsed="false">
      <c r="A30" s="70" t="s">
        <v>185</v>
      </c>
      <c r="B30" s="71" t="s">
        <v>130</v>
      </c>
      <c r="C30" s="72" t="s">
        <v>183</v>
      </c>
      <c r="D30" s="73" t="s">
        <v>186</v>
      </c>
      <c r="E30" s="74" t="s">
        <v>133</v>
      </c>
      <c r="F30" s="75" t="n">
        <v>1</v>
      </c>
      <c r="G30" s="76" t="n">
        <f aca="false">IF(COUNTIF('Quote Lines'!$P$3:$P$805,$A30&amp;"|"&amp;G$6&amp;"|1")=0,"—",SUMIFS('Quote Lines'!$O$3:$O$805,'Quote Lines'!$P$3:$P$805,$A30&amp;"|"&amp;G$6&amp;"|1")/SUMIFS('Quote Lines'!$L$3:$L$805,'Quote Lines'!$P$3:$P$805,$A30&amp;"|"&amp;G$6&amp;"|1"))</f>
        <v>3346.08</v>
      </c>
      <c r="H30" s="85" t="s">
        <v>138</v>
      </c>
      <c r="I30" s="85" t="s">
        <v>138</v>
      </c>
      <c r="J30" s="76" t="n">
        <f aca="false">IF(COUNTIF('Quote Lines'!$P$3:$P$805,$A30&amp;"|"&amp;J$6&amp;"|1")=0,"—",SUMIFS('Quote Lines'!$O$3:$O$805,'Quote Lines'!$P$3:$P$805,$A30&amp;"|"&amp;J$6&amp;"|1")/SUMIFS('Quote Lines'!$L$3:$L$805,'Quote Lines'!$P$3:$P$805,$A30&amp;"|"&amp;J$6&amp;"|1"))</f>
        <v>3911</v>
      </c>
      <c r="K30" s="14" t="n">
        <f aca="false">IF(ISNUMBER(G30),G30*$F30,"—")</f>
        <v>3346.08</v>
      </c>
      <c r="L30" s="14" t="str">
        <f aca="false">IF(ISNUMBER(H30),H30*$F30,"—")</f>
        <v>—</v>
      </c>
      <c r="M30" s="14" t="str">
        <f aca="false">IF(ISNUMBER(I30),I30*$F30,"—")</f>
        <v>—</v>
      </c>
      <c r="N30" s="14" t="n">
        <f aca="false">IF(ISNUMBER(J30),J30*$F30,"—")</f>
        <v>3911</v>
      </c>
      <c r="O30" s="77" t="n">
        <f aca="false">IF($S30=0,"—",MIN(G30:J30))</f>
        <v>3346.08</v>
      </c>
      <c r="P30" s="42" t="str">
        <f aca="false">IF($S30=0,"—",IF(COUNTIF(G30:J30,O30)&gt;1,"Tie",INDEX($G$6:$J$6,MATCH(O30,G30:J30,0))))</f>
        <v>Ferguson</v>
      </c>
      <c r="Q30" s="48" t="n">
        <f aca="false">IF($S30&gt;=2,MAX(G30:J30)/MIN(G30:J30)-1,"—")</f>
        <v>0.168830392578779</v>
      </c>
      <c r="R30" s="78" t="n">
        <f aca="false">IF($S30&gt;=2,(MAX(G30:J30)-MIN(G30:J30))*$F30,"—")</f>
        <v>564.92</v>
      </c>
      <c r="S30" s="18" t="n">
        <f aca="false">COUNT(G30:J30)</f>
        <v>2</v>
      </c>
      <c r="T30" s="79" t="str">
        <f aca="false">IF($S30&lt;=1,IF($S30=1,"Single quote","—"),"Like-for-like")</f>
        <v>Like-for-like</v>
      </c>
      <c r="U30" s="79" t="str">
        <f aca="false">IF(COUNT(W30:Z30)&lt;2,"",IF(MAX(W30:Z30)=MIN(W30:Z30),"OK","Qty differs"))</f>
        <v>OK</v>
      </c>
      <c r="V30" s="80"/>
      <c r="W30" s="81" t="n">
        <f aca="false">IF(COUNTIFS('Quote Lines'!$P$3:$P$805,$A30&amp;"|"&amp;G$6&amp;"|1",'Quote Lines'!$M$3:$M$805,"Y")=0,"",SUMIFS('Quote Lines'!$L$3:$L$805,'Quote Lines'!$P$3:$P$805,$A30&amp;"|"&amp;G$6&amp;"|1",'Quote Lines'!$M$3:$M$805,"Y"))</f>
        <v>1</v>
      </c>
      <c r="X30" s="81"/>
      <c r="Y30" s="81"/>
      <c r="Z30" s="81" t="n">
        <f aca="false">IF(COUNTIFS('Quote Lines'!$P$3:$P$805,$A30&amp;"|"&amp;J$6&amp;"|1",'Quote Lines'!$M$3:$M$805,"Y")=0,"",SUMIFS('Quote Lines'!$L$3:$L$805,'Quote Lines'!$P$3:$P$805,$A30&amp;"|"&amp;J$6&amp;"|1",'Quote Lines'!$M$3:$M$805,"Y"))</f>
        <v>1</v>
      </c>
      <c r="AA30" s="82" t="n">
        <f aca="false">IF(ISNUMBER(G30),1+SUMPRODUCT(ISNUMBER($G30:$J30)*($G30:$J30&lt;G30)),"")</f>
        <v>1</v>
      </c>
      <c r="AB30" s="82" t="str">
        <f aca="false">IF(ISNUMBER(H30),1+SUMPRODUCT(ISNUMBER($G30:$J30)*($G30:$J30&lt;H30)),"")</f>
        <v/>
      </c>
      <c r="AC30" s="82" t="str">
        <f aca="false">IF(ISNUMBER(I30),1+SUMPRODUCT(ISNUMBER($G30:$J30)*($G30:$J30&lt;I30)),"")</f>
        <v/>
      </c>
      <c r="AD30" s="82" t="n">
        <f aca="false">IF(ISNUMBER(J30),1+SUMPRODUCT(ISNUMBER($G30:$J30)*($G30:$J30&lt;J30)),"")</f>
        <v>2</v>
      </c>
      <c r="AE30" s="82" t="n">
        <f aca="false">IF(NOT(ISNUMBER(G30)),0,IF($S30&lt;2,5,IF(AA30=1,1,IF(G30=MAX($G30:$J30),4,IF(AA30=2,2,3)))))</f>
        <v>1</v>
      </c>
      <c r="AF30" s="82" t="n">
        <f aca="false">IF(NOT(ISNUMBER(H30)),0,IF($S30&lt;2,5,IF(AB30=1,1,IF(H30=MAX($G30:$J30),4,IF(AB30=2,2,3)))))</f>
        <v>0</v>
      </c>
      <c r="AG30" s="82" t="n">
        <f aca="false">IF(NOT(ISNUMBER(I30)),0,IF($S30&lt;2,5,IF(AC30=1,1,IF(I30=MAX($G30:$J30),4,IF(AC30=2,2,3)))))</f>
        <v>0</v>
      </c>
      <c r="AH30" s="82" t="n">
        <f aca="false">IF(NOT(ISNUMBER(J30)),0,IF($S30&lt;2,5,IF(AD30=1,1,IF(J30=MAX($G30:$J30),4,IF(AD30=2,2,3)))))</f>
        <v>4</v>
      </c>
      <c r="AI30" s="83" t="n">
        <f aca="false">IF($S30&gt;=2,IF(ISNUMBER(G30),G30*$F30,MIN($G30:$J30)*$F30),0)</f>
        <v>3346.08</v>
      </c>
      <c r="AJ30" s="83" t="n">
        <f aca="false">IF($S30&gt;=2,IF(ISNUMBER(H30),H30*$F30,MIN($G30:$J30)*$F30),0)</f>
        <v>3346.08</v>
      </c>
      <c r="AK30" s="83" t="n">
        <f aca="false">IF($S30&gt;=2,IF(ISNUMBER(I30),I30*$F30,MIN($G30:$J30)*$F30),0)</f>
        <v>3346.08</v>
      </c>
      <c r="AL30" s="83" t="n">
        <f aca="false">IF($S30&gt;=2,IF(ISNUMBER(J30),J30*$F30,MIN($G30:$J30)*$F30),0)</f>
        <v>3911</v>
      </c>
      <c r="AM30" s="84" t="n">
        <f aca="false">IF($S30&gt;=2,$R30+ROW()/1000000,"")</f>
        <v>564.92003</v>
      </c>
      <c r="AN30" s="83" t="n">
        <f aca="false">IF($S30&gt;=2,MAX(G30:J30),"")</f>
        <v>3911</v>
      </c>
      <c r="AO30" s="82" t="str">
        <f aca="false">IF($S30&gt;=2,INDEX($G$6:$J$6,MATCH(MAX(G30:J30),G30:J30,0)),"")</f>
        <v>Scholzen</v>
      </c>
      <c r="AP30" s="83" t="n">
        <f aca="false">IF($S30&gt;=2,MIN(G30:J30)*$F30,0)</f>
        <v>3346.08</v>
      </c>
      <c r="AQ30" s="82" t="str">
        <f aca="false">IF($S30&gt;=2,INDEX($G$6:$J$6,MATCH(MIN(G30:J30),G30:J30,0)),"")</f>
        <v>Ferguson</v>
      </c>
    </row>
    <row r="31" customFormat="false" ht="15" hidden="false" customHeight="true" outlineLevel="0" collapsed="false">
      <c r="A31" s="70" t="s">
        <v>187</v>
      </c>
      <c r="B31" s="71" t="s">
        <v>130</v>
      </c>
      <c r="C31" s="72" t="s">
        <v>183</v>
      </c>
      <c r="D31" s="73" t="s">
        <v>188</v>
      </c>
      <c r="E31" s="74" t="s">
        <v>133</v>
      </c>
      <c r="F31" s="75" t="n">
        <v>1</v>
      </c>
      <c r="G31" s="85" t="s">
        <v>138</v>
      </c>
      <c r="H31" s="85" t="s">
        <v>138</v>
      </c>
      <c r="I31" s="76" t="n">
        <f aca="false">IF(COUNTIF('Quote Lines'!$P$3:$P$805,$A31&amp;"|"&amp;I$6&amp;"|1")=0,"—",SUMIFS('Quote Lines'!$O$3:$O$805,'Quote Lines'!$P$3:$P$805,$A31&amp;"|"&amp;I$6&amp;"|1")/SUMIFS('Quote Lines'!$L$3:$L$805,'Quote Lines'!$P$3:$P$805,$A31&amp;"|"&amp;I$6&amp;"|1"))</f>
        <v>3696.36</v>
      </c>
      <c r="J31" s="85" t="s">
        <v>138</v>
      </c>
      <c r="K31" s="14" t="str">
        <f aca="false">IF(ISNUMBER(G31),G31*$F31,"—")</f>
        <v>—</v>
      </c>
      <c r="L31" s="14" t="str">
        <f aca="false">IF(ISNUMBER(H31),H31*$F31,"—")</f>
        <v>—</v>
      </c>
      <c r="M31" s="14" t="n">
        <f aca="false">IF(ISNUMBER(I31),I31*$F31,"—")</f>
        <v>3696.36</v>
      </c>
      <c r="N31" s="14" t="str">
        <f aca="false">IF(ISNUMBER(J31),J31*$F31,"—")</f>
        <v>—</v>
      </c>
      <c r="O31" s="77" t="n">
        <f aca="false">IF($S31=0,"—",MIN(G31:J31))</f>
        <v>3696.36</v>
      </c>
      <c r="P31" s="42" t="str">
        <f aca="false">IF($S31=0,"—",IF(COUNTIF(G31:J31,O31)&gt;1,"Tie",INDEX($G$6:$J$6,MATCH(O31,G31:J31,0))))</f>
        <v>Mountainland</v>
      </c>
      <c r="Q31" s="48" t="str">
        <f aca="false">IF($S31&gt;=2,MAX(G31:J31)/MIN(G31:J31)-1,"—")</f>
        <v>—</v>
      </c>
      <c r="R31" s="78" t="str">
        <f aca="false">IF($S31&gt;=2,(MAX(G31:J31)-MIN(G31:J31))*$F31,"—")</f>
        <v>—</v>
      </c>
      <c r="S31" s="18" t="n">
        <f aca="false">COUNT(G31:J31)</f>
        <v>1</v>
      </c>
      <c r="T31" s="79" t="str">
        <f aca="false">IF($S31&lt;=1,IF($S31=1,"Single quote","—"),"Like-for-like")</f>
        <v>Single quote</v>
      </c>
      <c r="U31" s="79" t="str">
        <f aca="false">IF(COUNT(W31:Z31)&lt;2,"",IF(MAX(W31:Z31)=MIN(W31:Z31),"OK","Qty differs"))</f>
        <v/>
      </c>
      <c r="V31" s="80"/>
      <c r="W31" s="81"/>
      <c r="X31" s="81"/>
      <c r="Y31" s="81" t="n">
        <f aca="false">IF(COUNTIFS('Quote Lines'!$P$3:$P$805,$A31&amp;"|"&amp;I$6&amp;"|1",'Quote Lines'!$M$3:$M$805,"Y")=0,"",SUMIFS('Quote Lines'!$L$3:$L$805,'Quote Lines'!$P$3:$P$805,$A31&amp;"|"&amp;I$6&amp;"|1",'Quote Lines'!$M$3:$M$805,"Y"))</f>
        <v>1</v>
      </c>
      <c r="Z31" s="81"/>
      <c r="AA31" s="82" t="str">
        <f aca="false">IF(ISNUMBER(G31),1+SUMPRODUCT(ISNUMBER($G31:$J31)*($G31:$J31&lt;G31)),"")</f>
        <v/>
      </c>
      <c r="AB31" s="82" t="str">
        <f aca="false">IF(ISNUMBER(H31),1+SUMPRODUCT(ISNUMBER($G31:$J31)*($G31:$J31&lt;H31)),"")</f>
        <v/>
      </c>
      <c r="AC31" s="82" t="n">
        <f aca="false">IF(ISNUMBER(I31),1+SUMPRODUCT(ISNUMBER($G31:$J31)*($G31:$J31&lt;I31)),"")</f>
        <v>1</v>
      </c>
      <c r="AD31" s="82" t="str">
        <f aca="false">IF(ISNUMBER(J31),1+SUMPRODUCT(ISNUMBER($G31:$J31)*($G31:$J31&lt;J31)),"")</f>
        <v/>
      </c>
      <c r="AE31" s="82" t="n">
        <f aca="false">IF(NOT(ISNUMBER(G31)),0,IF($S31&lt;2,5,IF(AA31=1,1,IF(G31=MAX($G31:$J31),4,IF(AA31=2,2,3)))))</f>
        <v>0</v>
      </c>
      <c r="AF31" s="82" t="n">
        <f aca="false">IF(NOT(ISNUMBER(H31)),0,IF($S31&lt;2,5,IF(AB31=1,1,IF(H31=MAX($G31:$J31),4,IF(AB31=2,2,3)))))</f>
        <v>0</v>
      </c>
      <c r="AG31" s="82" t="n">
        <f aca="false">IF(NOT(ISNUMBER(I31)),0,IF($S31&lt;2,5,IF(AC31=1,1,IF(I31=MAX($G31:$J31),4,IF(AC31=2,2,3)))))</f>
        <v>5</v>
      </c>
      <c r="AH31" s="82" t="n">
        <f aca="false">IF(NOT(ISNUMBER(J31)),0,IF($S31&lt;2,5,IF(AD31=1,1,IF(J31=MAX($G31:$J31),4,IF(AD31=2,2,3)))))</f>
        <v>0</v>
      </c>
      <c r="AI31" s="83" t="n">
        <f aca="false">IF($S31&gt;=2,IF(ISNUMBER(G31),G31*$F31,MIN($G31:$J31)*$F31),0)</f>
        <v>0</v>
      </c>
      <c r="AJ31" s="83" t="n">
        <f aca="false">IF($S31&gt;=2,IF(ISNUMBER(H31),H31*$F31,MIN($G31:$J31)*$F31),0)</f>
        <v>0</v>
      </c>
      <c r="AK31" s="83" t="n">
        <f aca="false">IF($S31&gt;=2,IF(ISNUMBER(I31),I31*$F31,MIN($G31:$J31)*$F31),0)</f>
        <v>0</v>
      </c>
      <c r="AL31" s="83" t="n">
        <f aca="false">IF($S31&gt;=2,IF(ISNUMBER(J31),J31*$F31,MIN($G31:$J31)*$F31),0)</f>
        <v>0</v>
      </c>
      <c r="AM31" s="84" t="str">
        <f aca="false">IF($S31&gt;=2,$R31+ROW()/1000000,"")</f>
        <v/>
      </c>
      <c r="AN31" s="83" t="str">
        <f aca="false">IF($S31&gt;=2,MAX(G31:J31),"")</f>
        <v/>
      </c>
      <c r="AO31" s="82" t="str">
        <f aca="false">IF($S31&gt;=2,INDEX($G$6:$J$6,MATCH(MAX(G31:J31),G31:J31,0)),"")</f>
        <v/>
      </c>
      <c r="AP31" s="83" t="n">
        <f aca="false">IF($S31&gt;=2,MIN(G31:J31)*$F31,0)</f>
        <v>0</v>
      </c>
      <c r="AQ31" s="82" t="str">
        <f aca="false">IF($S31&gt;=2,INDEX($G$6:$J$6,MATCH(MIN(G31:J31),G31:J31,0)),"")</f>
        <v/>
      </c>
    </row>
    <row r="32" customFormat="false" ht="15" hidden="false" customHeight="true" outlineLevel="0" collapsed="false">
      <c r="A32" s="70" t="s">
        <v>189</v>
      </c>
      <c r="B32" s="71" t="s">
        <v>130</v>
      </c>
      <c r="C32" s="72" t="s">
        <v>183</v>
      </c>
      <c r="D32" s="73" t="s">
        <v>190</v>
      </c>
      <c r="E32" s="74" t="s">
        <v>133</v>
      </c>
      <c r="F32" s="75" t="n">
        <v>1</v>
      </c>
      <c r="G32" s="85" t="s">
        <v>138</v>
      </c>
      <c r="H32" s="76" t="n">
        <f aca="false">IF(COUNTIF('Quote Lines'!$P$3:$P$805,$A32&amp;"|"&amp;H$6&amp;"|1")=0,"—",SUMIFS('Quote Lines'!$O$3:$O$805,'Quote Lines'!$P$3:$P$805,$A32&amp;"|"&amp;H$6&amp;"|1")/SUMIFS('Quote Lines'!$L$3:$L$805,'Quote Lines'!$P$3:$P$805,$A32&amp;"|"&amp;H$6&amp;"|1"))</f>
        <v>4005.49</v>
      </c>
      <c r="I32" s="85" t="s">
        <v>138</v>
      </c>
      <c r="J32" s="76" t="n">
        <f aca="false">IF(COUNTIF('Quote Lines'!$P$3:$P$805,$A32&amp;"|"&amp;J$6&amp;"|1")=0,"—",SUMIFS('Quote Lines'!$O$3:$O$805,'Quote Lines'!$P$3:$P$805,$A32&amp;"|"&amp;J$6&amp;"|1")/SUMIFS('Quote Lines'!$L$3:$L$805,'Quote Lines'!$P$3:$P$805,$A32&amp;"|"&amp;J$6&amp;"|1"))</f>
        <v>4848</v>
      </c>
      <c r="K32" s="14" t="str">
        <f aca="false">IF(ISNUMBER(G32),G32*$F32,"—")</f>
        <v>—</v>
      </c>
      <c r="L32" s="14" t="n">
        <f aca="false">IF(ISNUMBER(H32),H32*$F32,"—")</f>
        <v>4005.49</v>
      </c>
      <c r="M32" s="14" t="str">
        <f aca="false">IF(ISNUMBER(I32),I32*$F32,"—")</f>
        <v>—</v>
      </c>
      <c r="N32" s="14" t="n">
        <f aca="false">IF(ISNUMBER(J32),J32*$F32,"—")</f>
        <v>4848</v>
      </c>
      <c r="O32" s="77" t="n">
        <f aca="false">IF($S32=0,"—",MIN(G32:J32))</f>
        <v>4005.49</v>
      </c>
      <c r="P32" s="42" t="str">
        <f aca="false">IF($S32=0,"—",IF(COUNTIF(G32:J32,O32)&gt;1,"Tie",INDEX($G$6:$J$6,MATCH(O32,G32:J32,0))))</f>
        <v>HD Fowler</v>
      </c>
      <c r="Q32" s="48" t="n">
        <f aca="false">IF($S32&gt;=2,MAX(G32:J32)/MIN(G32:J32)-1,"—")</f>
        <v>0.210338809983298</v>
      </c>
      <c r="R32" s="78" t="n">
        <f aca="false">IF($S32&gt;=2,(MAX(G32:J32)-MIN(G32:J32))*$F32,"—")</f>
        <v>842.51</v>
      </c>
      <c r="S32" s="18" t="n">
        <f aca="false">COUNT(G32:J32)</f>
        <v>2</v>
      </c>
      <c r="T32" s="79" t="str">
        <f aca="false">IF($S32&lt;=1,IF($S32=1,"Single quote","—"),"Like-for-like")</f>
        <v>Like-for-like</v>
      </c>
      <c r="U32" s="79" t="str">
        <f aca="false">IF(COUNT(W32:Z32)&lt;2,"",IF(MAX(W32:Z32)=MIN(W32:Z32),"OK","Qty differs"))</f>
        <v>OK</v>
      </c>
      <c r="V32" s="80"/>
      <c r="W32" s="81"/>
      <c r="X32" s="81" t="n">
        <f aca="false">IF(COUNTIFS('Quote Lines'!$P$3:$P$805,$A32&amp;"|"&amp;H$6&amp;"|1",'Quote Lines'!$M$3:$M$805,"Y")=0,"",SUMIFS('Quote Lines'!$L$3:$L$805,'Quote Lines'!$P$3:$P$805,$A32&amp;"|"&amp;H$6&amp;"|1",'Quote Lines'!$M$3:$M$805,"Y"))</f>
        <v>1</v>
      </c>
      <c r="Y32" s="81"/>
      <c r="Z32" s="81" t="n">
        <f aca="false">IF(COUNTIFS('Quote Lines'!$P$3:$P$805,$A32&amp;"|"&amp;J$6&amp;"|1",'Quote Lines'!$M$3:$M$805,"Y")=0,"",SUMIFS('Quote Lines'!$L$3:$L$805,'Quote Lines'!$P$3:$P$805,$A32&amp;"|"&amp;J$6&amp;"|1",'Quote Lines'!$M$3:$M$805,"Y"))</f>
        <v>1</v>
      </c>
      <c r="AA32" s="82" t="str">
        <f aca="false">IF(ISNUMBER(G32),1+SUMPRODUCT(ISNUMBER($G32:$J32)*($G32:$J32&lt;G32)),"")</f>
        <v/>
      </c>
      <c r="AB32" s="82" t="n">
        <f aca="false">IF(ISNUMBER(H32),1+SUMPRODUCT(ISNUMBER($G32:$J32)*($G32:$J32&lt;H32)),"")</f>
        <v>1</v>
      </c>
      <c r="AC32" s="82" t="str">
        <f aca="false">IF(ISNUMBER(I32),1+SUMPRODUCT(ISNUMBER($G32:$J32)*($G32:$J32&lt;I32)),"")</f>
        <v/>
      </c>
      <c r="AD32" s="82" t="n">
        <f aca="false">IF(ISNUMBER(J32),1+SUMPRODUCT(ISNUMBER($G32:$J32)*($G32:$J32&lt;J32)),"")</f>
        <v>2</v>
      </c>
      <c r="AE32" s="82" t="n">
        <f aca="false">IF(NOT(ISNUMBER(G32)),0,IF($S32&lt;2,5,IF(AA32=1,1,IF(G32=MAX($G32:$J32),4,IF(AA32=2,2,3)))))</f>
        <v>0</v>
      </c>
      <c r="AF32" s="82" t="n">
        <f aca="false">IF(NOT(ISNUMBER(H32)),0,IF($S32&lt;2,5,IF(AB32=1,1,IF(H32=MAX($G32:$J32),4,IF(AB32=2,2,3)))))</f>
        <v>1</v>
      </c>
      <c r="AG32" s="82" t="n">
        <f aca="false">IF(NOT(ISNUMBER(I32)),0,IF($S32&lt;2,5,IF(AC32=1,1,IF(I32=MAX($G32:$J32),4,IF(AC32=2,2,3)))))</f>
        <v>0</v>
      </c>
      <c r="AH32" s="82" t="n">
        <f aca="false">IF(NOT(ISNUMBER(J32)),0,IF($S32&lt;2,5,IF(AD32=1,1,IF(J32=MAX($G32:$J32),4,IF(AD32=2,2,3)))))</f>
        <v>4</v>
      </c>
      <c r="AI32" s="83" t="n">
        <f aca="false">IF($S32&gt;=2,IF(ISNUMBER(G32),G32*$F32,MIN($G32:$J32)*$F32),0)</f>
        <v>4005.49</v>
      </c>
      <c r="AJ32" s="83" t="n">
        <f aca="false">IF($S32&gt;=2,IF(ISNUMBER(H32),H32*$F32,MIN($G32:$J32)*$F32),0)</f>
        <v>4005.49</v>
      </c>
      <c r="AK32" s="83" t="n">
        <f aca="false">IF($S32&gt;=2,IF(ISNUMBER(I32),I32*$F32,MIN($G32:$J32)*$F32),0)</f>
        <v>4005.49</v>
      </c>
      <c r="AL32" s="83" t="n">
        <f aca="false">IF($S32&gt;=2,IF(ISNUMBER(J32),J32*$F32,MIN($G32:$J32)*$F32),0)</f>
        <v>4848</v>
      </c>
      <c r="AM32" s="84" t="n">
        <f aca="false">IF($S32&gt;=2,$R32+ROW()/1000000,"")</f>
        <v>842.510032</v>
      </c>
      <c r="AN32" s="83" t="n">
        <f aca="false">IF($S32&gt;=2,MAX(G32:J32),"")</f>
        <v>4848</v>
      </c>
      <c r="AO32" s="82" t="str">
        <f aca="false">IF($S32&gt;=2,INDEX($G$6:$J$6,MATCH(MAX(G32:J32),G32:J32,0)),"")</f>
        <v>Scholzen</v>
      </c>
      <c r="AP32" s="83" t="n">
        <f aca="false">IF($S32&gt;=2,MIN(G32:J32)*$F32,0)</f>
        <v>4005.49</v>
      </c>
      <c r="AQ32" s="82" t="str">
        <f aca="false">IF($S32&gt;=2,INDEX($G$6:$J$6,MATCH(MIN(G32:J32),G32:J32,0)),"")</f>
        <v>HD Fowler</v>
      </c>
    </row>
    <row r="33" customFormat="false" ht="15" hidden="false" customHeight="true" outlineLevel="0" collapsed="false">
      <c r="A33" s="70" t="s">
        <v>191</v>
      </c>
      <c r="B33" s="71" t="s">
        <v>130</v>
      </c>
      <c r="C33" s="72" t="s">
        <v>183</v>
      </c>
      <c r="D33" s="73" t="s">
        <v>192</v>
      </c>
      <c r="E33" s="74" t="s">
        <v>133</v>
      </c>
      <c r="F33" s="75" t="n">
        <v>1</v>
      </c>
      <c r="G33" s="85" t="s">
        <v>138</v>
      </c>
      <c r="H33" s="85" t="s">
        <v>138</v>
      </c>
      <c r="I33" s="76" t="n">
        <f aca="false">IF(COUNTIF('Quote Lines'!$P$3:$P$805,$A33&amp;"|"&amp;I$6&amp;"|1")=0,"—",SUMIFS('Quote Lines'!$O$3:$O$805,'Quote Lines'!$P$3:$P$805,$A33&amp;"|"&amp;I$6&amp;"|1")/SUMIFS('Quote Lines'!$L$3:$L$805,'Quote Lines'!$P$3:$P$805,$A33&amp;"|"&amp;I$6&amp;"|1"))</f>
        <v>3214.93</v>
      </c>
      <c r="J33" s="85" t="s">
        <v>138</v>
      </c>
      <c r="K33" s="14" t="str">
        <f aca="false">IF(ISNUMBER(G33),G33*$F33,"—")</f>
        <v>—</v>
      </c>
      <c r="L33" s="14" t="str">
        <f aca="false">IF(ISNUMBER(H33),H33*$F33,"—")</f>
        <v>—</v>
      </c>
      <c r="M33" s="14" t="n">
        <f aca="false">IF(ISNUMBER(I33),I33*$F33,"—")</f>
        <v>3214.93</v>
      </c>
      <c r="N33" s="14" t="str">
        <f aca="false">IF(ISNUMBER(J33),J33*$F33,"—")</f>
        <v>—</v>
      </c>
      <c r="O33" s="77" t="n">
        <f aca="false">IF($S33=0,"—",MIN(G33:J33))</f>
        <v>3214.93</v>
      </c>
      <c r="P33" s="42" t="str">
        <f aca="false">IF($S33=0,"—",IF(COUNTIF(G33:J33,O33)&gt;1,"Tie",INDEX($G$6:$J$6,MATCH(O33,G33:J33,0))))</f>
        <v>Mountainland</v>
      </c>
      <c r="Q33" s="48" t="str">
        <f aca="false">IF($S33&gt;=2,MAX(G33:J33)/MIN(G33:J33)-1,"—")</f>
        <v>—</v>
      </c>
      <c r="R33" s="78" t="str">
        <f aca="false">IF($S33&gt;=2,(MAX(G33:J33)-MIN(G33:J33))*$F33,"—")</f>
        <v>—</v>
      </c>
      <c r="S33" s="18" t="n">
        <f aca="false">COUNT(G33:J33)</f>
        <v>1</v>
      </c>
      <c r="T33" s="79" t="str">
        <f aca="false">IF($S33&lt;=1,IF($S33=1,"Single quote","—"),"Like-for-like")</f>
        <v>Single quote</v>
      </c>
      <c r="U33" s="79" t="str">
        <f aca="false">IF(COUNT(W33:Z33)&lt;2,"",IF(MAX(W33:Z33)=MIN(W33:Z33),"OK","Qty differs"))</f>
        <v/>
      </c>
      <c r="V33" s="80"/>
      <c r="W33" s="81"/>
      <c r="X33" s="81"/>
      <c r="Y33" s="81" t="n">
        <f aca="false">IF(COUNTIFS('Quote Lines'!$P$3:$P$805,$A33&amp;"|"&amp;I$6&amp;"|1",'Quote Lines'!$M$3:$M$805,"Y")=0,"",SUMIFS('Quote Lines'!$L$3:$L$805,'Quote Lines'!$P$3:$P$805,$A33&amp;"|"&amp;I$6&amp;"|1",'Quote Lines'!$M$3:$M$805,"Y"))</f>
        <v>1</v>
      </c>
      <c r="Z33" s="81"/>
      <c r="AA33" s="82" t="str">
        <f aca="false">IF(ISNUMBER(G33),1+SUMPRODUCT(ISNUMBER($G33:$J33)*($G33:$J33&lt;G33)),"")</f>
        <v/>
      </c>
      <c r="AB33" s="82" t="str">
        <f aca="false">IF(ISNUMBER(H33),1+SUMPRODUCT(ISNUMBER($G33:$J33)*($G33:$J33&lt;H33)),"")</f>
        <v/>
      </c>
      <c r="AC33" s="82" t="n">
        <f aca="false">IF(ISNUMBER(I33),1+SUMPRODUCT(ISNUMBER($G33:$J33)*($G33:$J33&lt;I33)),"")</f>
        <v>1</v>
      </c>
      <c r="AD33" s="82" t="str">
        <f aca="false">IF(ISNUMBER(J33),1+SUMPRODUCT(ISNUMBER($G33:$J33)*($G33:$J33&lt;J33)),"")</f>
        <v/>
      </c>
      <c r="AE33" s="82" t="n">
        <f aca="false">IF(NOT(ISNUMBER(G33)),0,IF($S33&lt;2,5,IF(AA33=1,1,IF(G33=MAX($G33:$J33),4,IF(AA33=2,2,3)))))</f>
        <v>0</v>
      </c>
      <c r="AF33" s="82" t="n">
        <f aca="false">IF(NOT(ISNUMBER(H33)),0,IF($S33&lt;2,5,IF(AB33=1,1,IF(H33=MAX($G33:$J33),4,IF(AB33=2,2,3)))))</f>
        <v>0</v>
      </c>
      <c r="AG33" s="82" t="n">
        <f aca="false">IF(NOT(ISNUMBER(I33)),0,IF($S33&lt;2,5,IF(AC33=1,1,IF(I33=MAX($G33:$J33),4,IF(AC33=2,2,3)))))</f>
        <v>5</v>
      </c>
      <c r="AH33" s="82" t="n">
        <f aca="false">IF(NOT(ISNUMBER(J33)),0,IF($S33&lt;2,5,IF(AD33=1,1,IF(J33=MAX($G33:$J33),4,IF(AD33=2,2,3)))))</f>
        <v>0</v>
      </c>
      <c r="AI33" s="83" t="n">
        <f aca="false">IF($S33&gt;=2,IF(ISNUMBER(G33),G33*$F33,MIN($G33:$J33)*$F33),0)</f>
        <v>0</v>
      </c>
      <c r="AJ33" s="83" t="n">
        <f aca="false">IF($S33&gt;=2,IF(ISNUMBER(H33),H33*$F33,MIN($G33:$J33)*$F33),0)</f>
        <v>0</v>
      </c>
      <c r="AK33" s="83" t="n">
        <f aca="false">IF($S33&gt;=2,IF(ISNUMBER(I33),I33*$F33,MIN($G33:$J33)*$F33),0)</f>
        <v>0</v>
      </c>
      <c r="AL33" s="83" t="n">
        <f aca="false">IF($S33&gt;=2,IF(ISNUMBER(J33),J33*$F33,MIN($G33:$J33)*$F33),0)</f>
        <v>0</v>
      </c>
      <c r="AM33" s="84" t="str">
        <f aca="false">IF($S33&gt;=2,$R33+ROW()/1000000,"")</f>
        <v/>
      </c>
      <c r="AN33" s="83" t="str">
        <f aca="false">IF($S33&gt;=2,MAX(G33:J33),"")</f>
        <v/>
      </c>
      <c r="AO33" s="82" t="str">
        <f aca="false">IF($S33&gt;=2,INDEX($G$6:$J$6,MATCH(MAX(G33:J33),G33:J33,0)),"")</f>
        <v/>
      </c>
      <c r="AP33" s="83" t="n">
        <f aca="false">IF($S33&gt;=2,MIN(G33:J33)*$F33,0)</f>
        <v>0</v>
      </c>
      <c r="AQ33" s="82" t="str">
        <f aca="false">IF($S33&gt;=2,INDEX($G$6:$J$6,MATCH(MIN(G33:J33),G33:J33,0)),"")</f>
        <v/>
      </c>
    </row>
    <row r="34" customFormat="false" ht="15" hidden="false" customHeight="true" outlineLevel="0" collapsed="false">
      <c r="A34" s="70" t="s">
        <v>193</v>
      </c>
      <c r="B34" s="71" t="s">
        <v>130</v>
      </c>
      <c r="C34" s="72" t="s">
        <v>183</v>
      </c>
      <c r="D34" s="73" t="s">
        <v>194</v>
      </c>
      <c r="E34" s="74" t="s">
        <v>133</v>
      </c>
      <c r="F34" s="75" t="n">
        <v>2</v>
      </c>
      <c r="G34" s="85" t="s">
        <v>138</v>
      </c>
      <c r="H34" s="76" t="n">
        <f aca="false">IF(COUNTIF('Quote Lines'!$P$3:$P$805,$A34&amp;"|"&amp;H$6&amp;"|1")=0,"—",SUMIFS('Quote Lines'!$O$3:$O$805,'Quote Lines'!$P$3:$P$805,$A34&amp;"|"&amp;H$6&amp;"|1")/SUMIFS('Quote Lines'!$L$3:$L$805,'Quote Lines'!$P$3:$P$805,$A34&amp;"|"&amp;H$6&amp;"|1"))</f>
        <v>2341.76</v>
      </c>
      <c r="I34" s="76" t="n">
        <f aca="false">IF(COUNTIF('Quote Lines'!$P$3:$P$805,$A34&amp;"|"&amp;I$6&amp;"|1")=0,"—",SUMIFS('Quote Lines'!$O$3:$O$805,'Quote Lines'!$P$3:$P$805,$A34&amp;"|"&amp;I$6&amp;"|1")/SUMIFS('Quote Lines'!$L$3:$L$805,'Quote Lines'!$P$3:$P$805,$A34&amp;"|"&amp;I$6&amp;"|1"))</f>
        <v>2908.55</v>
      </c>
      <c r="J34" s="85" t="s">
        <v>138</v>
      </c>
      <c r="K34" s="14" t="str">
        <f aca="false">IF(ISNUMBER(G34),G34*$F34,"—")</f>
        <v>—</v>
      </c>
      <c r="L34" s="14" t="n">
        <f aca="false">IF(ISNUMBER(H34),H34*$F34,"—")</f>
        <v>4683.52</v>
      </c>
      <c r="M34" s="14" t="n">
        <f aca="false">IF(ISNUMBER(I34),I34*$F34,"—")</f>
        <v>5817.1</v>
      </c>
      <c r="N34" s="14" t="str">
        <f aca="false">IF(ISNUMBER(J34),J34*$F34,"—")</f>
        <v>—</v>
      </c>
      <c r="O34" s="77" t="n">
        <f aca="false">IF($S34=0,"—",MIN(G34:J34))</f>
        <v>2341.76</v>
      </c>
      <c r="P34" s="42" t="str">
        <f aca="false">IF($S34=0,"—",IF(COUNTIF(G34:J34,O34)&gt;1,"Tie",INDEX($G$6:$J$6,MATCH(O34,G34:J34,0))))</f>
        <v>HD Fowler</v>
      </c>
      <c r="Q34" s="48" t="n">
        <f aca="false">IF($S34&gt;=2,MAX(G34:J34)/MIN(G34:J34)-1,"—")</f>
        <v>0.242035904618748</v>
      </c>
      <c r="R34" s="78" t="n">
        <f aca="false">IF($S34&gt;=2,(MAX(G34:J34)-MIN(G34:J34))*$F34,"—")</f>
        <v>1133.58</v>
      </c>
      <c r="S34" s="18" t="n">
        <f aca="false">COUNT(G34:J34)</f>
        <v>2</v>
      </c>
      <c r="T34" s="79" t="str">
        <f aca="false">IF($S34&lt;=1,IF($S34=1,"Single quote","—"),"Like-for-like")</f>
        <v>Like-for-like</v>
      </c>
      <c r="U34" s="79" t="str">
        <f aca="false">IF(COUNT(W34:Z34)&lt;2,"",IF(MAX(W34:Z34)=MIN(W34:Z34),"OK","Qty differs"))</f>
        <v>Qty differs</v>
      </c>
      <c r="V34" s="80"/>
      <c r="W34" s="81"/>
      <c r="X34" s="81" t="n">
        <f aca="false">IF(COUNTIFS('Quote Lines'!$P$3:$P$805,$A34&amp;"|"&amp;H$6&amp;"|1",'Quote Lines'!$M$3:$M$805,"Y")=0,"",SUMIFS('Quote Lines'!$L$3:$L$805,'Quote Lines'!$P$3:$P$805,$A34&amp;"|"&amp;H$6&amp;"|1",'Quote Lines'!$M$3:$M$805,"Y"))</f>
        <v>2</v>
      </c>
      <c r="Y34" s="81" t="n">
        <f aca="false">IF(COUNTIFS('Quote Lines'!$P$3:$P$805,$A34&amp;"|"&amp;I$6&amp;"|1",'Quote Lines'!$M$3:$M$805,"Y")=0,"",SUMIFS('Quote Lines'!$L$3:$L$805,'Quote Lines'!$P$3:$P$805,$A34&amp;"|"&amp;I$6&amp;"|1",'Quote Lines'!$M$3:$M$805,"Y"))</f>
        <v>1</v>
      </c>
      <c r="Z34" s="81"/>
      <c r="AA34" s="82" t="str">
        <f aca="false">IF(ISNUMBER(G34),1+SUMPRODUCT(ISNUMBER($G34:$J34)*($G34:$J34&lt;G34)),"")</f>
        <v/>
      </c>
      <c r="AB34" s="82" t="n">
        <f aca="false">IF(ISNUMBER(H34),1+SUMPRODUCT(ISNUMBER($G34:$J34)*($G34:$J34&lt;H34)),"")</f>
        <v>1</v>
      </c>
      <c r="AC34" s="82" t="n">
        <f aca="false">IF(ISNUMBER(I34),1+SUMPRODUCT(ISNUMBER($G34:$J34)*($G34:$J34&lt;I34)),"")</f>
        <v>2</v>
      </c>
      <c r="AD34" s="82" t="str">
        <f aca="false">IF(ISNUMBER(J34),1+SUMPRODUCT(ISNUMBER($G34:$J34)*($G34:$J34&lt;J34)),"")</f>
        <v/>
      </c>
      <c r="AE34" s="82" t="n">
        <f aca="false">IF(NOT(ISNUMBER(G34)),0,IF($S34&lt;2,5,IF(AA34=1,1,IF(G34=MAX($G34:$J34),4,IF(AA34=2,2,3)))))</f>
        <v>0</v>
      </c>
      <c r="AF34" s="82" t="n">
        <f aca="false">IF(NOT(ISNUMBER(H34)),0,IF($S34&lt;2,5,IF(AB34=1,1,IF(H34=MAX($G34:$J34),4,IF(AB34=2,2,3)))))</f>
        <v>1</v>
      </c>
      <c r="AG34" s="82" t="n">
        <f aca="false">IF(NOT(ISNUMBER(I34)),0,IF($S34&lt;2,5,IF(AC34=1,1,IF(I34=MAX($G34:$J34),4,IF(AC34=2,2,3)))))</f>
        <v>4</v>
      </c>
      <c r="AH34" s="82" t="n">
        <f aca="false">IF(NOT(ISNUMBER(J34)),0,IF($S34&lt;2,5,IF(AD34=1,1,IF(J34=MAX($G34:$J34),4,IF(AD34=2,2,3)))))</f>
        <v>0</v>
      </c>
      <c r="AI34" s="83" t="n">
        <f aca="false">IF($S34&gt;=2,IF(ISNUMBER(G34),G34*$F34,MIN($G34:$J34)*$F34),0)</f>
        <v>4683.52</v>
      </c>
      <c r="AJ34" s="83" t="n">
        <f aca="false">IF($S34&gt;=2,IF(ISNUMBER(H34),H34*$F34,MIN($G34:$J34)*$F34),0)</f>
        <v>4683.52</v>
      </c>
      <c r="AK34" s="83" t="n">
        <f aca="false">IF($S34&gt;=2,IF(ISNUMBER(I34),I34*$F34,MIN($G34:$J34)*$F34),0)</f>
        <v>5817.1</v>
      </c>
      <c r="AL34" s="83" t="n">
        <f aca="false">IF($S34&gt;=2,IF(ISNUMBER(J34),J34*$F34,MIN($G34:$J34)*$F34),0)</f>
        <v>4683.52</v>
      </c>
      <c r="AM34" s="84" t="n">
        <f aca="false">IF($S34&gt;=2,$R34+ROW()/1000000,"")</f>
        <v>1133.580034</v>
      </c>
      <c r="AN34" s="83" t="n">
        <f aca="false">IF($S34&gt;=2,MAX(G34:J34),"")</f>
        <v>2908.55</v>
      </c>
      <c r="AO34" s="82" t="str">
        <f aca="false">IF($S34&gt;=2,INDEX($G$6:$J$6,MATCH(MAX(G34:J34),G34:J34,0)),"")</f>
        <v>Mountainland</v>
      </c>
      <c r="AP34" s="83" t="n">
        <f aca="false">IF($S34&gt;=2,MIN(G34:J34)*$F34,0)</f>
        <v>4683.52</v>
      </c>
      <c r="AQ34" s="82" t="str">
        <f aca="false">IF($S34&gt;=2,INDEX($G$6:$J$6,MATCH(MIN(G34:J34),G34:J34,0)),"")</f>
        <v>HD Fowler</v>
      </c>
    </row>
    <row r="35" customFormat="false" ht="15" hidden="false" customHeight="true" outlineLevel="0" collapsed="false">
      <c r="A35" s="70" t="s">
        <v>195</v>
      </c>
      <c r="B35" s="71" t="s">
        <v>130</v>
      </c>
      <c r="C35" s="72" t="s">
        <v>183</v>
      </c>
      <c r="D35" s="73" t="s">
        <v>196</v>
      </c>
      <c r="E35" s="74" t="s">
        <v>133</v>
      </c>
      <c r="F35" s="75" t="n">
        <v>2</v>
      </c>
      <c r="G35" s="76" t="n">
        <f aca="false">IF(COUNTIF('Quote Lines'!$P$3:$P$805,$A35&amp;"|"&amp;G$6&amp;"|1")=0,"—",SUMIFS('Quote Lines'!$O$3:$O$805,'Quote Lines'!$P$3:$P$805,$A35&amp;"|"&amp;G$6&amp;"|1")/SUMIFS('Quote Lines'!$L$3:$L$805,'Quote Lines'!$P$3:$P$805,$A35&amp;"|"&amp;G$6&amp;"|1"))</f>
        <v>2746.33</v>
      </c>
      <c r="H35" s="85" t="s">
        <v>138</v>
      </c>
      <c r="I35" s="85" t="s">
        <v>138</v>
      </c>
      <c r="J35" s="85" t="s">
        <v>138</v>
      </c>
      <c r="K35" s="14" t="n">
        <f aca="false">IF(ISNUMBER(G35),G35*$F35,"—")</f>
        <v>5492.66</v>
      </c>
      <c r="L35" s="14" t="str">
        <f aca="false">IF(ISNUMBER(H35),H35*$F35,"—")</f>
        <v>—</v>
      </c>
      <c r="M35" s="14" t="str">
        <f aca="false">IF(ISNUMBER(I35),I35*$F35,"—")</f>
        <v>—</v>
      </c>
      <c r="N35" s="14" t="str">
        <f aca="false">IF(ISNUMBER(J35),J35*$F35,"—")</f>
        <v>—</v>
      </c>
      <c r="O35" s="77" t="n">
        <f aca="false">IF($S35=0,"—",MIN(G35:J35))</f>
        <v>2746.33</v>
      </c>
      <c r="P35" s="42" t="str">
        <f aca="false">IF($S35=0,"—",IF(COUNTIF(G35:J35,O35)&gt;1,"Tie",INDEX($G$6:$J$6,MATCH(O35,G35:J35,0))))</f>
        <v>Ferguson</v>
      </c>
      <c r="Q35" s="48" t="str">
        <f aca="false">IF($S35&gt;=2,MAX(G35:J35)/MIN(G35:J35)-1,"—")</f>
        <v>—</v>
      </c>
      <c r="R35" s="78" t="str">
        <f aca="false">IF($S35&gt;=2,(MAX(G35:J35)-MIN(G35:J35))*$F35,"—")</f>
        <v>—</v>
      </c>
      <c r="S35" s="18" t="n">
        <f aca="false">COUNT(G35:J35)</f>
        <v>1</v>
      </c>
      <c r="T35" s="79" t="str">
        <f aca="false">IF($S35&lt;=1,IF($S35=1,"Single quote","—"),"Like-for-like")</f>
        <v>Single quote</v>
      </c>
      <c r="U35" s="79" t="str">
        <f aca="false">IF(COUNT(W35:Z35)&lt;2,"",IF(MAX(W35:Z35)=MIN(W35:Z35),"OK","Qty differs"))</f>
        <v/>
      </c>
      <c r="V35" s="80"/>
      <c r="W35" s="81" t="n">
        <f aca="false">IF(COUNTIFS('Quote Lines'!$P$3:$P$805,$A35&amp;"|"&amp;G$6&amp;"|1",'Quote Lines'!$M$3:$M$805,"Y")=0,"",SUMIFS('Quote Lines'!$L$3:$L$805,'Quote Lines'!$P$3:$P$805,$A35&amp;"|"&amp;G$6&amp;"|1",'Quote Lines'!$M$3:$M$805,"Y"))</f>
        <v>2</v>
      </c>
      <c r="X35" s="81"/>
      <c r="Y35" s="81"/>
      <c r="Z35" s="81"/>
      <c r="AA35" s="82" t="n">
        <f aca="false">IF(ISNUMBER(G35),1+SUMPRODUCT(ISNUMBER($G35:$J35)*($G35:$J35&lt;G35)),"")</f>
        <v>1</v>
      </c>
      <c r="AB35" s="82" t="str">
        <f aca="false">IF(ISNUMBER(H35),1+SUMPRODUCT(ISNUMBER($G35:$J35)*($G35:$J35&lt;H35)),"")</f>
        <v/>
      </c>
      <c r="AC35" s="82" t="str">
        <f aca="false">IF(ISNUMBER(I35),1+SUMPRODUCT(ISNUMBER($G35:$J35)*($G35:$J35&lt;I35)),"")</f>
        <v/>
      </c>
      <c r="AD35" s="82" t="str">
        <f aca="false">IF(ISNUMBER(J35),1+SUMPRODUCT(ISNUMBER($G35:$J35)*($G35:$J35&lt;J35)),"")</f>
        <v/>
      </c>
      <c r="AE35" s="82" t="n">
        <f aca="false">IF(NOT(ISNUMBER(G35)),0,IF($S35&lt;2,5,IF(AA35=1,1,IF(G35=MAX($G35:$J35),4,IF(AA35=2,2,3)))))</f>
        <v>5</v>
      </c>
      <c r="AF35" s="82" t="n">
        <f aca="false">IF(NOT(ISNUMBER(H35)),0,IF($S35&lt;2,5,IF(AB35=1,1,IF(H35=MAX($G35:$J35),4,IF(AB35=2,2,3)))))</f>
        <v>0</v>
      </c>
      <c r="AG35" s="82" t="n">
        <f aca="false">IF(NOT(ISNUMBER(I35)),0,IF($S35&lt;2,5,IF(AC35=1,1,IF(I35=MAX($G35:$J35),4,IF(AC35=2,2,3)))))</f>
        <v>0</v>
      </c>
      <c r="AH35" s="82" t="n">
        <f aca="false">IF(NOT(ISNUMBER(J35)),0,IF($S35&lt;2,5,IF(AD35=1,1,IF(J35=MAX($G35:$J35),4,IF(AD35=2,2,3)))))</f>
        <v>0</v>
      </c>
      <c r="AI35" s="83" t="n">
        <f aca="false">IF($S35&gt;=2,IF(ISNUMBER(G35),G35*$F35,MIN($G35:$J35)*$F35),0)</f>
        <v>0</v>
      </c>
      <c r="AJ35" s="83" t="n">
        <f aca="false">IF($S35&gt;=2,IF(ISNUMBER(H35),H35*$F35,MIN($G35:$J35)*$F35),0)</f>
        <v>0</v>
      </c>
      <c r="AK35" s="83" t="n">
        <f aca="false">IF($S35&gt;=2,IF(ISNUMBER(I35),I35*$F35,MIN($G35:$J35)*$F35),0)</f>
        <v>0</v>
      </c>
      <c r="AL35" s="83" t="n">
        <f aca="false">IF($S35&gt;=2,IF(ISNUMBER(J35),J35*$F35,MIN($G35:$J35)*$F35),0)</f>
        <v>0</v>
      </c>
      <c r="AM35" s="84" t="str">
        <f aca="false">IF($S35&gt;=2,$R35+ROW()/1000000,"")</f>
        <v/>
      </c>
      <c r="AN35" s="83" t="str">
        <f aca="false">IF($S35&gt;=2,MAX(G35:J35),"")</f>
        <v/>
      </c>
      <c r="AO35" s="82" t="str">
        <f aca="false">IF($S35&gt;=2,INDEX($G$6:$J$6,MATCH(MAX(G35:J35),G35:J35,0)),"")</f>
        <v/>
      </c>
      <c r="AP35" s="83" t="n">
        <f aca="false">IF($S35&gt;=2,MIN(G35:J35)*$F35,0)</f>
        <v>0</v>
      </c>
      <c r="AQ35" s="82" t="str">
        <f aca="false">IF($S35&gt;=2,INDEX($G$6:$J$6,MATCH(MIN(G35:J35),G35:J35,0)),"")</f>
        <v/>
      </c>
    </row>
    <row r="36" customFormat="false" ht="15" hidden="false" customHeight="true" outlineLevel="0" collapsed="false">
      <c r="A36" s="70" t="s">
        <v>197</v>
      </c>
      <c r="B36" s="71" t="s">
        <v>130</v>
      </c>
      <c r="C36" s="72" t="s">
        <v>183</v>
      </c>
      <c r="D36" s="73" t="s">
        <v>198</v>
      </c>
      <c r="E36" s="74" t="s">
        <v>133</v>
      </c>
      <c r="F36" s="75" t="n">
        <v>2</v>
      </c>
      <c r="G36" s="76" t="n">
        <f aca="false">IF(COUNTIF('Quote Lines'!$P$3:$P$805,$A36&amp;"|"&amp;G$6&amp;"|1")=0,"—",SUMIFS('Quote Lines'!$O$3:$O$805,'Quote Lines'!$P$3:$P$805,$A36&amp;"|"&amp;G$6&amp;"|1")/SUMIFS('Quote Lines'!$L$3:$L$805,'Quote Lines'!$P$3:$P$805,$A36&amp;"|"&amp;G$6&amp;"|1"))</f>
        <v>1566.1</v>
      </c>
      <c r="H36" s="76" t="n">
        <f aca="false">IF(COUNTIF('Quote Lines'!$P$3:$P$805,$A36&amp;"|"&amp;H$6&amp;"|1")=0,"—",SUMIFS('Quote Lines'!$O$3:$O$805,'Quote Lines'!$P$3:$P$805,$A36&amp;"|"&amp;H$6&amp;"|1")/SUMIFS('Quote Lines'!$L$3:$L$805,'Quote Lines'!$P$3:$P$805,$A36&amp;"|"&amp;H$6&amp;"|1"))</f>
        <v>1162.64</v>
      </c>
      <c r="I36" s="85" t="s">
        <v>138</v>
      </c>
      <c r="J36" s="76" t="n">
        <f aca="false">IF(COUNTIF('Quote Lines'!$P$3:$P$805,$A36&amp;"|"&amp;J$6&amp;"|1")=0,"—",SUMIFS('Quote Lines'!$O$3:$O$805,'Quote Lines'!$P$3:$P$805,$A36&amp;"|"&amp;J$6&amp;"|1")/SUMIFS('Quote Lines'!$L$3:$L$805,'Quote Lines'!$P$3:$P$805,$A36&amp;"|"&amp;J$6&amp;"|1"))</f>
        <v>1412</v>
      </c>
      <c r="K36" s="14" t="n">
        <f aca="false">IF(ISNUMBER(G36),G36*$F36,"—")</f>
        <v>3132.2</v>
      </c>
      <c r="L36" s="14" t="n">
        <f aca="false">IF(ISNUMBER(H36),H36*$F36,"—")</f>
        <v>2325.28</v>
      </c>
      <c r="M36" s="14" t="str">
        <f aca="false">IF(ISNUMBER(I36),I36*$F36,"—")</f>
        <v>—</v>
      </c>
      <c r="N36" s="14" t="n">
        <f aca="false">IF(ISNUMBER(J36),J36*$F36,"—")</f>
        <v>2824</v>
      </c>
      <c r="O36" s="77" t="n">
        <f aca="false">IF($S36=0,"—",MIN(G36:J36))</f>
        <v>1162.64</v>
      </c>
      <c r="P36" s="42" t="str">
        <f aca="false">IF($S36=0,"—",IF(COUNTIF(G36:J36,O36)&gt;1,"Tie",INDEX($G$6:$J$6,MATCH(O36,G36:J36,0))))</f>
        <v>HD Fowler</v>
      </c>
      <c r="Q36" s="48" t="n">
        <f aca="false">IF($S36&gt;=2,MAX(G36:J36)/MIN(G36:J36)-1,"—")</f>
        <v>0.347020573866373</v>
      </c>
      <c r="R36" s="78" t="n">
        <f aca="false">IF($S36&gt;=2,(MAX(G36:J36)-MIN(G36:J36))*$F36,"—")</f>
        <v>806.92</v>
      </c>
      <c r="S36" s="18" t="n">
        <f aca="false">COUNT(G36:J36)</f>
        <v>3</v>
      </c>
      <c r="T36" s="79" t="str">
        <f aca="false">IF($S36&lt;=1,IF($S36=1,"Single quote","—"),"Like-for-like")</f>
        <v>Like-for-like</v>
      </c>
      <c r="U36" s="79" t="str">
        <f aca="false">IF(COUNT(W36:Z36)&lt;2,"",IF(MAX(W36:Z36)=MIN(W36:Z36),"OK","Qty differs"))</f>
        <v>Qty differs</v>
      </c>
      <c r="V36" s="80"/>
      <c r="W36" s="81" t="n">
        <f aca="false">IF(COUNTIFS('Quote Lines'!$P$3:$P$805,$A36&amp;"|"&amp;G$6&amp;"|1",'Quote Lines'!$M$3:$M$805,"Y")=0,"",SUMIFS('Quote Lines'!$L$3:$L$805,'Quote Lines'!$P$3:$P$805,$A36&amp;"|"&amp;G$6&amp;"|1",'Quote Lines'!$M$3:$M$805,"Y"))</f>
        <v>2</v>
      </c>
      <c r="X36" s="81" t="n">
        <f aca="false">IF(COUNTIFS('Quote Lines'!$P$3:$P$805,$A36&amp;"|"&amp;H$6&amp;"|1",'Quote Lines'!$M$3:$M$805,"Y")=0,"",SUMIFS('Quote Lines'!$L$3:$L$805,'Quote Lines'!$P$3:$P$805,$A36&amp;"|"&amp;H$6&amp;"|1",'Quote Lines'!$M$3:$M$805,"Y"))</f>
        <v>2</v>
      </c>
      <c r="Y36" s="81"/>
      <c r="Z36" s="81" t="n">
        <f aca="false">IF(COUNTIFS('Quote Lines'!$P$3:$P$805,$A36&amp;"|"&amp;J$6&amp;"|1",'Quote Lines'!$M$3:$M$805,"Y")=0,"",SUMIFS('Quote Lines'!$L$3:$L$805,'Quote Lines'!$P$3:$P$805,$A36&amp;"|"&amp;J$6&amp;"|1",'Quote Lines'!$M$3:$M$805,"Y"))</f>
        <v>1</v>
      </c>
      <c r="AA36" s="82" t="n">
        <f aca="false">IF(ISNUMBER(G36),1+SUMPRODUCT(ISNUMBER($G36:$J36)*($G36:$J36&lt;G36)),"")</f>
        <v>3</v>
      </c>
      <c r="AB36" s="82" t="n">
        <f aca="false">IF(ISNUMBER(H36),1+SUMPRODUCT(ISNUMBER($G36:$J36)*($G36:$J36&lt;H36)),"")</f>
        <v>1</v>
      </c>
      <c r="AC36" s="82" t="str">
        <f aca="false">IF(ISNUMBER(I36),1+SUMPRODUCT(ISNUMBER($G36:$J36)*($G36:$J36&lt;I36)),"")</f>
        <v/>
      </c>
      <c r="AD36" s="82" t="n">
        <f aca="false">IF(ISNUMBER(J36),1+SUMPRODUCT(ISNUMBER($G36:$J36)*($G36:$J36&lt;J36)),"")</f>
        <v>2</v>
      </c>
      <c r="AE36" s="82" t="n">
        <f aca="false">IF(NOT(ISNUMBER(G36)),0,IF($S36&lt;2,5,IF(AA36=1,1,IF(G36=MAX($G36:$J36),4,IF(AA36=2,2,3)))))</f>
        <v>4</v>
      </c>
      <c r="AF36" s="82" t="n">
        <f aca="false">IF(NOT(ISNUMBER(H36)),0,IF($S36&lt;2,5,IF(AB36=1,1,IF(H36=MAX($G36:$J36),4,IF(AB36=2,2,3)))))</f>
        <v>1</v>
      </c>
      <c r="AG36" s="82" t="n">
        <f aca="false">IF(NOT(ISNUMBER(I36)),0,IF($S36&lt;2,5,IF(AC36=1,1,IF(I36=MAX($G36:$J36),4,IF(AC36=2,2,3)))))</f>
        <v>0</v>
      </c>
      <c r="AH36" s="82" t="n">
        <f aca="false">IF(NOT(ISNUMBER(J36)),0,IF($S36&lt;2,5,IF(AD36=1,1,IF(J36=MAX($G36:$J36),4,IF(AD36=2,2,3)))))</f>
        <v>2</v>
      </c>
      <c r="AI36" s="83" t="n">
        <f aca="false">IF($S36&gt;=2,IF(ISNUMBER(G36),G36*$F36,MIN($G36:$J36)*$F36),0)</f>
        <v>3132.2</v>
      </c>
      <c r="AJ36" s="83" t="n">
        <f aca="false">IF($S36&gt;=2,IF(ISNUMBER(H36),H36*$F36,MIN($G36:$J36)*$F36),0)</f>
        <v>2325.28</v>
      </c>
      <c r="AK36" s="83" t="n">
        <f aca="false">IF($S36&gt;=2,IF(ISNUMBER(I36),I36*$F36,MIN($G36:$J36)*$F36),0)</f>
        <v>2325.28</v>
      </c>
      <c r="AL36" s="83" t="n">
        <f aca="false">IF($S36&gt;=2,IF(ISNUMBER(J36),J36*$F36,MIN($G36:$J36)*$F36),0)</f>
        <v>2824</v>
      </c>
      <c r="AM36" s="84" t="n">
        <f aca="false">IF($S36&gt;=2,$R36+ROW()/1000000,"")</f>
        <v>806.920036</v>
      </c>
      <c r="AN36" s="83" t="n">
        <f aca="false">IF($S36&gt;=2,MAX(G36:J36),"")</f>
        <v>1566.1</v>
      </c>
      <c r="AO36" s="82" t="str">
        <f aca="false">IF($S36&gt;=2,INDEX($G$6:$J$6,MATCH(MAX(G36:J36),G36:J36,0)),"")</f>
        <v>Ferguson</v>
      </c>
      <c r="AP36" s="83" t="n">
        <f aca="false">IF($S36&gt;=2,MIN(G36:J36)*$F36,0)</f>
        <v>2325.28</v>
      </c>
      <c r="AQ36" s="82" t="str">
        <f aca="false">IF($S36&gt;=2,INDEX($G$6:$J$6,MATCH(MIN(G36:J36),G36:J36,0)),"")</f>
        <v>HD Fowler</v>
      </c>
    </row>
    <row r="37" customFormat="false" ht="15" hidden="false" customHeight="true" outlineLevel="0" collapsed="false">
      <c r="A37" s="70" t="s">
        <v>199</v>
      </c>
      <c r="B37" s="71" t="s">
        <v>130</v>
      </c>
      <c r="C37" s="72" t="s">
        <v>183</v>
      </c>
      <c r="D37" s="73" t="s">
        <v>200</v>
      </c>
      <c r="E37" s="74" t="s">
        <v>133</v>
      </c>
      <c r="F37" s="75" t="n">
        <v>2</v>
      </c>
      <c r="G37" s="76" t="n">
        <f aca="false">IF(COUNTIF('Quote Lines'!$P$3:$P$805,$A37&amp;"|"&amp;G$6&amp;"|1")=0,"—",SUMIFS('Quote Lines'!$O$3:$O$805,'Quote Lines'!$P$3:$P$805,$A37&amp;"|"&amp;G$6&amp;"|1")/SUMIFS('Quote Lines'!$L$3:$L$805,'Quote Lines'!$P$3:$P$805,$A37&amp;"|"&amp;G$6&amp;"|1"))</f>
        <v>1007.84</v>
      </c>
      <c r="H37" s="76" t="n">
        <f aca="false">IF(COUNTIF('Quote Lines'!$P$3:$P$805,$A37&amp;"|"&amp;H$6&amp;"|1")=0,"—",SUMIFS('Quote Lines'!$O$3:$O$805,'Quote Lines'!$P$3:$P$805,$A37&amp;"|"&amp;H$6&amp;"|1")/SUMIFS('Quote Lines'!$L$3:$L$805,'Quote Lines'!$P$3:$P$805,$A37&amp;"|"&amp;H$6&amp;"|1"))</f>
        <v>817.58</v>
      </c>
      <c r="I37" s="85" t="s">
        <v>138</v>
      </c>
      <c r="J37" s="85" t="s">
        <v>138</v>
      </c>
      <c r="K37" s="14" t="n">
        <f aca="false">IF(ISNUMBER(G37),G37*$F37,"—")</f>
        <v>2015.68</v>
      </c>
      <c r="L37" s="14" t="n">
        <f aca="false">IF(ISNUMBER(H37),H37*$F37,"—")</f>
        <v>1635.16</v>
      </c>
      <c r="M37" s="14" t="str">
        <f aca="false">IF(ISNUMBER(I37),I37*$F37,"—")</f>
        <v>—</v>
      </c>
      <c r="N37" s="14" t="str">
        <f aca="false">IF(ISNUMBER(J37),J37*$F37,"—")</f>
        <v>—</v>
      </c>
      <c r="O37" s="77" t="n">
        <f aca="false">IF($S37=0,"—",MIN(G37:J37))</f>
        <v>817.58</v>
      </c>
      <c r="P37" s="42" t="str">
        <f aca="false">IF($S37=0,"—",IF(COUNTIF(G37:J37,O37)&gt;1,"Tie",INDEX($G$6:$J$6,MATCH(O37,G37:J37,0))))</f>
        <v>HD Fowler</v>
      </c>
      <c r="Q37" s="48" t="n">
        <f aca="false">IF($S37&gt;=2,MAX(G37:J37)/MIN(G37:J37)-1,"—")</f>
        <v>0.232711171995401</v>
      </c>
      <c r="R37" s="78" t="n">
        <f aca="false">IF($S37&gt;=2,(MAX(G37:J37)-MIN(G37:J37))*$F37,"—")</f>
        <v>380.52</v>
      </c>
      <c r="S37" s="18" t="n">
        <f aca="false">COUNT(G37:J37)</f>
        <v>2</v>
      </c>
      <c r="T37" s="79" t="str">
        <f aca="false">IF($S37&lt;=1,IF($S37=1,"Single quote","—"),"Like-for-like")</f>
        <v>Like-for-like</v>
      </c>
      <c r="U37" s="79" t="str">
        <f aca="false">IF(COUNT(W37:Z37)&lt;2,"",IF(MAX(W37:Z37)=MIN(W37:Z37),"OK","Qty differs"))</f>
        <v>OK</v>
      </c>
      <c r="V37" s="80"/>
      <c r="W37" s="81" t="n">
        <f aca="false">IF(COUNTIFS('Quote Lines'!$P$3:$P$805,$A37&amp;"|"&amp;G$6&amp;"|1",'Quote Lines'!$M$3:$M$805,"Y")=0,"",SUMIFS('Quote Lines'!$L$3:$L$805,'Quote Lines'!$P$3:$P$805,$A37&amp;"|"&amp;G$6&amp;"|1",'Quote Lines'!$M$3:$M$805,"Y"))</f>
        <v>2</v>
      </c>
      <c r="X37" s="81" t="n">
        <f aca="false">IF(COUNTIFS('Quote Lines'!$P$3:$P$805,$A37&amp;"|"&amp;H$6&amp;"|1",'Quote Lines'!$M$3:$M$805,"Y")=0,"",SUMIFS('Quote Lines'!$L$3:$L$805,'Quote Lines'!$P$3:$P$805,$A37&amp;"|"&amp;H$6&amp;"|1",'Quote Lines'!$M$3:$M$805,"Y"))</f>
        <v>2</v>
      </c>
      <c r="Y37" s="81"/>
      <c r="Z37" s="81"/>
      <c r="AA37" s="82" t="n">
        <f aca="false">IF(ISNUMBER(G37),1+SUMPRODUCT(ISNUMBER($G37:$J37)*($G37:$J37&lt;G37)),"")</f>
        <v>2</v>
      </c>
      <c r="AB37" s="82" t="n">
        <f aca="false">IF(ISNUMBER(H37),1+SUMPRODUCT(ISNUMBER($G37:$J37)*($G37:$J37&lt;H37)),"")</f>
        <v>1</v>
      </c>
      <c r="AC37" s="82" t="str">
        <f aca="false">IF(ISNUMBER(I37),1+SUMPRODUCT(ISNUMBER($G37:$J37)*($G37:$J37&lt;I37)),"")</f>
        <v/>
      </c>
      <c r="AD37" s="82" t="str">
        <f aca="false">IF(ISNUMBER(J37),1+SUMPRODUCT(ISNUMBER($G37:$J37)*($G37:$J37&lt;J37)),"")</f>
        <v/>
      </c>
      <c r="AE37" s="82" t="n">
        <f aca="false">IF(NOT(ISNUMBER(G37)),0,IF($S37&lt;2,5,IF(AA37=1,1,IF(G37=MAX($G37:$J37),4,IF(AA37=2,2,3)))))</f>
        <v>4</v>
      </c>
      <c r="AF37" s="82" t="n">
        <f aca="false">IF(NOT(ISNUMBER(H37)),0,IF($S37&lt;2,5,IF(AB37=1,1,IF(H37=MAX($G37:$J37),4,IF(AB37=2,2,3)))))</f>
        <v>1</v>
      </c>
      <c r="AG37" s="82" t="n">
        <f aca="false">IF(NOT(ISNUMBER(I37)),0,IF($S37&lt;2,5,IF(AC37=1,1,IF(I37=MAX($G37:$J37),4,IF(AC37=2,2,3)))))</f>
        <v>0</v>
      </c>
      <c r="AH37" s="82" t="n">
        <f aca="false">IF(NOT(ISNUMBER(J37)),0,IF($S37&lt;2,5,IF(AD37=1,1,IF(J37=MAX($G37:$J37),4,IF(AD37=2,2,3)))))</f>
        <v>0</v>
      </c>
      <c r="AI37" s="83" t="n">
        <f aca="false">IF($S37&gt;=2,IF(ISNUMBER(G37),G37*$F37,MIN($G37:$J37)*$F37),0)</f>
        <v>2015.68</v>
      </c>
      <c r="AJ37" s="83" t="n">
        <f aca="false">IF($S37&gt;=2,IF(ISNUMBER(H37),H37*$F37,MIN($G37:$J37)*$F37),0)</f>
        <v>1635.16</v>
      </c>
      <c r="AK37" s="83" t="n">
        <f aca="false">IF($S37&gt;=2,IF(ISNUMBER(I37),I37*$F37,MIN($G37:$J37)*$F37),0)</f>
        <v>1635.16</v>
      </c>
      <c r="AL37" s="83" t="n">
        <f aca="false">IF($S37&gt;=2,IF(ISNUMBER(J37),J37*$F37,MIN($G37:$J37)*$F37),0)</f>
        <v>1635.16</v>
      </c>
      <c r="AM37" s="84" t="n">
        <f aca="false">IF($S37&gt;=2,$R37+ROW()/1000000,"")</f>
        <v>380.520037</v>
      </c>
      <c r="AN37" s="83" t="n">
        <f aca="false">IF($S37&gt;=2,MAX(G37:J37),"")</f>
        <v>1007.84</v>
      </c>
      <c r="AO37" s="82" t="str">
        <f aca="false">IF($S37&gt;=2,INDEX($G$6:$J$6,MATCH(MAX(G37:J37),G37:J37,0)),"")</f>
        <v>Ferguson</v>
      </c>
      <c r="AP37" s="83" t="n">
        <f aca="false">IF($S37&gt;=2,MIN(G37:J37)*$F37,0)</f>
        <v>1635.16</v>
      </c>
      <c r="AQ37" s="82" t="str">
        <f aca="false">IF($S37&gt;=2,INDEX($G$6:$J$6,MATCH(MIN(G37:J37),G37:J37,0)),"")</f>
        <v>HD Fowler</v>
      </c>
    </row>
    <row r="38" customFormat="false" ht="15" hidden="false" customHeight="true" outlineLevel="0" collapsed="false">
      <c r="A38" s="70" t="s">
        <v>201</v>
      </c>
      <c r="B38" s="71" t="s">
        <v>130</v>
      </c>
      <c r="C38" s="72" t="s">
        <v>183</v>
      </c>
      <c r="D38" s="73" t="s">
        <v>202</v>
      </c>
      <c r="E38" s="74" t="s">
        <v>133</v>
      </c>
      <c r="F38" s="75" t="n">
        <v>2</v>
      </c>
      <c r="G38" s="85" t="s">
        <v>138</v>
      </c>
      <c r="H38" s="85" t="s">
        <v>138</v>
      </c>
      <c r="I38" s="85" t="s">
        <v>138</v>
      </c>
      <c r="J38" s="76" t="n">
        <f aca="false">IF(COUNTIF('Quote Lines'!$P$3:$P$805,$A38&amp;"|"&amp;J$6&amp;"|1")=0,"—",SUMIFS('Quote Lines'!$O$3:$O$805,'Quote Lines'!$P$3:$P$805,$A38&amp;"|"&amp;J$6&amp;"|1")/SUMIFS('Quote Lines'!$L$3:$L$805,'Quote Lines'!$P$3:$P$805,$A38&amp;"|"&amp;J$6&amp;"|1"))</f>
        <v>1160</v>
      </c>
      <c r="K38" s="14" t="str">
        <f aca="false">IF(ISNUMBER(G38),G38*$F38,"—")</f>
        <v>—</v>
      </c>
      <c r="L38" s="14" t="str">
        <f aca="false">IF(ISNUMBER(H38),H38*$F38,"—")</f>
        <v>—</v>
      </c>
      <c r="M38" s="14" t="str">
        <f aca="false">IF(ISNUMBER(I38),I38*$F38,"—")</f>
        <v>—</v>
      </c>
      <c r="N38" s="14" t="n">
        <f aca="false">IF(ISNUMBER(J38),J38*$F38,"—")</f>
        <v>2320</v>
      </c>
      <c r="O38" s="77" t="n">
        <f aca="false">IF($S38=0,"—",MIN(G38:J38))</f>
        <v>1160</v>
      </c>
      <c r="P38" s="42" t="str">
        <f aca="false">IF($S38=0,"—",IF(COUNTIF(G38:J38,O38)&gt;1,"Tie",INDEX($G$6:$J$6,MATCH(O38,G38:J38,0))))</f>
        <v>Scholzen</v>
      </c>
      <c r="Q38" s="48" t="str">
        <f aca="false">IF($S38&gt;=2,MAX(G38:J38)/MIN(G38:J38)-1,"—")</f>
        <v>—</v>
      </c>
      <c r="R38" s="78" t="str">
        <f aca="false">IF($S38&gt;=2,(MAX(G38:J38)-MIN(G38:J38))*$F38,"—")</f>
        <v>—</v>
      </c>
      <c r="S38" s="18" t="n">
        <f aca="false">COUNT(G38:J38)</f>
        <v>1</v>
      </c>
      <c r="T38" s="79" t="str">
        <f aca="false">IF($S38&lt;=1,IF($S38=1,"Single quote","—"),"Like-for-like")</f>
        <v>Single quote</v>
      </c>
      <c r="U38" s="79" t="str">
        <f aca="false">IF(COUNT(W38:Z38)&lt;2,"",IF(MAX(W38:Z38)=MIN(W38:Z38),"OK","Qty differs"))</f>
        <v/>
      </c>
      <c r="V38" s="80"/>
      <c r="W38" s="81"/>
      <c r="X38" s="81"/>
      <c r="Y38" s="81"/>
      <c r="Z38" s="81" t="n">
        <f aca="false">IF(COUNTIFS('Quote Lines'!$P$3:$P$805,$A38&amp;"|"&amp;J$6&amp;"|1",'Quote Lines'!$M$3:$M$805,"Y")=0,"",SUMIFS('Quote Lines'!$L$3:$L$805,'Quote Lines'!$P$3:$P$805,$A38&amp;"|"&amp;J$6&amp;"|1",'Quote Lines'!$M$3:$M$805,"Y"))</f>
        <v>2</v>
      </c>
      <c r="AA38" s="82" t="str">
        <f aca="false">IF(ISNUMBER(G38),1+SUMPRODUCT(ISNUMBER($G38:$J38)*($G38:$J38&lt;G38)),"")</f>
        <v/>
      </c>
      <c r="AB38" s="82" t="str">
        <f aca="false">IF(ISNUMBER(H38),1+SUMPRODUCT(ISNUMBER($G38:$J38)*($G38:$J38&lt;H38)),"")</f>
        <v/>
      </c>
      <c r="AC38" s="82" t="str">
        <f aca="false">IF(ISNUMBER(I38),1+SUMPRODUCT(ISNUMBER($G38:$J38)*($G38:$J38&lt;I38)),"")</f>
        <v/>
      </c>
      <c r="AD38" s="82" t="n">
        <f aca="false">IF(ISNUMBER(J38),1+SUMPRODUCT(ISNUMBER($G38:$J38)*($G38:$J38&lt;J38)),"")</f>
        <v>1</v>
      </c>
      <c r="AE38" s="82" t="n">
        <f aca="false">IF(NOT(ISNUMBER(G38)),0,IF($S38&lt;2,5,IF(AA38=1,1,IF(G38=MAX($G38:$J38),4,IF(AA38=2,2,3)))))</f>
        <v>0</v>
      </c>
      <c r="AF38" s="82" t="n">
        <f aca="false">IF(NOT(ISNUMBER(H38)),0,IF($S38&lt;2,5,IF(AB38=1,1,IF(H38=MAX($G38:$J38),4,IF(AB38=2,2,3)))))</f>
        <v>0</v>
      </c>
      <c r="AG38" s="82" t="n">
        <f aca="false">IF(NOT(ISNUMBER(I38)),0,IF($S38&lt;2,5,IF(AC38=1,1,IF(I38=MAX($G38:$J38),4,IF(AC38=2,2,3)))))</f>
        <v>0</v>
      </c>
      <c r="AH38" s="82" t="n">
        <f aca="false">IF(NOT(ISNUMBER(J38)),0,IF($S38&lt;2,5,IF(AD38=1,1,IF(J38=MAX($G38:$J38),4,IF(AD38=2,2,3)))))</f>
        <v>5</v>
      </c>
      <c r="AI38" s="83" t="n">
        <f aca="false">IF($S38&gt;=2,IF(ISNUMBER(G38),G38*$F38,MIN($G38:$J38)*$F38),0)</f>
        <v>0</v>
      </c>
      <c r="AJ38" s="83" t="n">
        <f aca="false">IF($S38&gt;=2,IF(ISNUMBER(H38),H38*$F38,MIN($G38:$J38)*$F38),0)</f>
        <v>0</v>
      </c>
      <c r="AK38" s="83" t="n">
        <f aca="false">IF($S38&gt;=2,IF(ISNUMBER(I38),I38*$F38,MIN($G38:$J38)*$F38),0)</f>
        <v>0</v>
      </c>
      <c r="AL38" s="83" t="n">
        <f aca="false">IF($S38&gt;=2,IF(ISNUMBER(J38),J38*$F38,MIN($G38:$J38)*$F38),0)</f>
        <v>0</v>
      </c>
      <c r="AM38" s="84" t="str">
        <f aca="false">IF($S38&gt;=2,$R38+ROW()/1000000,"")</f>
        <v/>
      </c>
      <c r="AN38" s="83" t="str">
        <f aca="false">IF($S38&gt;=2,MAX(G38:J38),"")</f>
        <v/>
      </c>
      <c r="AO38" s="82" t="str">
        <f aca="false">IF($S38&gt;=2,INDEX($G$6:$J$6,MATCH(MAX(G38:J38),G38:J38,0)),"")</f>
        <v/>
      </c>
      <c r="AP38" s="83" t="n">
        <f aca="false">IF($S38&gt;=2,MIN(G38:J38)*$F38,0)</f>
        <v>0</v>
      </c>
      <c r="AQ38" s="82" t="str">
        <f aca="false">IF($S38&gt;=2,INDEX($G$6:$J$6,MATCH(MIN(G38:J38),G38:J38,0)),"")</f>
        <v/>
      </c>
    </row>
    <row r="39" customFormat="false" ht="15" hidden="false" customHeight="true" outlineLevel="0" collapsed="false">
      <c r="A39" s="70" t="s">
        <v>203</v>
      </c>
      <c r="B39" s="71" t="s">
        <v>130</v>
      </c>
      <c r="C39" s="72" t="s">
        <v>183</v>
      </c>
      <c r="D39" s="73" t="s">
        <v>204</v>
      </c>
      <c r="E39" s="74" t="s">
        <v>133</v>
      </c>
      <c r="F39" s="75" t="n">
        <v>2</v>
      </c>
      <c r="G39" s="85" t="s">
        <v>138</v>
      </c>
      <c r="H39" s="85" t="s">
        <v>138</v>
      </c>
      <c r="I39" s="76" t="n">
        <f aca="false">IF(COUNTIF('Quote Lines'!$P$3:$P$805,$A39&amp;"|"&amp;I$6&amp;"|1")=0,"—",SUMIFS('Quote Lines'!$O$3:$O$805,'Quote Lines'!$P$3:$P$805,$A39&amp;"|"&amp;I$6&amp;"|1")/SUMIFS('Quote Lines'!$L$3:$L$805,'Quote Lines'!$P$3:$P$805,$A39&amp;"|"&amp;I$6&amp;"|1"))</f>
        <v>845.975</v>
      </c>
      <c r="J39" s="85" t="s">
        <v>138</v>
      </c>
      <c r="K39" s="14" t="str">
        <f aca="false">IF(ISNUMBER(G39),G39*$F39,"—")</f>
        <v>—</v>
      </c>
      <c r="L39" s="14" t="str">
        <f aca="false">IF(ISNUMBER(H39),H39*$F39,"—")</f>
        <v>—</v>
      </c>
      <c r="M39" s="14" t="n">
        <f aca="false">IF(ISNUMBER(I39),I39*$F39,"—")</f>
        <v>1691.95</v>
      </c>
      <c r="N39" s="14" t="str">
        <f aca="false">IF(ISNUMBER(J39),J39*$F39,"—")</f>
        <v>—</v>
      </c>
      <c r="O39" s="77" t="n">
        <f aca="false">IF($S39=0,"—",MIN(G39:J39))</f>
        <v>845.975</v>
      </c>
      <c r="P39" s="42" t="str">
        <f aca="false">IF($S39=0,"—",IF(COUNTIF(G39:J39,O39)&gt;1,"Tie",INDEX($G$6:$J$6,MATCH(O39,G39:J39,0))))</f>
        <v>Mountainland</v>
      </c>
      <c r="Q39" s="48" t="str">
        <f aca="false">IF($S39&gt;=2,MAX(G39:J39)/MIN(G39:J39)-1,"—")</f>
        <v>—</v>
      </c>
      <c r="R39" s="78" t="str">
        <f aca="false">IF($S39&gt;=2,(MAX(G39:J39)-MIN(G39:J39))*$F39,"—")</f>
        <v>—</v>
      </c>
      <c r="S39" s="18" t="n">
        <f aca="false">COUNT(G39:J39)</f>
        <v>1</v>
      </c>
      <c r="T39" s="79" t="str">
        <f aca="false">IF($S39&lt;=1,IF($S39=1,"Single quote","—"),"Like-for-like")</f>
        <v>Single quote</v>
      </c>
      <c r="U39" s="79" t="str">
        <f aca="false">IF(COUNT(W39:Z39)&lt;2,"",IF(MAX(W39:Z39)=MIN(W39:Z39),"OK","Qty differs"))</f>
        <v/>
      </c>
      <c r="V39" s="80"/>
      <c r="W39" s="81"/>
      <c r="X39" s="81"/>
      <c r="Y39" s="81" t="n">
        <f aca="false">IF(COUNTIFS('Quote Lines'!$P$3:$P$805,$A39&amp;"|"&amp;I$6&amp;"|1",'Quote Lines'!$M$3:$M$805,"Y")=0,"",SUMIFS('Quote Lines'!$L$3:$L$805,'Quote Lines'!$P$3:$P$805,$A39&amp;"|"&amp;I$6&amp;"|1",'Quote Lines'!$M$3:$M$805,"Y"))</f>
        <v>2</v>
      </c>
      <c r="Z39" s="81"/>
      <c r="AA39" s="82" t="str">
        <f aca="false">IF(ISNUMBER(G39),1+SUMPRODUCT(ISNUMBER($G39:$J39)*($G39:$J39&lt;G39)),"")</f>
        <v/>
      </c>
      <c r="AB39" s="82" t="str">
        <f aca="false">IF(ISNUMBER(H39),1+SUMPRODUCT(ISNUMBER($G39:$J39)*($G39:$J39&lt;H39)),"")</f>
        <v/>
      </c>
      <c r="AC39" s="82" t="n">
        <f aca="false">IF(ISNUMBER(I39),1+SUMPRODUCT(ISNUMBER($G39:$J39)*($G39:$J39&lt;I39)),"")</f>
        <v>1</v>
      </c>
      <c r="AD39" s="82" t="str">
        <f aca="false">IF(ISNUMBER(J39),1+SUMPRODUCT(ISNUMBER($G39:$J39)*($G39:$J39&lt;J39)),"")</f>
        <v/>
      </c>
      <c r="AE39" s="82" t="n">
        <f aca="false">IF(NOT(ISNUMBER(G39)),0,IF($S39&lt;2,5,IF(AA39=1,1,IF(G39=MAX($G39:$J39),4,IF(AA39=2,2,3)))))</f>
        <v>0</v>
      </c>
      <c r="AF39" s="82" t="n">
        <f aca="false">IF(NOT(ISNUMBER(H39)),0,IF($S39&lt;2,5,IF(AB39=1,1,IF(H39=MAX($G39:$J39),4,IF(AB39=2,2,3)))))</f>
        <v>0</v>
      </c>
      <c r="AG39" s="82" t="n">
        <f aca="false">IF(NOT(ISNUMBER(I39)),0,IF($S39&lt;2,5,IF(AC39=1,1,IF(I39=MAX($G39:$J39),4,IF(AC39=2,2,3)))))</f>
        <v>5</v>
      </c>
      <c r="AH39" s="82" t="n">
        <f aca="false">IF(NOT(ISNUMBER(J39)),0,IF($S39&lt;2,5,IF(AD39=1,1,IF(J39=MAX($G39:$J39),4,IF(AD39=2,2,3)))))</f>
        <v>0</v>
      </c>
      <c r="AI39" s="83" t="n">
        <f aca="false">IF($S39&gt;=2,IF(ISNUMBER(G39),G39*$F39,MIN($G39:$J39)*$F39),0)</f>
        <v>0</v>
      </c>
      <c r="AJ39" s="83" t="n">
        <f aca="false">IF($S39&gt;=2,IF(ISNUMBER(H39),H39*$F39,MIN($G39:$J39)*$F39),0)</f>
        <v>0</v>
      </c>
      <c r="AK39" s="83" t="n">
        <f aca="false">IF($S39&gt;=2,IF(ISNUMBER(I39),I39*$F39,MIN($G39:$J39)*$F39),0)</f>
        <v>0</v>
      </c>
      <c r="AL39" s="83" t="n">
        <f aca="false">IF($S39&gt;=2,IF(ISNUMBER(J39),J39*$F39,MIN($G39:$J39)*$F39),0)</f>
        <v>0</v>
      </c>
      <c r="AM39" s="84" t="str">
        <f aca="false">IF($S39&gt;=2,$R39+ROW()/1000000,"")</f>
        <v/>
      </c>
      <c r="AN39" s="83" t="str">
        <f aca="false">IF($S39&gt;=2,MAX(G39:J39),"")</f>
        <v/>
      </c>
      <c r="AO39" s="82" t="str">
        <f aca="false">IF($S39&gt;=2,INDEX($G$6:$J$6,MATCH(MAX(G39:J39),G39:J39,0)),"")</f>
        <v/>
      </c>
      <c r="AP39" s="83" t="n">
        <f aca="false">IF($S39&gt;=2,MIN(G39:J39)*$F39,0)</f>
        <v>0</v>
      </c>
      <c r="AQ39" s="82" t="str">
        <f aca="false">IF($S39&gt;=2,INDEX($G$6:$J$6,MATCH(MIN(G39:J39),G39:J39,0)),"")</f>
        <v/>
      </c>
    </row>
    <row r="40" customFormat="false" ht="15" hidden="false" customHeight="true" outlineLevel="0" collapsed="false">
      <c r="A40" s="70" t="s">
        <v>205</v>
      </c>
      <c r="B40" s="71" t="s">
        <v>130</v>
      </c>
      <c r="C40" s="72" t="s">
        <v>183</v>
      </c>
      <c r="D40" s="73" t="s">
        <v>206</v>
      </c>
      <c r="E40" s="74" t="s">
        <v>133</v>
      </c>
      <c r="F40" s="75" t="n">
        <v>2</v>
      </c>
      <c r="G40" s="85" t="s">
        <v>138</v>
      </c>
      <c r="H40" s="85" t="s">
        <v>138</v>
      </c>
      <c r="I40" s="76" t="n">
        <f aca="false">IF(COUNTIF('Quote Lines'!$P$3:$P$805,$A40&amp;"|"&amp;I$6&amp;"|1")=0,"—",SUMIFS('Quote Lines'!$O$3:$O$805,'Quote Lines'!$P$3:$P$805,$A40&amp;"|"&amp;I$6&amp;"|1")/SUMIFS('Quote Lines'!$L$3:$L$805,'Quote Lines'!$P$3:$P$805,$A40&amp;"|"&amp;I$6&amp;"|1"))</f>
        <v>1190.935</v>
      </c>
      <c r="J40" s="85" t="s">
        <v>138</v>
      </c>
      <c r="K40" s="14" t="str">
        <f aca="false">IF(ISNUMBER(G40),G40*$F40,"—")</f>
        <v>—</v>
      </c>
      <c r="L40" s="14" t="str">
        <f aca="false">IF(ISNUMBER(H40),H40*$F40,"—")</f>
        <v>—</v>
      </c>
      <c r="M40" s="14" t="n">
        <f aca="false">IF(ISNUMBER(I40),I40*$F40,"—")</f>
        <v>2381.87</v>
      </c>
      <c r="N40" s="14" t="str">
        <f aca="false">IF(ISNUMBER(J40),J40*$F40,"—")</f>
        <v>—</v>
      </c>
      <c r="O40" s="77" t="n">
        <f aca="false">IF($S40=0,"—",MIN(G40:J40))</f>
        <v>1190.935</v>
      </c>
      <c r="P40" s="42" t="str">
        <f aca="false">IF($S40=0,"—",IF(COUNTIF(G40:J40,O40)&gt;1,"Tie",INDEX($G$6:$J$6,MATCH(O40,G40:J40,0))))</f>
        <v>Mountainland</v>
      </c>
      <c r="Q40" s="48" t="str">
        <f aca="false">IF($S40&gt;=2,MAX(G40:J40)/MIN(G40:J40)-1,"—")</f>
        <v>—</v>
      </c>
      <c r="R40" s="78" t="str">
        <f aca="false">IF($S40&gt;=2,(MAX(G40:J40)-MIN(G40:J40))*$F40,"—")</f>
        <v>—</v>
      </c>
      <c r="S40" s="18" t="n">
        <f aca="false">COUNT(G40:J40)</f>
        <v>1</v>
      </c>
      <c r="T40" s="79" t="str">
        <f aca="false">IF($S40&lt;=1,IF($S40=1,"Single quote","—"),"Like-for-like")</f>
        <v>Single quote</v>
      </c>
      <c r="U40" s="79" t="str">
        <f aca="false">IF(COUNT(W40:Z40)&lt;2,"",IF(MAX(W40:Z40)=MIN(W40:Z40),"OK","Qty differs"))</f>
        <v/>
      </c>
      <c r="V40" s="80"/>
      <c r="W40" s="81"/>
      <c r="X40" s="81"/>
      <c r="Y40" s="81" t="n">
        <f aca="false">IF(COUNTIFS('Quote Lines'!$P$3:$P$805,$A40&amp;"|"&amp;I$6&amp;"|1",'Quote Lines'!$M$3:$M$805,"Y")=0,"",SUMIFS('Quote Lines'!$L$3:$L$805,'Quote Lines'!$P$3:$P$805,$A40&amp;"|"&amp;I$6&amp;"|1",'Quote Lines'!$M$3:$M$805,"Y"))</f>
        <v>2</v>
      </c>
      <c r="Z40" s="81"/>
      <c r="AA40" s="82" t="str">
        <f aca="false">IF(ISNUMBER(G40),1+SUMPRODUCT(ISNUMBER($G40:$J40)*($G40:$J40&lt;G40)),"")</f>
        <v/>
      </c>
      <c r="AB40" s="82" t="str">
        <f aca="false">IF(ISNUMBER(H40),1+SUMPRODUCT(ISNUMBER($G40:$J40)*($G40:$J40&lt;H40)),"")</f>
        <v/>
      </c>
      <c r="AC40" s="82" t="n">
        <f aca="false">IF(ISNUMBER(I40),1+SUMPRODUCT(ISNUMBER($G40:$J40)*($G40:$J40&lt;I40)),"")</f>
        <v>1</v>
      </c>
      <c r="AD40" s="82" t="str">
        <f aca="false">IF(ISNUMBER(J40),1+SUMPRODUCT(ISNUMBER($G40:$J40)*($G40:$J40&lt;J40)),"")</f>
        <v/>
      </c>
      <c r="AE40" s="82" t="n">
        <f aca="false">IF(NOT(ISNUMBER(G40)),0,IF($S40&lt;2,5,IF(AA40=1,1,IF(G40=MAX($G40:$J40),4,IF(AA40=2,2,3)))))</f>
        <v>0</v>
      </c>
      <c r="AF40" s="82" t="n">
        <f aca="false">IF(NOT(ISNUMBER(H40)),0,IF($S40&lt;2,5,IF(AB40=1,1,IF(H40=MAX($G40:$J40),4,IF(AB40=2,2,3)))))</f>
        <v>0</v>
      </c>
      <c r="AG40" s="82" t="n">
        <f aca="false">IF(NOT(ISNUMBER(I40)),0,IF($S40&lt;2,5,IF(AC40=1,1,IF(I40=MAX($G40:$J40),4,IF(AC40=2,2,3)))))</f>
        <v>5</v>
      </c>
      <c r="AH40" s="82" t="n">
        <f aca="false">IF(NOT(ISNUMBER(J40)),0,IF($S40&lt;2,5,IF(AD40=1,1,IF(J40=MAX($G40:$J40),4,IF(AD40=2,2,3)))))</f>
        <v>0</v>
      </c>
      <c r="AI40" s="83" t="n">
        <f aca="false">IF($S40&gt;=2,IF(ISNUMBER(G40),G40*$F40,MIN($G40:$J40)*$F40),0)</f>
        <v>0</v>
      </c>
      <c r="AJ40" s="83" t="n">
        <f aca="false">IF($S40&gt;=2,IF(ISNUMBER(H40),H40*$F40,MIN($G40:$J40)*$F40),0)</f>
        <v>0</v>
      </c>
      <c r="AK40" s="83" t="n">
        <f aca="false">IF($S40&gt;=2,IF(ISNUMBER(I40),I40*$F40,MIN($G40:$J40)*$F40),0)</f>
        <v>0</v>
      </c>
      <c r="AL40" s="83" t="n">
        <f aca="false">IF($S40&gt;=2,IF(ISNUMBER(J40),J40*$F40,MIN($G40:$J40)*$F40),0)</f>
        <v>0</v>
      </c>
      <c r="AM40" s="84" t="str">
        <f aca="false">IF($S40&gt;=2,$R40+ROW()/1000000,"")</f>
        <v/>
      </c>
      <c r="AN40" s="83" t="str">
        <f aca="false">IF($S40&gt;=2,MAX(G40:J40),"")</f>
        <v/>
      </c>
      <c r="AO40" s="82" t="str">
        <f aca="false">IF($S40&gt;=2,INDEX($G$6:$J$6,MATCH(MAX(G40:J40),G40:J40,0)),"")</f>
        <v/>
      </c>
      <c r="AP40" s="83" t="n">
        <f aca="false">IF($S40&gt;=2,MIN(G40:J40)*$F40,0)</f>
        <v>0</v>
      </c>
      <c r="AQ40" s="82" t="str">
        <f aca="false">IF($S40&gt;=2,INDEX($G$6:$J$6,MATCH(MIN(G40:J40),G40:J40,0)),"")</f>
        <v/>
      </c>
    </row>
    <row r="41" customFormat="false" ht="15" hidden="false" customHeight="true" outlineLevel="0" collapsed="false">
      <c r="A41" s="70" t="s">
        <v>207</v>
      </c>
      <c r="B41" s="71" t="s">
        <v>130</v>
      </c>
      <c r="C41" s="72" t="s">
        <v>183</v>
      </c>
      <c r="D41" s="73" t="s">
        <v>208</v>
      </c>
      <c r="E41" s="74" t="s">
        <v>133</v>
      </c>
      <c r="F41" s="75" t="n">
        <v>1</v>
      </c>
      <c r="G41" s="76" t="n">
        <f aca="false">IF(COUNTIF('Quote Lines'!$P$3:$P$805,$A41&amp;"|"&amp;G$6&amp;"|1")=0,"—",SUMIFS('Quote Lines'!$O$3:$O$805,'Quote Lines'!$P$3:$P$805,$A41&amp;"|"&amp;G$6&amp;"|1")/SUMIFS('Quote Lines'!$L$3:$L$805,'Quote Lines'!$P$3:$P$805,$A41&amp;"|"&amp;G$6&amp;"|1"))</f>
        <v>881.22</v>
      </c>
      <c r="H41" s="85" t="s">
        <v>138</v>
      </c>
      <c r="I41" s="85" t="s">
        <v>138</v>
      </c>
      <c r="J41" s="76" t="n">
        <f aca="false">IF(COUNTIF('Quote Lines'!$P$3:$P$805,$A41&amp;"|"&amp;J$6&amp;"|1")=0,"—",SUMIFS('Quote Lines'!$O$3:$O$805,'Quote Lines'!$P$3:$P$805,$A41&amp;"|"&amp;J$6&amp;"|1")/SUMIFS('Quote Lines'!$L$3:$L$805,'Quote Lines'!$P$3:$P$805,$A41&amp;"|"&amp;J$6&amp;"|1"))</f>
        <v>835</v>
      </c>
      <c r="K41" s="14" t="n">
        <f aca="false">IF(ISNUMBER(G41),G41*$F41,"—")</f>
        <v>881.22</v>
      </c>
      <c r="L41" s="14" t="str">
        <f aca="false">IF(ISNUMBER(H41),H41*$F41,"—")</f>
        <v>—</v>
      </c>
      <c r="M41" s="14" t="str">
        <f aca="false">IF(ISNUMBER(I41),I41*$F41,"—")</f>
        <v>—</v>
      </c>
      <c r="N41" s="14" t="n">
        <f aca="false">IF(ISNUMBER(J41),J41*$F41,"—")</f>
        <v>835</v>
      </c>
      <c r="O41" s="77" t="n">
        <f aca="false">IF($S41=0,"—",MIN(G41:J41))</f>
        <v>835</v>
      </c>
      <c r="P41" s="42" t="str">
        <f aca="false">IF($S41=0,"—",IF(COUNTIF(G41:J41,O41)&gt;1,"Tie",INDEX($G$6:$J$6,MATCH(O41,G41:J41,0))))</f>
        <v>Scholzen</v>
      </c>
      <c r="Q41" s="48" t="n">
        <f aca="false">IF($S41&gt;=2,MAX(G41:J41)/MIN(G41:J41)-1,"—")</f>
        <v>0.0553532934131737</v>
      </c>
      <c r="R41" s="78" t="n">
        <f aca="false">IF($S41&gt;=2,(MAX(G41:J41)-MIN(G41:J41))*$F41,"—")</f>
        <v>46.22</v>
      </c>
      <c r="S41" s="18" t="n">
        <f aca="false">COUNT(G41:J41)</f>
        <v>2</v>
      </c>
      <c r="T41" s="79" t="str">
        <f aca="false">IF($S41&lt;=1,IF($S41=1,"Single quote","—"),"Like-for-like")</f>
        <v>Like-for-like</v>
      </c>
      <c r="U41" s="79" t="str">
        <f aca="false">IF(COUNT(W41:Z41)&lt;2,"",IF(MAX(W41:Z41)=MIN(W41:Z41),"OK","Qty differs"))</f>
        <v>OK</v>
      </c>
      <c r="V41" s="80"/>
      <c r="W41" s="81" t="n">
        <f aca="false">IF(COUNTIFS('Quote Lines'!$P$3:$P$805,$A41&amp;"|"&amp;G$6&amp;"|1",'Quote Lines'!$M$3:$M$805,"Y")=0,"",SUMIFS('Quote Lines'!$L$3:$L$805,'Quote Lines'!$P$3:$P$805,$A41&amp;"|"&amp;G$6&amp;"|1",'Quote Lines'!$M$3:$M$805,"Y"))</f>
        <v>1</v>
      </c>
      <c r="X41" s="81"/>
      <c r="Y41" s="81"/>
      <c r="Z41" s="81" t="n">
        <f aca="false">IF(COUNTIFS('Quote Lines'!$P$3:$P$805,$A41&amp;"|"&amp;J$6&amp;"|1",'Quote Lines'!$M$3:$M$805,"Y")=0,"",SUMIFS('Quote Lines'!$L$3:$L$805,'Quote Lines'!$P$3:$P$805,$A41&amp;"|"&amp;J$6&amp;"|1",'Quote Lines'!$M$3:$M$805,"Y"))</f>
        <v>1</v>
      </c>
      <c r="AA41" s="82" t="n">
        <f aca="false">IF(ISNUMBER(G41),1+SUMPRODUCT(ISNUMBER($G41:$J41)*($G41:$J41&lt;G41)),"")</f>
        <v>2</v>
      </c>
      <c r="AB41" s="82" t="str">
        <f aca="false">IF(ISNUMBER(H41),1+SUMPRODUCT(ISNUMBER($G41:$J41)*($G41:$J41&lt;H41)),"")</f>
        <v/>
      </c>
      <c r="AC41" s="82" t="str">
        <f aca="false">IF(ISNUMBER(I41),1+SUMPRODUCT(ISNUMBER($G41:$J41)*($G41:$J41&lt;I41)),"")</f>
        <v/>
      </c>
      <c r="AD41" s="82" t="n">
        <f aca="false">IF(ISNUMBER(J41),1+SUMPRODUCT(ISNUMBER($G41:$J41)*($G41:$J41&lt;J41)),"")</f>
        <v>1</v>
      </c>
      <c r="AE41" s="82" t="n">
        <f aca="false">IF(NOT(ISNUMBER(G41)),0,IF($S41&lt;2,5,IF(AA41=1,1,IF(G41=MAX($G41:$J41),4,IF(AA41=2,2,3)))))</f>
        <v>4</v>
      </c>
      <c r="AF41" s="82" t="n">
        <f aca="false">IF(NOT(ISNUMBER(H41)),0,IF($S41&lt;2,5,IF(AB41=1,1,IF(H41=MAX($G41:$J41),4,IF(AB41=2,2,3)))))</f>
        <v>0</v>
      </c>
      <c r="AG41" s="82" t="n">
        <f aca="false">IF(NOT(ISNUMBER(I41)),0,IF($S41&lt;2,5,IF(AC41=1,1,IF(I41=MAX($G41:$J41),4,IF(AC41=2,2,3)))))</f>
        <v>0</v>
      </c>
      <c r="AH41" s="82" t="n">
        <f aca="false">IF(NOT(ISNUMBER(J41)),0,IF($S41&lt;2,5,IF(AD41=1,1,IF(J41=MAX($G41:$J41),4,IF(AD41=2,2,3)))))</f>
        <v>1</v>
      </c>
      <c r="AI41" s="83" t="n">
        <f aca="false">IF($S41&gt;=2,IF(ISNUMBER(G41),G41*$F41,MIN($G41:$J41)*$F41),0)</f>
        <v>881.22</v>
      </c>
      <c r="AJ41" s="83" t="n">
        <f aca="false">IF($S41&gt;=2,IF(ISNUMBER(H41),H41*$F41,MIN($G41:$J41)*$F41),0)</f>
        <v>835</v>
      </c>
      <c r="AK41" s="83" t="n">
        <f aca="false">IF($S41&gt;=2,IF(ISNUMBER(I41),I41*$F41,MIN($G41:$J41)*$F41),0)</f>
        <v>835</v>
      </c>
      <c r="AL41" s="83" t="n">
        <f aca="false">IF($S41&gt;=2,IF(ISNUMBER(J41),J41*$F41,MIN($G41:$J41)*$F41),0)</f>
        <v>835</v>
      </c>
      <c r="AM41" s="84" t="n">
        <f aca="false">IF($S41&gt;=2,$R41+ROW()/1000000,"")</f>
        <v>46.220041</v>
      </c>
      <c r="AN41" s="83" t="n">
        <f aca="false">IF($S41&gt;=2,MAX(G41:J41),"")</f>
        <v>881.22</v>
      </c>
      <c r="AO41" s="82" t="str">
        <f aca="false">IF($S41&gt;=2,INDEX($G$6:$J$6,MATCH(MAX(G41:J41),G41:J41,0)),"")</f>
        <v>Ferguson</v>
      </c>
      <c r="AP41" s="83" t="n">
        <f aca="false">IF($S41&gt;=2,MIN(G41:J41)*$F41,0)</f>
        <v>835</v>
      </c>
      <c r="AQ41" s="82" t="str">
        <f aca="false">IF($S41&gt;=2,INDEX($G$6:$J$6,MATCH(MIN(G41:J41),G41:J41,0)),"")</f>
        <v>Scholzen</v>
      </c>
    </row>
    <row r="42" customFormat="false" ht="15" hidden="false" customHeight="true" outlineLevel="0" collapsed="false">
      <c r="A42" s="70" t="s">
        <v>209</v>
      </c>
      <c r="B42" s="71" t="s">
        <v>130</v>
      </c>
      <c r="C42" s="72" t="s">
        <v>183</v>
      </c>
      <c r="D42" s="73" t="s">
        <v>210</v>
      </c>
      <c r="E42" s="74" t="s">
        <v>133</v>
      </c>
      <c r="F42" s="75" t="n">
        <v>1</v>
      </c>
      <c r="G42" s="85" t="s">
        <v>138</v>
      </c>
      <c r="H42" s="85" t="s">
        <v>138</v>
      </c>
      <c r="I42" s="76" t="n">
        <f aca="false">IF(COUNTIF('Quote Lines'!$P$3:$P$805,$A42&amp;"|"&amp;I$6&amp;"|1")=0,"—",SUMIFS('Quote Lines'!$O$3:$O$805,'Quote Lines'!$P$3:$P$805,$A42&amp;"|"&amp;I$6&amp;"|1")/SUMIFS('Quote Lines'!$L$3:$L$805,'Quote Lines'!$P$3:$P$805,$A42&amp;"|"&amp;I$6&amp;"|1"))</f>
        <v>791.56</v>
      </c>
      <c r="J42" s="85" t="s">
        <v>138</v>
      </c>
      <c r="K42" s="14" t="str">
        <f aca="false">IF(ISNUMBER(G42),G42*$F42,"—")</f>
        <v>—</v>
      </c>
      <c r="L42" s="14" t="str">
        <f aca="false">IF(ISNUMBER(H42),H42*$F42,"—")</f>
        <v>—</v>
      </c>
      <c r="M42" s="14" t="n">
        <f aca="false">IF(ISNUMBER(I42),I42*$F42,"—")</f>
        <v>791.56</v>
      </c>
      <c r="N42" s="14" t="str">
        <f aca="false">IF(ISNUMBER(J42),J42*$F42,"—")</f>
        <v>—</v>
      </c>
      <c r="O42" s="77" t="n">
        <f aca="false">IF($S42=0,"—",MIN(G42:J42))</f>
        <v>791.56</v>
      </c>
      <c r="P42" s="42" t="str">
        <f aca="false">IF($S42=0,"—",IF(COUNTIF(G42:J42,O42)&gt;1,"Tie",INDEX($G$6:$J$6,MATCH(O42,G42:J42,0))))</f>
        <v>Mountainland</v>
      </c>
      <c r="Q42" s="48" t="str">
        <f aca="false">IF($S42&gt;=2,MAX(G42:J42)/MIN(G42:J42)-1,"—")</f>
        <v>—</v>
      </c>
      <c r="R42" s="78" t="str">
        <f aca="false">IF($S42&gt;=2,(MAX(G42:J42)-MIN(G42:J42))*$F42,"—")</f>
        <v>—</v>
      </c>
      <c r="S42" s="18" t="n">
        <f aca="false">COUNT(G42:J42)</f>
        <v>1</v>
      </c>
      <c r="T42" s="79" t="str">
        <f aca="false">IF($S42&lt;=1,IF($S42=1,"Single quote","—"),"Like-for-like")</f>
        <v>Single quote</v>
      </c>
      <c r="U42" s="79" t="str">
        <f aca="false">IF(COUNT(W42:Z42)&lt;2,"",IF(MAX(W42:Z42)=MIN(W42:Z42),"OK","Qty differs"))</f>
        <v/>
      </c>
      <c r="V42" s="80"/>
      <c r="W42" s="81"/>
      <c r="X42" s="81"/>
      <c r="Y42" s="81" t="n">
        <f aca="false">IF(COUNTIFS('Quote Lines'!$P$3:$P$805,$A42&amp;"|"&amp;I$6&amp;"|1",'Quote Lines'!$M$3:$M$805,"Y")=0,"",SUMIFS('Quote Lines'!$L$3:$L$805,'Quote Lines'!$P$3:$P$805,$A42&amp;"|"&amp;I$6&amp;"|1",'Quote Lines'!$M$3:$M$805,"Y"))</f>
        <v>1</v>
      </c>
      <c r="Z42" s="81"/>
      <c r="AA42" s="82" t="str">
        <f aca="false">IF(ISNUMBER(G42),1+SUMPRODUCT(ISNUMBER($G42:$J42)*($G42:$J42&lt;G42)),"")</f>
        <v/>
      </c>
      <c r="AB42" s="82" t="str">
        <f aca="false">IF(ISNUMBER(H42),1+SUMPRODUCT(ISNUMBER($G42:$J42)*($G42:$J42&lt;H42)),"")</f>
        <v/>
      </c>
      <c r="AC42" s="82" t="n">
        <f aca="false">IF(ISNUMBER(I42),1+SUMPRODUCT(ISNUMBER($G42:$J42)*($G42:$J42&lt;I42)),"")</f>
        <v>1</v>
      </c>
      <c r="AD42" s="82" t="str">
        <f aca="false">IF(ISNUMBER(J42),1+SUMPRODUCT(ISNUMBER($G42:$J42)*($G42:$J42&lt;J42)),"")</f>
        <v/>
      </c>
      <c r="AE42" s="82" t="n">
        <f aca="false">IF(NOT(ISNUMBER(G42)),0,IF($S42&lt;2,5,IF(AA42=1,1,IF(G42=MAX($G42:$J42),4,IF(AA42=2,2,3)))))</f>
        <v>0</v>
      </c>
      <c r="AF42" s="82" t="n">
        <f aca="false">IF(NOT(ISNUMBER(H42)),0,IF($S42&lt;2,5,IF(AB42=1,1,IF(H42=MAX($G42:$J42),4,IF(AB42=2,2,3)))))</f>
        <v>0</v>
      </c>
      <c r="AG42" s="82" t="n">
        <f aca="false">IF(NOT(ISNUMBER(I42)),0,IF($S42&lt;2,5,IF(AC42=1,1,IF(I42=MAX($G42:$J42),4,IF(AC42=2,2,3)))))</f>
        <v>5</v>
      </c>
      <c r="AH42" s="82" t="n">
        <f aca="false">IF(NOT(ISNUMBER(J42)),0,IF($S42&lt;2,5,IF(AD42=1,1,IF(J42=MAX($G42:$J42),4,IF(AD42=2,2,3)))))</f>
        <v>0</v>
      </c>
      <c r="AI42" s="83" t="n">
        <f aca="false">IF($S42&gt;=2,IF(ISNUMBER(G42),G42*$F42,MIN($G42:$J42)*$F42),0)</f>
        <v>0</v>
      </c>
      <c r="AJ42" s="83" t="n">
        <f aca="false">IF($S42&gt;=2,IF(ISNUMBER(H42),H42*$F42,MIN($G42:$J42)*$F42),0)</f>
        <v>0</v>
      </c>
      <c r="AK42" s="83" t="n">
        <f aca="false">IF($S42&gt;=2,IF(ISNUMBER(I42),I42*$F42,MIN($G42:$J42)*$F42),0)</f>
        <v>0</v>
      </c>
      <c r="AL42" s="83" t="n">
        <f aca="false">IF($S42&gt;=2,IF(ISNUMBER(J42),J42*$F42,MIN($G42:$J42)*$F42),0)</f>
        <v>0</v>
      </c>
      <c r="AM42" s="84" t="str">
        <f aca="false">IF($S42&gt;=2,$R42+ROW()/1000000,"")</f>
        <v/>
      </c>
      <c r="AN42" s="83" t="str">
        <f aca="false">IF($S42&gt;=2,MAX(G42:J42),"")</f>
        <v/>
      </c>
      <c r="AO42" s="82" t="str">
        <f aca="false">IF($S42&gt;=2,INDEX($G$6:$J$6,MATCH(MAX(G42:J42),G42:J42,0)),"")</f>
        <v/>
      </c>
      <c r="AP42" s="83" t="n">
        <f aca="false">IF($S42&gt;=2,MIN(G42:J42)*$F42,0)</f>
        <v>0</v>
      </c>
      <c r="AQ42" s="82" t="str">
        <f aca="false">IF($S42&gt;=2,INDEX($G$6:$J$6,MATCH(MIN(G42:J42),G42:J42,0)),"")</f>
        <v/>
      </c>
    </row>
    <row r="43" customFormat="false" ht="15" hidden="false" customHeight="true" outlineLevel="0" collapsed="false">
      <c r="A43" s="70" t="s">
        <v>211</v>
      </c>
      <c r="B43" s="71" t="s">
        <v>130</v>
      </c>
      <c r="C43" s="72" t="s">
        <v>183</v>
      </c>
      <c r="D43" s="73" t="s">
        <v>212</v>
      </c>
      <c r="E43" s="74" t="s">
        <v>133</v>
      </c>
      <c r="F43" s="75" t="n">
        <v>1</v>
      </c>
      <c r="G43" s="85" t="s">
        <v>138</v>
      </c>
      <c r="H43" s="76" t="n">
        <f aca="false">IF(COUNTIF('Quote Lines'!$P$3:$P$805,$A43&amp;"|"&amp;H$6&amp;"|1")=0,"—",SUMIFS('Quote Lines'!$O$3:$O$805,'Quote Lines'!$P$3:$P$805,$A43&amp;"|"&amp;H$6&amp;"|1")/SUMIFS('Quote Lines'!$L$3:$L$805,'Quote Lines'!$P$3:$P$805,$A43&amp;"|"&amp;H$6&amp;"|1"))</f>
        <v>741.76</v>
      </c>
      <c r="I43" s="85" t="s">
        <v>138</v>
      </c>
      <c r="J43" s="85" t="s">
        <v>138</v>
      </c>
      <c r="K43" s="14" t="str">
        <f aca="false">IF(ISNUMBER(G43),G43*$F43,"—")</f>
        <v>—</v>
      </c>
      <c r="L43" s="14" t="n">
        <f aca="false">IF(ISNUMBER(H43),H43*$F43,"—")</f>
        <v>741.76</v>
      </c>
      <c r="M43" s="14" t="str">
        <f aca="false">IF(ISNUMBER(I43),I43*$F43,"—")</f>
        <v>—</v>
      </c>
      <c r="N43" s="14" t="str">
        <f aca="false">IF(ISNUMBER(J43),J43*$F43,"—")</f>
        <v>—</v>
      </c>
      <c r="O43" s="77" t="n">
        <f aca="false">IF($S43=0,"—",MIN(G43:J43))</f>
        <v>741.76</v>
      </c>
      <c r="P43" s="42" t="str">
        <f aca="false">IF($S43=0,"—",IF(COUNTIF(G43:J43,O43)&gt;1,"Tie",INDEX($G$6:$J$6,MATCH(O43,G43:J43,0))))</f>
        <v>HD Fowler</v>
      </c>
      <c r="Q43" s="48" t="str">
        <f aca="false">IF($S43&gt;=2,MAX(G43:J43)/MIN(G43:J43)-1,"—")</f>
        <v>—</v>
      </c>
      <c r="R43" s="78" t="str">
        <f aca="false">IF($S43&gt;=2,(MAX(G43:J43)-MIN(G43:J43))*$F43,"—")</f>
        <v>—</v>
      </c>
      <c r="S43" s="18" t="n">
        <f aca="false">COUNT(G43:J43)</f>
        <v>1</v>
      </c>
      <c r="T43" s="79" t="str">
        <f aca="false">IF($S43&lt;=1,IF($S43=1,"Single quote","—"),"Like-for-like")</f>
        <v>Single quote</v>
      </c>
      <c r="U43" s="79" t="str">
        <f aca="false">IF(COUNT(W43:Z43)&lt;2,"",IF(MAX(W43:Z43)=MIN(W43:Z43),"OK","Qty differs"))</f>
        <v/>
      </c>
      <c r="V43" s="80"/>
      <c r="W43" s="81"/>
      <c r="X43" s="81" t="n">
        <f aca="false">IF(COUNTIFS('Quote Lines'!$P$3:$P$805,$A43&amp;"|"&amp;H$6&amp;"|1",'Quote Lines'!$M$3:$M$805,"Y")=0,"",SUMIFS('Quote Lines'!$L$3:$L$805,'Quote Lines'!$P$3:$P$805,$A43&amp;"|"&amp;H$6&amp;"|1",'Quote Lines'!$M$3:$M$805,"Y"))</f>
        <v>1</v>
      </c>
      <c r="Y43" s="81"/>
      <c r="Z43" s="81"/>
      <c r="AA43" s="82" t="str">
        <f aca="false">IF(ISNUMBER(G43),1+SUMPRODUCT(ISNUMBER($G43:$J43)*($G43:$J43&lt;G43)),"")</f>
        <v/>
      </c>
      <c r="AB43" s="82" t="n">
        <f aca="false">IF(ISNUMBER(H43),1+SUMPRODUCT(ISNUMBER($G43:$J43)*($G43:$J43&lt;H43)),"")</f>
        <v>1</v>
      </c>
      <c r="AC43" s="82" t="str">
        <f aca="false">IF(ISNUMBER(I43),1+SUMPRODUCT(ISNUMBER($G43:$J43)*($G43:$J43&lt;I43)),"")</f>
        <v/>
      </c>
      <c r="AD43" s="82" t="str">
        <f aca="false">IF(ISNUMBER(J43),1+SUMPRODUCT(ISNUMBER($G43:$J43)*($G43:$J43&lt;J43)),"")</f>
        <v/>
      </c>
      <c r="AE43" s="82" t="n">
        <f aca="false">IF(NOT(ISNUMBER(G43)),0,IF($S43&lt;2,5,IF(AA43=1,1,IF(G43=MAX($G43:$J43),4,IF(AA43=2,2,3)))))</f>
        <v>0</v>
      </c>
      <c r="AF43" s="82" t="n">
        <f aca="false">IF(NOT(ISNUMBER(H43)),0,IF($S43&lt;2,5,IF(AB43=1,1,IF(H43=MAX($G43:$J43),4,IF(AB43=2,2,3)))))</f>
        <v>5</v>
      </c>
      <c r="AG43" s="82" t="n">
        <f aca="false">IF(NOT(ISNUMBER(I43)),0,IF($S43&lt;2,5,IF(AC43=1,1,IF(I43=MAX($G43:$J43),4,IF(AC43=2,2,3)))))</f>
        <v>0</v>
      </c>
      <c r="AH43" s="82" t="n">
        <f aca="false">IF(NOT(ISNUMBER(J43)),0,IF($S43&lt;2,5,IF(AD43=1,1,IF(J43=MAX($G43:$J43),4,IF(AD43=2,2,3)))))</f>
        <v>0</v>
      </c>
      <c r="AI43" s="83" t="n">
        <f aca="false">IF($S43&gt;=2,IF(ISNUMBER(G43),G43*$F43,MIN($G43:$J43)*$F43),0)</f>
        <v>0</v>
      </c>
      <c r="AJ43" s="83" t="n">
        <f aca="false">IF($S43&gt;=2,IF(ISNUMBER(H43),H43*$F43,MIN($G43:$J43)*$F43),0)</f>
        <v>0</v>
      </c>
      <c r="AK43" s="83" t="n">
        <f aca="false">IF($S43&gt;=2,IF(ISNUMBER(I43),I43*$F43,MIN($G43:$J43)*$F43),0)</f>
        <v>0</v>
      </c>
      <c r="AL43" s="83" t="n">
        <f aca="false">IF($S43&gt;=2,IF(ISNUMBER(J43),J43*$F43,MIN($G43:$J43)*$F43),0)</f>
        <v>0</v>
      </c>
      <c r="AM43" s="84" t="str">
        <f aca="false">IF($S43&gt;=2,$R43+ROW()/1000000,"")</f>
        <v/>
      </c>
      <c r="AN43" s="83" t="str">
        <f aca="false">IF($S43&gt;=2,MAX(G43:J43),"")</f>
        <v/>
      </c>
      <c r="AO43" s="82" t="str">
        <f aca="false">IF($S43&gt;=2,INDEX($G$6:$J$6,MATCH(MAX(G43:J43),G43:J43,0)),"")</f>
        <v/>
      </c>
      <c r="AP43" s="83" t="n">
        <f aca="false">IF($S43&gt;=2,MIN(G43:J43)*$F43,0)</f>
        <v>0</v>
      </c>
      <c r="AQ43" s="82" t="str">
        <f aca="false">IF($S43&gt;=2,INDEX($G$6:$J$6,MATCH(MIN(G43:J43),G43:J43,0)),"")</f>
        <v/>
      </c>
    </row>
    <row r="44" customFormat="false" ht="15" hidden="false" customHeight="true" outlineLevel="0" collapsed="false">
      <c r="A44" s="70" t="s">
        <v>213</v>
      </c>
      <c r="B44" s="71" t="s">
        <v>130</v>
      </c>
      <c r="C44" s="72" t="s">
        <v>183</v>
      </c>
      <c r="D44" s="73" t="s">
        <v>214</v>
      </c>
      <c r="E44" s="74" t="s">
        <v>133</v>
      </c>
      <c r="F44" s="75" t="n">
        <v>1</v>
      </c>
      <c r="G44" s="85" t="s">
        <v>138</v>
      </c>
      <c r="H44" s="76" t="n">
        <f aca="false">IF(COUNTIF('Quote Lines'!$P$3:$P$805,$A44&amp;"|"&amp;H$6&amp;"|1")=0,"—",SUMIFS('Quote Lines'!$O$3:$O$805,'Quote Lines'!$P$3:$P$805,$A44&amp;"|"&amp;H$6&amp;"|1")/SUMIFS('Quote Lines'!$L$3:$L$805,'Quote Lines'!$P$3:$P$805,$A44&amp;"|"&amp;H$6&amp;"|1"))</f>
        <v>1935.16</v>
      </c>
      <c r="I44" s="85" t="s">
        <v>138</v>
      </c>
      <c r="J44" s="85" t="s">
        <v>138</v>
      </c>
      <c r="K44" s="14" t="str">
        <f aca="false">IF(ISNUMBER(G44),G44*$F44,"—")</f>
        <v>—</v>
      </c>
      <c r="L44" s="14" t="n">
        <f aca="false">IF(ISNUMBER(H44),H44*$F44,"—")</f>
        <v>1935.16</v>
      </c>
      <c r="M44" s="14" t="str">
        <f aca="false">IF(ISNUMBER(I44),I44*$F44,"—")</f>
        <v>—</v>
      </c>
      <c r="N44" s="14" t="str">
        <f aca="false">IF(ISNUMBER(J44),J44*$F44,"—")</f>
        <v>—</v>
      </c>
      <c r="O44" s="77" t="n">
        <f aca="false">IF($S44=0,"—",MIN(G44:J44))</f>
        <v>1935.16</v>
      </c>
      <c r="P44" s="42" t="str">
        <f aca="false">IF($S44=0,"—",IF(COUNTIF(G44:J44,O44)&gt;1,"Tie",INDEX($G$6:$J$6,MATCH(O44,G44:J44,0))))</f>
        <v>HD Fowler</v>
      </c>
      <c r="Q44" s="48" t="str">
        <f aca="false">IF($S44&gt;=2,MAX(G44:J44)/MIN(G44:J44)-1,"—")</f>
        <v>—</v>
      </c>
      <c r="R44" s="78" t="str">
        <f aca="false">IF($S44&gt;=2,(MAX(G44:J44)-MIN(G44:J44))*$F44,"—")</f>
        <v>—</v>
      </c>
      <c r="S44" s="18" t="n">
        <f aca="false">COUNT(G44:J44)</f>
        <v>1</v>
      </c>
      <c r="T44" s="79" t="str">
        <f aca="false">IF($S44&lt;=1,IF($S44=1,"Single quote","—"),"Like-for-like")</f>
        <v>Single quote</v>
      </c>
      <c r="U44" s="79" t="str">
        <f aca="false">IF(COUNT(W44:Z44)&lt;2,"",IF(MAX(W44:Z44)=MIN(W44:Z44),"OK","Qty differs"))</f>
        <v/>
      </c>
      <c r="V44" s="80"/>
      <c r="W44" s="81"/>
      <c r="X44" s="81" t="n">
        <f aca="false">IF(COUNTIFS('Quote Lines'!$P$3:$P$805,$A44&amp;"|"&amp;H$6&amp;"|1",'Quote Lines'!$M$3:$M$805,"Y")=0,"",SUMIFS('Quote Lines'!$L$3:$L$805,'Quote Lines'!$P$3:$P$805,$A44&amp;"|"&amp;H$6&amp;"|1",'Quote Lines'!$M$3:$M$805,"Y"))</f>
        <v>1</v>
      </c>
      <c r="Y44" s="81"/>
      <c r="Z44" s="81"/>
      <c r="AA44" s="82" t="str">
        <f aca="false">IF(ISNUMBER(G44),1+SUMPRODUCT(ISNUMBER($G44:$J44)*($G44:$J44&lt;G44)),"")</f>
        <v/>
      </c>
      <c r="AB44" s="82" t="n">
        <f aca="false">IF(ISNUMBER(H44),1+SUMPRODUCT(ISNUMBER($G44:$J44)*($G44:$J44&lt;H44)),"")</f>
        <v>1</v>
      </c>
      <c r="AC44" s="82" t="str">
        <f aca="false">IF(ISNUMBER(I44),1+SUMPRODUCT(ISNUMBER($G44:$J44)*($G44:$J44&lt;I44)),"")</f>
        <v/>
      </c>
      <c r="AD44" s="82" t="str">
        <f aca="false">IF(ISNUMBER(J44),1+SUMPRODUCT(ISNUMBER($G44:$J44)*($G44:$J44&lt;J44)),"")</f>
        <v/>
      </c>
      <c r="AE44" s="82" t="n">
        <f aca="false">IF(NOT(ISNUMBER(G44)),0,IF($S44&lt;2,5,IF(AA44=1,1,IF(G44=MAX($G44:$J44),4,IF(AA44=2,2,3)))))</f>
        <v>0</v>
      </c>
      <c r="AF44" s="82" t="n">
        <f aca="false">IF(NOT(ISNUMBER(H44)),0,IF($S44&lt;2,5,IF(AB44=1,1,IF(H44=MAX($G44:$J44),4,IF(AB44=2,2,3)))))</f>
        <v>5</v>
      </c>
      <c r="AG44" s="82" t="n">
        <f aca="false">IF(NOT(ISNUMBER(I44)),0,IF($S44&lt;2,5,IF(AC44=1,1,IF(I44=MAX($G44:$J44),4,IF(AC44=2,2,3)))))</f>
        <v>0</v>
      </c>
      <c r="AH44" s="82" t="n">
        <f aca="false">IF(NOT(ISNUMBER(J44)),0,IF($S44&lt;2,5,IF(AD44=1,1,IF(J44=MAX($G44:$J44),4,IF(AD44=2,2,3)))))</f>
        <v>0</v>
      </c>
      <c r="AI44" s="83" t="n">
        <f aca="false">IF($S44&gt;=2,IF(ISNUMBER(G44),G44*$F44,MIN($G44:$J44)*$F44),0)</f>
        <v>0</v>
      </c>
      <c r="AJ44" s="83" t="n">
        <f aca="false">IF($S44&gt;=2,IF(ISNUMBER(H44),H44*$F44,MIN($G44:$J44)*$F44),0)</f>
        <v>0</v>
      </c>
      <c r="AK44" s="83" t="n">
        <f aca="false">IF($S44&gt;=2,IF(ISNUMBER(I44),I44*$F44,MIN($G44:$J44)*$F44),0)</f>
        <v>0</v>
      </c>
      <c r="AL44" s="83" t="n">
        <f aca="false">IF($S44&gt;=2,IF(ISNUMBER(J44),J44*$F44,MIN($G44:$J44)*$F44),0)</f>
        <v>0</v>
      </c>
      <c r="AM44" s="84" t="str">
        <f aca="false">IF($S44&gt;=2,$R44+ROW()/1000000,"")</f>
        <v/>
      </c>
      <c r="AN44" s="83" t="str">
        <f aca="false">IF($S44&gt;=2,MAX(G44:J44),"")</f>
        <v/>
      </c>
      <c r="AO44" s="82" t="str">
        <f aca="false">IF($S44&gt;=2,INDEX($G$6:$J$6,MATCH(MAX(G44:J44),G44:J44,0)),"")</f>
        <v/>
      </c>
      <c r="AP44" s="83" t="n">
        <f aca="false">IF($S44&gt;=2,MIN(G44:J44)*$F44,0)</f>
        <v>0</v>
      </c>
      <c r="AQ44" s="82" t="str">
        <f aca="false">IF($S44&gt;=2,INDEX($G$6:$J$6,MATCH(MIN(G44:J44),G44:J44,0)),"")</f>
        <v/>
      </c>
    </row>
    <row r="45" customFormat="false" ht="15" hidden="false" customHeight="true" outlineLevel="0" collapsed="false">
      <c r="A45" s="70" t="s">
        <v>215</v>
      </c>
      <c r="B45" s="71" t="s">
        <v>130</v>
      </c>
      <c r="C45" s="72" t="s">
        <v>183</v>
      </c>
      <c r="D45" s="73" t="s">
        <v>216</v>
      </c>
      <c r="E45" s="74" t="s">
        <v>133</v>
      </c>
      <c r="F45" s="75" t="n">
        <v>1</v>
      </c>
      <c r="G45" s="85" t="s">
        <v>138</v>
      </c>
      <c r="H45" s="85" t="s">
        <v>138</v>
      </c>
      <c r="I45" s="85" t="s">
        <v>138</v>
      </c>
      <c r="J45" s="76" t="n">
        <f aca="false">IF(COUNTIF('Quote Lines'!$P$3:$P$805,$A45&amp;"|"&amp;J$6&amp;"|1")=0,"—",SUMIFS('Quote Lines'!$O$3:$O$805,'Quote Lines'!$P$3:$P$805,$A45&amp;"|"&amp;J$6&amp;"|1")/SUMIFS('Quote Lines'!$L$3:$L$805,'Quote Lines'!$P$3:$P$805,$A45&amp;"|"&amp;J$6&amp;"|1"))</f>
        <v>2434</v>
      </c>
      <c r="K45" s="14" t="str">
        <f aca="false">IF(ISNUMBER(G45),G45*$F45,"—")</f>
        <v>—</v>
      </c>
      <c r="L45" s="14" t="str">
        <f aca="false">IF(ISNUMBER(H45),H45*$F45,"—")</f>
        <v>—</v>
      </c>
      <c r="M45" s="14" t="str">
        <f aca="false">IF(ISNUMBER(I45),I45*$F45,"—")</f>
        <v>—</v>
      </c>
      <c r="N45" s="14" t="n">
        <f aca="false">IF(ISNUMBER(J45),J45*$F45,"—")</f>
        <v>2434</v>
      </c>
      <c r="O45" s="77" t="n">
        <f aca="false">IF($S45=0,"—",MIN(G45:J45))</f>
        <v>2434</v>
      </c>
      <c r="P45" s="42" t="str">
        <f aca="false">IF($S45=0,"—",IF(COUNTIF(G45:J45,O45)&gt;1,"Tie",INDEX($G$6:$J$6,MATCH(O45,G45:J45,0))))</f>
        <v>Scholzen</v>
      </c>
      <c r="Q45" s="48" t="str">
        <f aca="false">IF($S45&gt;=2,MAX(G45:J45)/MIN(G45:J45)-1,"—")</f>
        <v>—</v>
      </c>
      <c r="R45" s="78" t="str">
        <f aca="false">IF($S45&gt;=2,(MAX(G45:J45)-MIN(G45:J45))*$F45,"—")</f>
        <v>—</v>
      </c>
      <c r="S45" s="18" t="n">
        <f aca="false">COUNT(G45:J45)</f>
        <v>1</v>
      </c>
      <c r="T45" s="79" t="str">
        <f aca="false">IF($S45&lt;=1,IF($S45=1,"Single quote","—"),"Like-for-like")</f>
        <v>Single quote</v>
      </c>
      <c r="U45" s="79" t="str">
        <f aca="false">IF(COUNT(W45:Z45)&lt;2,"",IF(MAX(W45:Z45)=MIN(W45:Z45),"OK","Qty differs"))</f>
        <v/>
      </c>
      <c r="V45" s="80"/>
      <c r="W45" s="81"/>
      <c r="X45" s="81"/>
      <c r="Y45" s="81"/>
      <c r="Z45" s="81" t="n">
        <f aca="false">IF(COUNTIFS('Quote Lines'!$P$3:$P$805,$A45&amp;"|"&amp;J$6&amp;"|1",'Quote Lines'!$M$3:$M$805,"Y")=0,"",SUMIFS('Quote Lines'!$L$3:$L$805,'Quote Lines'!$P$3:$P$805,$A45&amp;"|"&amp;J$6&amp;"|1",'Quote Lines'!$M$3:$M$805,"Y"))</f>
        <v>1</v>
      </c>
      <c r="AA45" s="82" t="str">
        <f aca="false">IF(ISNUMBER(G45),1+SUMPRODUCT(ISNUMBER($G45:$J45)*($G45:$J45&lt;G45)),"")</f>
        <v/>
      </c>
      <c r="AB45" s="82" t="str">
        <f aca="false">IF(ISNUMBER(H45),1+SUMPRODUCT(ISNUMBER($G45:$J45)*($G45:$J45&lt;H45)),"")</f>
        <v/>
      </c>
      <c r="AC45" s="82" t="str">
        <f aca="false">IF(ISNUMBER(I45),1+SUMPRODUCT(ISNUMBER($G45:$J45)*($G45:$J45&lt;I45)),"")</f>
        <v/>
      </c>
      <c r="AD45" s="82" t="n">
        <f aca="false">IF(ISNUMBER(J45),1+SUMPRODUCT(ISNUMBER($G45:$J45)*($G45:$J45&lt;J45)),"")</f>
        <v>1</v>
      </c>
      <c r="AE45" s="82" t="n">
        <f aca="false">IF(NOT(ISNUMBER(G45)),0,IF($S45&lt;2,5,IF(AA45=1,1,IF(G45=MAX($G45:$J45),4,IF(AA45=2,2,3)))))</f>
        <v>0</v>
      </c>
      <c r="AF45" s="82" t="n">
        <f aca="false">IF(NOT(ISNUMBER(H45)),0,IF($S45&lt;2,5,IF(AB45=1,1,IF(H45=MAX($G45:$J45),4,IF(AB45=2,2,3)))))</f>
        <v>0</v>
      </c>
      <c r="AG45" s="82" t="n">
        <f aca="false">IF(NOT(ISNUMBER(I45)),0,IF($S45&lt;2,5,IF(AC45=1,1,IF(I45=MAX($G45:$J45),4,IF(AC45=2,2,3)))))</f>
        <v>0</v>
      </c>
      <c r="AH45" s="82" t="n">
        <f aca="false">IF(NOT(ISNUMBER(J45)),0,IF($S45&lt;2,5,IF(AD45=1,1,IF(J45=MAX($G45:$J45),4,IF(AD45=2,2,3)))))</f>
        <v>5</v>
      </c>
      <c r="AI45" s="83" t="n">
        <f aca="false">IF($S45&gt;=2,IF(ISNUMBER(G45),G45*$F45,MIN($G45:$J45)*$F45),0)</f>
        <v>0</v>
      </c>
      <c r="AJ45" s="83" t="n">
        <f aca="false">IF($S45&gt;=2,IF(ISNUMBER(H45),H45*$F45,MIN($G45:$J45)*$F45),0)</f>
        <v>0</v>
      </c>
      <c r="AK45" s="83" t="n">
        <f aca="false">IF($S45&gt;=2,IF(ISNUMBER(I45),I45*$F45,MIN($G45:$J45)*$F45),0)</f>
        <v>0</v>
      </c>
      <c r="AL45" s="83" t="n">
        <f aca="false">IF($S45&gt;=2,IF(ISNUMBER(J45),J45*$F45,MIN($G45:$J45)*$F45),0)</f>
        <v>0</v>
      </c>
      <c r="AM45" s="84" t="str">
        <f aca="false">IF($S45&gt;=2,$R45+ROW()/1000000,"")</f>
        <v/>
      </c>
      <c r="AN45" s="83" t="str">
        <f aca="false">IF($S45&gt;=2,MAX(G45:J45),"")</f>
        <v/>
      </c>
      <c r="AO45" s="82" t="str">
        <f aca="false">IF($S45&gt;=2,INDEX($G$6:$J$6,MATCH(MAX(G45:J45),G45:J45,0)),"")</f>
        <v/>
      </c>
      <c r="AP45" s="83" t="n">
        <f aca="false">IF($S45&gt;=2,MIN(G45:J45)*$F45,0)</f>
        <v>0</v>
      </c>
      <c r="AQ45" s="82" t="str">
        <f aca="false">IF($S45&gt;=2,INDEX($G$6:$J$6,MATCH(MIN(G45:J45),G45:J45,0)),"")</f>
        <v/>
      </c>
    </row>
    <row r="46" customFormat="false" ht="15" hidden="false" customHeight="true" outlineLevel="0" collapsed="false">
      <c r="A46" s="70" t="s">
        <v>217</v>
      </c>
      <c r="B46" s="71" t="s">
        <v>130</v>
      </c>
      <c r="C46" s="72" t="s">
        <v>183</v>
      </c>
      <c r="D46" s="73" t="s">
        <v>218</v>
      </c>
      <c r="E46" s="74" t="s">
        <v>133</v>
      </c>
      <c r="F46" s="75" t="n">
        <v>1</v>
      </c>
      <c r="G46" s="76" t="n">
        <f aca="false">IF(COUNTIF('Quote Lines'!$P$3:$P$805,$A46&amp;"|"&amp;G$6&amp;"|1")=0,"—",SUMIFS('Quote Lines'!$O$3:$O$805,'Quote Lines'!$P$3:$P$805,$A46&amp;"|"&amp;G$6&amp;"|1")/SUMIFS('Quote Lines'!$L$3:$L$805,'Quote Lines'!$P$3:$P$805,$A46&amp;"|"&amp;G$6&amp;"|1"))</f>
        <v>1706.83</v>
      </c>
      <c r="H46" s="85" t="s">
        <v>138</v>
      </c>
      <c r="I46" s="85" t="s">
        <v>138</v>
      </c>
      <c r="J46" s="85" t="s">
        <v>138</v>
      </c>
      <c r="K46" s="14" t="n">
        <f aca="false">IF(ISNUMBER(G46),G46*$F46,"—")</f>
        <v>1706.83</v>
      </c>
      <c r="L46" s="14" t="str">
        <f aca="false">IF(ISNUMBER(H46),H46*$F46,"—")</f>
        <v>—</v>
      </c>
      <c r="M46" s="14" t="str">
        <f aca="false">IF(ISNUMBER(I46),I46*$F46,"—")</f>
        <v>—</v>
      </c>
      <c r="N46" s="14" t="str">
        <f aca="false">IF(ISNUMBER(J46),J46*$F46,"—")</f>
        <v>—</v>
      </c>
      <c r="O46" s="77" t="n">
        <f aca="false">IF($S46=0,"—",MIN(G46:J46))</f>
        <v>1706.83</v>
      </c>
      <c r="P46" s="42" t="str">
        <f aca="false">IF($S46=0,"—",IF(COUNTIF(G46:J46,O46)&gt;1,"Tie",INDEX($G$6:$J$6,MATCH(O46,G46:J46,0))))</f>
        <v>Ferguson</v>
      </c>
      <c r="Q46" s="48" t="str">
        <f aca="false">IF($S46&gt;=2,MAX(G46:J46)/MIN(G46:J46)-1,"—")</f>
        <v>—</v>
      </c>
      <c r="R46" s="78" t="str">
        <f aca="false">IF($S46&gt;=2,(MAX(G46:J46)-MIN(G46:J46))*$F46,"—")</f>
        <v>—</v>
      </c>
      <c r="S46" s="18" t="n">
        <f aca="false">COUNT(G46:J46)</f>
        <v>1</v>
      </c>
      <c r="T46" s="79" t="str">
        <f aca="false">IF($S46&lt;=1,IF($S46=1,"Single quote","—"),"Like-for-like")</f>
        <v>Single quote</v>
      </c>
      <c r="U46" s="79" t="str">
        <f aca="false">IF(COUNT(W46:Z46)&lt;2,"",IF(MAX(W46:Z46)=MIN(W46:Z46),"OK","Qty differs"))</f>
        <v/>
      </c>
      <c r="V46" s="80"/>
      <c r="W46" s="81" t="n">
        <f aca="false">IF(COUNTIFS('Quote Lines'!$P$3:$P$805,$A46&amp;"|"&amp;G$6&amp;"|1",'Quote Lines'!$M$3:$M$805,"Y")=0,"",SUMIFS('Quote Lines'!$L$3:$L$805,'Quote Lines'!$P$3:$P$805,$A46&amp;"|"&amp;G$6&amp;"|1",'Quote Lines'!$M$3:$M$805,"Y"))</f>
        <v>1</v>
      </c>
      <c r="X46" s="81"/>
      <c r="Y46" s="81"/>
      <c r="Z46" s="81"/>
      <c r="AA46" s="82" t="n">
        <f aca="false">IF(ISNUMBER(G46),1+SUMPRODUCT(ISNUMBER($G46:$J46)*($G46:$J46&lt;G46)),"")</f>
        <v>1</v>
      </c>
      <c r="AB46" s="82" t="str">
        <f aca="false">IF(ISNUMBER(H46),1+SUMPRODUCT(ISNUMBER($G46:$J46)*($G46:$J46&lt;H46)),"")</f>
        <v/>
      </c>
      <c r="AC46" s="82" t="str">
        <f aca="false">IF(ISNUMBER(I46),1+SUMPRODUCT(ISNUMBER($G46:$J46)*($G46:$J46&lt;I46)),"")</f>
        <v/>
      </c>
      <c r="AD46" s="82" t="str">
        <f aca="false">IF(ISNUMBER(J46),1+SUMPRODUCT(ISNUMBER($G46:$J46)*($G46:$J46&lt;J46)),"")</f>
        <v/>
      </c>
      <c r="AE46" s="82" t="n">
        <f aca="false">IF(NOT(ISNUMBER(G46)),0,IF($S46&lt;2,5,IF(AA46=1,1,IF(G46=MAX($G46:$J46),4,IF(AA46=2,2,3)))))</f>
        <v>5</v>
      </c>
      <c r="AF46" s="82" t="n">
        <f aca="false">IF(NOT(ISNUMBER(H46)),0,IF($S46&lt;2,5,IF(AB46=1,1,IF(H46=MAX($G46:$J46),4,IF(AB46=2,2,3)))))</f>
        <v>0</v>
      </c>
      <c r="AG46" s="82" t="n">
        <f aca="false">IF(NOT(ISNUMBER(I46)),0,IF($S46&lt;2,5,IF(AC46=1,1,IF(I46=MAX($G46:$J46),4,IF(AC46=2,2,3)))))</f>
        <v>0</v>
      </c>
      <c r="AH46" s="82" t="n">
        <f aca="false">IF(NOT(ISNUMBER(J46)),0,IF($S46&lt;2,5,IF(AD46=1,1,IF(J46=MAX($G46:$J46),4,IF(AD46=2,2,3)))))</f>
        <v>0</v>
      </c>
      <c r="AI46" s="83" t="n">
        <f aca="false">IF($S46&gt;=2,IF(ISNUMBER(G46),G46*$F46,MIN($G46:$J46)*$F46),0)</f>
        <v>0</v>
      </c>
      <c r="AJ46" s="83" t="n">
        <f aca="false">IF($S46&gt;=2,IF(ISNUMBER(H46),H46*$F46,MIN($G46:$J46)*$F46),0)</f>
        <v>0</v>
      </c>
      <c r="AK46" s="83" t="n">
        <f aca="false">IF($S46&gt;=2,IF(ISNUMBER(I46),I46*$F46,MIN($G46:$J46)*$F46),0)</f>
        <v>0</v>
      </c>
      <c r="AL46" s="83" t="n">
        <f aca="false">IF($S46&gt;=2,IF(ISNUMBER(J46),J46*$F46,MIN($G46:$J46)*$F46),0)</f>
        <v>0</v>
      </c>
      <c r="AM46" s="84" t="str">
        <f aca="false">IF($S46&gt;=2,$R46+ROW()/1000000,"")</f>
        <v/>
      </c>
      <c r="AN46" s="83" t="str">
        <f aca="false">IF($S46&gt;=2,MAX(G46:J46),"")</f>
        <v/>
      </c>
      <c r="AO46" s="82" t="str">
        <f aca="false">IF($S46&gt;=2,INDEX($G$6:$J$6,MATCH(MAX(G46:J46),G46:J46,0)),"")</f>
        <v/>
      </c>
      <c r="AP46" s="83" t="n">
        <f aca="false">IF($S46&gt;=2,MIN(G46:J46)*$F46,0)</f>
        <v>0</v>
      </c>
      <c r="AQ46" s="82" t="str">
        <f aca="false">IF($S46&gt;=2,INDEX($G$6:$J$6,MATCH(MIN(G46:J46),G46:J46,0)),"")</f>
        <v/>
      </c>
    </row>
    <row r="47" customFormat="false" ht="15" hidden="false" customHeight="true" outlineLevel="0" collapsed="false">
      <c r="A47" s="70" t="s">
        <v>219</v>
      </c>
      <c r="B47" s="71" t="s">
        <v>130</v>
      </c>
      <c r="C47" s="72" t="s">
        <v>183</v>
      </c>
      <c r="D47" s="73" t="s">
        <v>220</v>
      </c>
      <c r="E47" s="74" t="s">
        <v>133</v>
      </c>
      <c r="F47" s="75" t="n">
        <v>1</v>
      </c>
      <c r="G47" s="85" t="s">
        <v>138</v>
      </c>
      <c r="H47" s="76" t="n">
        <f aca="false">IF(COUNTIF('Quote Lines'!$P$3:$P$805,$A47&amp;"|"&amp;H$6&amp;"|1")=0,"—",SUMIFS('Quote Lines'!$O$3:$O$805,'Quote Lines'!$P$3:$P$805,$A47&amp;"|"&amp;H$6&amp;"|1")/SUMIFS('Quote Lines'!$L$3:$L$805,'Quote Lines'!$P$3:$P$805,$A47&amp;"|"&amp;H$6&amp;"|1"))</f>
        <v>1294.51</v>
      </c>
      <c r="I47" s="85" t="s">
        <v>138</v>
      </c>
      <c r="J47" s="85" t="s">
        <v>138</v>
      </c>
      <c r="K47" s="14" t="str">
        <f aca="false">IF(ISNUMBER(G47),G47*$F47,"—")</f>
        <v>—</v>
      </c>
      <c r="L47" s="14" t="n">
        <f aca="false">IF(ISNUMBER(H47),H47*$F47,"—")</f>
        <v>1294.51</v>
      </c>
      <c r="M47" s="14" t="str">
        <f aca="false">IF(ISNUMBER(I47),I47*$F47,"—")</f>
        <v>—</v>
      </c>
      <c r="N47" s="14" t="str">
        <f aca="false">IF(ISNUMBER(J47),J47*$F47,"—")</f>
        <v>—</v>
      </c>
      <c r="O47" s="77" t="n">
        <f aca="false">IF($S47=0,"—",MIN(G47:J47))</f>
        <v>1294.51</v>
      </c>
      <c r="P47" s="42" t="str">
        <f aca="false">IF($S47=0,"—",IF(COUNTIF(G47:J47,O47)&gt;1,"Tie",INDEX($G$6:$J$6,MATCH(O47,G47:J47,0))))</f>
        <v>HD Fowler</v>
      </c>
      <c r="Q47" s="48" t="str">
        <f aca="false">IF($S47&gt;=2,MAX(G47:J47)/MIN(G47:J47)-1,"—")</f>
        <v>—</v>
      </c>
      <c r="R47" s="78" t="str">
        <f aca="false">IF($S47&gt;=2,(MAX(G47:J47)-MIN(G47:J47))*$F47,"—")</f>
        <v>—</v>
      </c>
      <c r="S47" s="18" t="n">
        <f aca="false">COUNT(G47:J47)</f>
        <v>1</v>
      </c>
      <c r="T47" s="79" t="str">
        <f aca="false">IF($S47&lt;=1,IF($S47=1,"Single quote","—"),"Like-for-like")</f>
        <v>Single quote</v>
      </c>
      <c r="U47" s="79" t="str">
        <f aca="false">IF(COUNT(W47:Z47)&lt;2,"",IF(MAX(W47:Z47)=MIN(W47:Z47),"OK","Qty differs"))</f>
        <v/>
      </c>
      <c r="V47" s="80"/>
      <c r="W47" s="81"/>
      <c r="X47" s="81" t="n">
        <f aca="false">IF(COUNTIFS('Quote Lines'!$P$3:$P$805,$A47&amp;"|"&amp;H$6&amp;"|1",'Quote Lines'!$M$3:$M$805,"Y")=0,"",SUMIFS('Quote Lines'!$L$3:$L$805,'Quote Lines'!$P$3:$P$805,$A47&amp;"|"&amp;H$6&amp;"|1",'Quote Lines'!$M$3:$M$805,"Y"))</f>
        <v>1</v>
      </c>
      <c r="Y47" s="81"/>
      <c r="Z47" s="81"/>
      <c r="AA47" s="82" t="str">
        <f aca="false">IF(ISNUMBER(G47),1+SUMPRODUCT(ISNUMBER($G47:$J47)*($G47:$J47&lt;G47)),"")</f>
        <v/>
      </c>
      <c r="AB47" s="82" t="n">
        <f aca="false">IF(ISNUMBER(H47),1+SUMPRODUCT(ISNUMBER($G47:$J47)*($G47:$J47&lt;H47)),"")</f>
        <v>1</v>
      </c>
      <c r="AC47" s="82" t="str">
        <f aca="false">IF(ISNUMBER(I47),1+SUMPRODUCT(ISNUMBER($G47:$J47)*($G47:$J47&lt;I47)),"")</f>
        <v/>
      </c>
      <c r="AD47" s="82" t="str">
        <f aca="false">IF(ISNUMBER(J47),1+SUMPRODUCT(ISNUMBER($G47:$J47)*($G47:$J47&lt;J47)),"")</f>
        <v/>
      </c>
      <c r="AE47" s="82" t="n">
        <f aca="false">IF(NOT(ISNUMBER(G47)),0,IF($S47&lt;2,5,IF(AA47=1,1,IF(G47=MAX($G47:$J47),4,IF(AA47=2,2,3)))))</f>
        <v>0</v>
      </c>
      <c r="AF47" s="82" t="n">
        <f aca="false">IF(NOT(ISNUMBER(H47)),0,IF($S47&lt;2,5,IF(AB47=1,1,IF(H47=MAX($G47:$J47),4,IF(AB47=2,2,3)))))</f>
        <v>5</v>
      </c>
      <c r="AG47" s="82" t="n">
        <f aca="false">IF(NOT(ISNUMBER(I47)),0,IF($S47&lt;2,5,IF(AC47=1,1,IF(I47=MAX($G47:$J47),4,IF(AC47=2,2,3)))))</f>
        <v>0</v>
      </c>
      <c r="AH47" s="82" t="n">
        <f aca="false">IF(NOT(ISNUMBER(J47)),0,IF($S47&lt;2,5,IF(AD47=1,1,IF(J47=MAX($G47:$J47),4,IF(AD47=2,2,3)))))</f>
        <v>0</v>
      </c>
      <c r="AI47" s="83" t="n">
        <f aca="false">IF($S47&gt;=2,IF(ISNUMBER(G47),G47*$F47,MIN($G47:$J47)*$F47),0)</f>
        <v>0</v>
      </c>
      <c r="AJ47" s="83" t="n">
        <f aca="false">IF($S47&gt;=2,IF(ISNUMBER(H47),H47*$F47,MIN($G47:$J47)*$F47),0)</f>
        <v>0</v>
      </c>
      <c r="AK47" s="83" t="n">
        <f aca="false">IF($S47&gt;=2,IF(ISNUMBER(I47),I47*$F47,MIN($G47:$J47)*$F47),0)</f>
        <v>0</v>
      </c>
      <c r="AL47" s="83" t="n">
        <f aca="false">IF($S47&gt;=2,IF(ISNUMBER(J47),J47*$F47,MIN($G47:$J47)*$F47),0)</f>
        <v>0</v>
      </c>
      <c r="AM47" s="84" t="str">
        <f aca="false">IF($S47&gt;=2,$R47+ROW()/1000000,"")</f>
        <v/>
      </c>
      <c r="AN47" s="83" t="str">
        <f aca="false">IF($S47&gt;=2,MAX(G47:J47),"")</f>
        <v/>
      </c>
      <c r="AO47" s="82" t="str">
        <f aca="false">IF($S47&gt;=2,INDEX($G$6:$J$6,MATCH(MAX(G47:J47),G47:J47,0)),"")</f>
        <v/>
      </c>
      <c r="AP47" s="83" t="n">
        <f aca="false">IF($S47&gt;=2,MIN(G47:J47)*$F47,0)</f>
        <v>0</v>
      </c>
      <c r="AQ47" s="82" t="str">
        <f aca="false">IF($S47&gt;=2,INDEX($G$6:$J$6,MATCH(MIN(G47:J47),G47:J47,0)),"")</f>
        <v/>
      </c>
    </row>
    <row r="48" customFormat="false" ht="15" hidden="false" customHeight="true" outlineLevel="0" collapsed="false">
      <c r="A48" s="70" t="s">
        <v>221</v>
      </c>
      <c r="B48" s="71" t="s">
        <v>130</v>
      </c>
      <c r="C48" s="72" t="s">
        <v>183</v>
      </c>
      <c r="D48" s="73" t="s">
        <v>222</v>
      </c>
      <c r="E48" s="74" t="s">
        <v>133</v>
      </c>
      <c r="F48" s="75" t="n">
        <v>1</v>
      </c>
      <c r="G48" s="85" t="s">
        <v>138</v>
      </c>
      <c r="H48" s="85" t="s">
        <v>138</v>
      </c>
      <c r="I48" s="85" t="s">
        <v>138</v>
      </c>
      <c r="J48" s="76" t="n">
        <f aca="false">IF(COUNTIF('Quote Lines'!$P$3:$P$805,$A48&amp;"|"&amp;J$6&amp;"|1")=0,"—",SUMIFS('Quote Lines'!$O$3:$O$805,'Quote Lines'!$P$3:$P$805,$A48&amp;"|"&amp;J$6&amp;"|1")/SUMIFS('Quote Lines'!$L$3:$L$805,'Quote Lines'!$P$3:$P$805,$A48&amp;"|"&amp;J$6&amp;"|1"))</f>
        <v>2121</v>
      </c>
      <c r="K48" s="14" t="str">
        <f aca="false">IF(ISNUMBER(G48),G48*$F48,"—")</f>
        <v>—</v>
      </c>
      <c r="L48" s="14" t="str">
        <f aca="false">IF(ISNUMBER(H48),H48*$F48,"—")</f>
        <v>—</v>
      </c>
      <c r="M48" s="14" t="str">
        <f aca="false">IF(ISNUMBER(I48),I48*$F48,"—")</f>
        <v>—</v>
      </c>
      <c r="N48" s="14" t="n">
        <f aca="false">IF(ISNUMBER(J48),J48*$F48,"—")</f>
        <v>2121</v>
      </c>
      <c r="O48" s="77" t="n">
        <f aca="false">IF($S48=0,"—",MIN(G48:J48))</f>
        <v>2121</v>
      </c>
      <c r="P48" s="42" t="str">
        <f aca="false">IF($S48=0,"—",IF(COUNTIF(G48:J48,O48)&gt;1,"Tie",INDEX($G$6:$J$6,MATCH(O48,G48:J48,0))))</f>
        <v>Scholzen</v>
      </c>
      <c r="Q48" s="48" t="str">
        <f aca="false">IF($S48&gt;=2,MAX(G48:J48)/MIN(G48:J48)-1,"—")</f>
        <v>—</v>
      </c>
      <c r="R48" s="78" t="str">
        <f aca="false">IF($S48&gt;=2,(MAX(G48:J48)-MIN(G48:J48))*$F48,"—")</f>
        <v>—</v>
      </c>
      <c r="S48" s="18" t="n">
        <f aca="false">COUNT(G48:J48)</f>
        <v>1</v>
      </c>
      <c r="T48" s="79" t="str">
        <f aca="false">IF($S48&lt;=1,IF($S48=1,"Single quote","—"),"Like-for-like")</f>
        <v>Single quote</v>
      </c>
      <c r="U48" s="79" t="str">
        <f aca="false">IF(COUNT(W48:Z48)&lt;2,"",IF(MAX(W48:Z48)=MIN(W48:Z48),"OK","Qty differs"))</f>
        <v/>
      </c>
      <c r="V48" s="80"/>
      <c r="W48" s="81"/>
      <c r="X48" s="81"/>
      <c r="Y48" s="81"/>
      <c r="Z48" s="81" t="n">
        <f aca="false">IF(COUNTIFS('Quote Lines'!$P$3:$P$805,$A48&amp;"|"&amp;J$6&amp;"|1",'Quote Lines'!$M$3:$M$805,"Y")=0,"",SUMIFS('Quote Lines'!$L$3:$L$805,'Quote Lines'!$P$3:$P$805,$A48&amp;"|"&amp;J$6&amp;"|1",'Quote Lines'!$M$3:$M$805,"Y"))</f>
        <v>1</v>
      </c>
      <c r="AA48" s="82" t="str">
        <f aca="false">IF(ISNUMBER(G48),1+SUMPRODUCT(ISNUMBER($G48:$J48)*($G48:$J48&lt;G48)),"")</f>
        <v/>
      </c>
      <c r="AB48" s="82" t="str">
        <f aca="false">IF(ISNUMBER(H48),1+SUMPRODUCT(ISNUMBER($G48:$J48)*($G48:$J48&lt;H48)),"")</f>
        <v/>
      </c>
      <c r="AC48" s="82" t="str">
        <f aca="false">IF(ISNUMBER(I48),1+SUMPRODUCT(ISNUMBER($G48:$J48)*($G48:$J48&lt;I48)),"")</f>
        <v/>
      </c>
      <c r="AD48" s="82" t="n">
        <f aca="false">IF(ISNUMBER(J48),1+SUMPRODUCT(ISNUMBER($G48:$J48)*($G48:$J48&lt;J48)),"")</f>
        <v>1</v>
      </c>
      <c r="AE48" s="82" t="n">
        <f aca="false">IF(NOT(ISNUMBER(G48)),0,IF($S48&lt;2,5,IF(AA48=1,1,IF(G48=MAX($G48:$J48),4,IF(AA48=2,2,3)))))</f>
        <v>0</v>
      </c>
      <c r="AF48" s="82" t="n">
        <f aca="false">IF(NOT(ISNUMBER(H48)),0,IF($S48&lt;2,5,IF(AB48=1,1,IF(H48=MAX($G48:$J48),4,IF(AB48=2,2,3)))))</f>
        <v>0</v>
      </c>
      <c r="AG48" s="82" t="n">
        <f aca="false">IF(NOT(ISNUMBER(I48)),0,IF($S48&lt;2,5,IF(AC48=1,1,IF(I48=MAX($G48:$J48),4,IF(AC48=2,2,3)))))</f>
        <v>0</v>
      </c>
      <c r="AH48" s="82" t="n">
        <f aca="false">IF(NOT(ISNUMBER(J48)),0,IF($S48&lt;2,5,IF(AD48=1,1,IF(J48=MAX($G48:$J48),4,IF(AD48=2,2,3)))))</f>
        <v>5</v>
      </c>
      <c r="AI48" s="83" t="n">
        <f aca="false">IF($S48&gt;=2,IF(ISNUMBER(G48),G48*$F48,MIN($G48:$J48)*$F48),0)</f>
        <v>0</v>
      </c>
      <c r="AJ48" s="83" t="n">
        <f aca="false">IF($S48&gt;=2,IF(ISNUMBER(H48),H48*$F48,MIN($G48:$J48)*$F48),0)</f>
        <v>0</v>
      </c>
      <c r="AK48" s="83" t="n">
        <f aca="false">IF($S48&gt;=2,IF(ISNUMBER(I48),I48*$F48,MIN($G48:$J48)*$F48),0)</f>
        <v>0</v>
      </c>
      <c r="AL48" s="83" t="n">
        <f aca="false">IF($S48&gt;=2,IF(ISNUMBER(J48),J48*$F48,MIN($G48:$J48)*$F48),0)</f>
        <v>0</v>
      </c>
      <c r="AM48" s="84" t="str">
        <f aca="false">IF($S48&gt;=2,$R48+ROW()/1000000,"")</f>
        <v/>
      </c>
      <c r="AN48" s="83" t="str">
        <f aca="false">IF($S48&gt;=2,MAX(G48:J48),"")</f>
        <v/>
      </c>
      <c r="AO48" s="82" t="str">
        <f aca="false">IF($S48&gt;=2,INDEX($G$6:$J$6,MATCH(MAX(G48:J48),G48:J48,0)),"")</f>
        <v/>
      </c>
      <c r="AP48" s="83" t="n">
        <f aca="false">IF($S48&gt;=2,MIN(G48:J48)*$F48,0)</f>
        <v>0</v>
      </c>
      <c r="AQ48" s="82" t="str">
        <f aca="false">IF($S48&gt;=2,INDEX($G$6:$J$6,MATCH(MIN(G48:J48),G48:J48,0)),"")</f>
        <v/>
      </c>
    </row>
    <row r="49" customFormat="false" ht="15" hidden="false" customHeight="true" outlineLevel="0" collapsed="false">
      <c r="A49" s="70" t="s">
        <v>223</v>
      </c>
      <c r="B49" s="71" t="s">
        <v>130</v>
      </c>
      <c r="C49" s="72" t="s">
        <v>183</v>
      </c>
      <c r="D49" s="73" t="s">
        <v>224</v>
      </c>
      <c r="E49" s="74" t="s">
        <v>133</v>
      </c>
      <c r="F49" s="75" t="n">
        <v>1</v>
      </c>
      <c r="G49" s="76" t="n">
        <f aca="false">IF(COUNTIF('Quote Lines'!$P$3:$P$805,$A49&amp;"|"&amp;G$6&amp;"|1")=0,"—",SUMIFS('Quote Lines'!$O$3:$O$805,'Quote Lines'!$P$3:$P$805,$A49&amp;"|"&amp;G$6&amp;"|1")/SUMIFS('Quote Lines'!$L$3:$L$805,'Quote Lines'!$P$3:$P$805,$A49&amp;"|"&amp;G$6&amp;"|1"))</f>
        <v>1572.09</v>
      </c>
      <c r="H49" s="85" t="s">
        <v>138</v>
      </c>
      <c r="I49" s="85" t="s">
        <v>138</v>
      </c>
      <c r="J49" s="85" t="s">
        <v>138</v>
      </c>
      <c r="K49" s="14" t="n">
        <f aca="false">IF(ISNUMBER(G49),G49*$F49,"—")</f>
        <v>1572.09</v>
      </c>
      <c r="L49" s="14" t="str">
        <f aca="false">IF(ISNUMBER(H49),H49*$F49,"—")</f>
        <v>—</v>
      </c>
      <c r="M49" s="14" t="str">
        <f aca="false">IF(ISNUMBER(I49),I49*$F49,"—")</f>
        <v>—</v>
      </c>
      <c r="N49" s="14" t="str">
        <f aca="false">IF(ISNUMBER(J49),J49*$F49,"—")</f>
        <v>—</v>
      </c>
      <c r="O49" s="77" t="n">
        <f aca="false">IF($S49=0,"—",MIN(G49:J49))</f>
        <v>1572.09</v>
      </c>
      <c r="P49" s="42" t="str">
        <f aca="false">IF($S49=0,"—",IF(COUNTIF(G49:J49,O49)&gt;1,"Tie",INDEX($G$6:$J$6,MATCH(O49,G49:J49,0))))</f>
        <v>Ferguson</v>
      </c>
      <c r="Q49" s="48" t="str">
        <f aca="false">IF($S49&gt;=2,MAX(G49:J49)/MIN(G49:J49)-1,"—")</f>
        <v>—</v>
      </c>
      <c r="R49" s="78" t="str">
        <f aca="false">IF($S49&gt;=2,(MAX(G49:J49)-MIN(G49:J49))*$F49,"—")</f>
        <v>—</v>
      </c>
      <c r="S49" s="18" t="n">
        <f aca="false">COUNT(G49:J49)</f>
        <v>1</v>
      </c>
      <c r="T49" s="79" t="str">
        <f aca="false">IF($S49&lt;=1,IF($S49=1,"Single quote","—"),"Like-for-like")</f>
        <v>Single quote</v>
      </c>
      <c r="U49" s="79" t="str">
        <f aca="false">IF(COUNT(W49:Z49)&lt;2,"",IF(MAX(W49:Z49)=MIN(W49:Z49),"OK","Qty differs"))</f>
        <v/>
      </c>
      <c r="V49" s="80"/>
      <c r="W49" s="81" t="n">
        <f aca="false">IF(COUNTIFS('Quote Lines'!$P$3:$P$805,$A49&amp;"|"&amp;G$6&amp;"|1",'Quote Lines'!$M$3:$M$805,"Y")=0,"",SUMIFS('Quote Lines'!$L$3:$L$805,'Quote Lines'!$P$3:$P$805,$A49&amp;"|"&amp;G$6&amp;"|1",'Quote Lines'!$M$3:$M$805,"Y"))</f>
        <v>1</v>
      </c>
      <c r="X49" s="81"/>
      <c r="Y49" s="81"/>
      <c r="Z49" s="81"/>
      <c r="AA49" s="82" t="n">
        <f aca="false">IF(ISNUMBER(G49),1+SUMPRODUCT(ISNUMBER($G49:$J49)*($G49:$J49&lt;G49)),"")</f>
        <v>1</v>
      </c>
      <c r="AB49" s="82" t="str">
        <f aca="false">IF(ISNUMBER(H49),1+SUMPRODUCT(ISNUMBER($G49:$J49)*($G49:$J49&lt;H49)),"")</f>
        <v/>
      </c>
      <c r="AC49" s="82" t="str">
        <f aca="false">IF(ISNUMBER(I49),1+SUMPRODUCT(ISNUMBER($G49:$J49)*($G49:$J49&lt;I49)),"")</f>
        <v/>
      </c>
      <c r="AD49" s="82" t="str">
        <f aca="false">IF(ISNUMBER(J49),1+SUMPRODUCT(ISNUMBER($G49:$J49)*($G49:$J49&lt;J49)),"")</f>
        <v/>
      </c>
      <c r="AE49" s="82" t="n">
        <f aca="false">IF(NOT(ISNUMBER(G49)),0,IF($S49&lt;2,5,IF(AA49=1,1,IF(G49=MAX($G49:$J49),4,IF(AA49=2,2,3)))))</f>
        <v>5</v>
      </c>
      <c r="AF49" s="82" t="n">
        <f aca="false">IF(NOT(ISNUMBER(H49)),0,IF($S49&lt;2,5,IF(AB49=1,1,IF(H49=MAX($G49:$J49),4,IF(AB49=2,2,3)))))</f>
        <v>0</v>
      </c>
      <c r="AG49" s="82" t="n">
        <f aca="false">IF(NOT(ISNUMBER(I49)),0,IF($S49&lt;2,5,IF(AC49=1,1,IF(I49=MAX($G49:$J49),4,IF(AC49=2,2,3)))))</f>
        <v>0</v>
      </c>
      <c r="AH49" s="82" t="n">
        <f aca="false">IF(NOT(ISNUMBER(J49)),0,IF($S49&lt;2,5,IF(AD49=1,1,IF(J49=MAX($G49:$J49),4,IF(AD49=2,2,3)))))</f>
        <v>0</v>
      </c>
      <c r="AI49" s="83" t="n">
        <f aca="false">IF($S49&gt;=2,IF(ISNUMBER(G49),G49*$F49,MIN($G49:$J49)*$F49),0)</f>
        <v>0</v>
      </c>
      <c r="AJ49" s="83" t="n">
        <f aca="false">IF($S49&gt;=2,IF(ISNUMBER(H49),H49*$F49,MIN($G49:$J49)*$F49),0)</f>
        <v>0</v>
      </c>
      <c r="AK49" s="83" t="n">
        <f aca="false">IF($S49&gt;=2,IF(ISNUMBER(I49),I49*$F49,MIN($G49:$J49)*$F49),0)</f>
        <v>0</v>
      </c>
      <c r="AL49" s="83" t="n">
        <f aca="false">IF($S49&gt;=2,IF(ISNUMBER(J49),J49*$F49,MIN($G49:$J49)*$F49),0)</f>
        <v>0</v>
      </c>
      <c r="AM49" s="84" t="str">
        <f aca="false">IF($S49&gt;=2,$R49+ROW()/1000000,"")</f>
        <v/>
      </c>
      <c r="AN49" s="83" t="str">
        <f aca="false">IF($S49&gt;=2,MAX(G49:J49),"")</f>
        <v/>
      </c>
      <c r="AO49" s="82" t="str">
        <f aca="false">IF($S49&gt;=2,INDEX($G$6:$J$6,MATCH(MAX(G49:J49),G49:J49,0)),"")</f>
        <v/>
      </c>
      <c r="AP49" s="83" t="n">
        <f aca="false">IF($S49&gt;=2,MIN(G49:J49)*$F49,0)</f>
        <v>0</v>
      </c>
      <c r="AQ49" s="82" t="str">
        <f aca="false">IF($S49&gt;=2,INDEX($G$6:$J$6,MATCH(MIN(G49:J49),G49:J49,0)),"")</f>
        <v/>
      </c>
    </row>
    <row r="50" customFormat="false" ht="15" hidden="false" customHeight="true" outlineLevel="0" collapsed="false">
      <c r="A50" s="70" t="s">
        <v>225</v>
      </c>
      <c r="B50" s="71" t="s">
        <v>130</v>
      </c>
      <c r="C50" s="72" t="s">
        <v>183</v>
      </c>
      <c r="D50" s="73" t="s">
        <v>226</v>
      </c>
      <c r="E50" s="74" t="s">
        <v>133</v>
      </c>
      <c r="F50" s="75" t="n">
        <v>2</v>
      </c>
      <c r="G50" s="85" t="s">
        <v>138</v>
      </c>
      <c r="H50" s="85" t="s">
        <v>138</v>
      </c>
      <c r="I50" s="76" t="n">
        <f aca="false">IF(COUNTIF('Quote Lines'!$P$3:$P$805,$A50&amp;"|"&amp;I$6&amp;"|1")=0,"—",SUMIFS('Quote Lines'!$O$3:$O$805,'Quote Lines'!$P$3:$P$805,$A50&amp;"|"&amp;I$6&amp;"|1")/SUMIFS('Quote Lines'!$L$3:$L$805,'Quote Lines'!$P$3:$P$805,$A50&amp;"|"&amp;I$6&amp;"|1"))</f>
        <v>1285.385</v>
      </c>
      <c r="J50" s="85" t="s">
        <v>138</v>
      </c>
      <c r="K50" s="14" t="str">
        <f aca="false">IF(ISNUMBER(G50),G50*$F50,"—")</f>
        <v>—</v>
      </c>
      <c r="L50" s="14" t="str">
        <f aca="false">IF(ISNUMBER(H50),H50*$F50,"—")</f>
        <v>—</v>
      </c>
      <c r="M50" s="14" t="n">
        <f aca="false">IF(ISNUMBER(I50),I50*$F50,"—")</f>
        <v>2570.77</v>
      </c>
      <c r="N50" s="14" t="str">
        <f aca="false">IF(ISNUMBER(J50),J50*$F50,"—")</f>
        <v>—</v>
      </c>
      <c r="O50" s="77" t="n">
        <f aca="false">IF($S50=0,"—",MIN(G50:J50))</f>
        <v>1285.385</v>
      </c>
      <c r="P50" s="42" t="str">
        <f aca="false">IF($S50=0,"—",IF(COUNTIF(G50:J50,O50)&gt;1,"Tie",INDEX($G$6:$J$6,MATCH(O50,G50:J50,0))))</f>
        <v>Mountainland</v>
      </c>
      <c r="Q50" s="48" t="str">
        <f aca="false">IF($S50&gt;=2,MAX(G50:J50)/MIN(G50:J50)-1,"—")</f>
        <v>—</v>
      </c>
      <c r="R50" s="78" t="str">
        <f aca="false">IF($S50&gt;=2,(MAX(G50:J50)-MIN(G50:J50))*$F50,"—")</f>
        <v>—</v>
      </c>
      <c r="S50" s="18" t="n">
        <f aca="false">COUNT(G50:J50)</f>
        <v>1</v>
      </c>
      <c r="T50" s="79" t="str">
        <f aca="false">IF($S50&lt;=1,IF($S50=1,"Single quote","—"),"Like-for-like")</f>
        <v>Single quote</v>
      </c>
      <c r="U50" s="79" t="str">
        <f aca="false">IF(COUNT(W50:Z50)&lt;2,"",IF(MAX(W50:Z50)=MIN(W50:Z50),"OK","Qty differs"))</f>
        <v/>
      </c>
      <c r="V50" s="80"/>
      <c r="W50" s="81"/>
      <c r="X50" s="81"/>
      <c r="Y50" s="81" t="n">
        <f aca="false">IF(COUNTIFS('Quote Lines'!$P$3:$P$805,$A50&amp;"|"&amp;I$6&amp;"|1",'Quote Lines'!$M$3:$M$805,"Y")=0,"",SUMIFS('Quote Lines'!$L$3:$L$805,'Quote Lines'!$P$3:$P$805,$A50&amp;"|"&amp;I$6&amp;"|1",'Quote Lines'!$M$3:$M$805,"Y"))</f>
        <v>2</v>
      </c>
      <c r="Z50" s="81"/>
      <c r="AA50" s="82" t="str">
        <f aca="false">IF(ISNUMBER(G50),1+SUMPRODUCT(ISNUMBER($G50:$J50)*($G50:$J50&lt;G50)),"")</f>
        <v/>
      </c>
      <c r="AB50" s="82" t="str">
        <f aca="false">IF(ISNUMBER(H50),1+SUMPRODUCT(ISNUMBER($G50:$J50)*($G50:$J50&lt;H50)),"")</f>
        <v/>
      </c>
      <c r="AC50" s="82" t="n">
        <f aca="false">IF(ISNUMBER(I50),1+SUMPRODUCT(ISNUMBER($G50:$J50)*($G50:$J50&lt;I50)),"")</f>
        <v>1</v>
      </c>
      <c r="AD50" s="82" t="str">
        <f aca="false">IF(ISNUMBER(J50),1+SUMPRODUCT(ISNUMBER($G50:$J50)*($G50:$J50&lt;J50)),"")</f>
        <v/>
      </c>
      <c r="AE50" s="82" t="n">
        <f aca="false">IF(NOT(ISNUMBER(G50)),0,IF($S50&lt;2,5,IF(AA50=1,1,IF(G50=MAX($G50:$J50),4,IF(AA50=2,2,3)))))</f>
        <v>0</v>
      </c>
      <c r="AF50" s="82" t="n">
        <f aca="false">IF(NOT(ISNUMBER(H50)),0,IF($S50&lt;2,5,IF(AB50=1,1,IF(H50=MAX($G50:$J50),4,IF(AB50=2,2,3)))))</f>
        <v>0</v>
      </c>
      <c r="AG50" s="82" t="n">
        <f aca="false">IF(NOT(ISNUMBER(I50)),0,IF($S50&lt;2,5,IF(AC50=1,1,IF(I50=MAX($G50:$J50),4,IF(AC50=2,2,3)))))</f>
        <v>5</v>
      </c>
      <c r="AH50" s="82" t="n">
        <f aca="false">IF(NOT(ISNUMBER(J50)),0,IF($S50&lt;2,5,IF(AD50=1,1,IF(J50=MAX($G50:$J50),4,IF(AD50=2,2,3)))))</f>
        <v>0</v>
      </c>
      <c r="AI50" s="83" t="n">
        <f aca="false">IF($S50&gt;=2,IF(ISNUMBER(G50),G50*$F50,MIN($G50:$J50)*$F50),0)</f>
        <v>0</v>
      </c>
      <c r="AJ50" s="83" t="n">
        <f aca="false">IF($S50&gt;=2,IF(ISNUMBER(H50),H50*$F50,MIN($G50:$J50)*$F50),0)</f>
        <v>0</v>
      </c>
      <c r="AK50" s="83" t="n">
        <f aca="false">IF($S50&gt;=2,IF(ISNUMBER(I50),I50*$F50,MIN($G50:$J50)*$F50),0)</f>
        <v>0</v>
      </c>
      <c r="AL50" s="83" t="n">
        <f aca="false">IF($S50&gt;=2,IF(ISNUMBER(J50),J50*$F50,MIN($G50:$J50)*$F50),0)</f>
        <v>0</v>
      </c>
      <c r="AM50" s="84" t="str">
        <f aca="false">IF($S50&gt;=2,$R50+ROW()/1000000,"")</f>
        <v/>
      </c>
      <c r="AN50" s="83" t="str">
        <f aca="false">IF($S50&gt;=2,MAX(G50:J50),"")</f>
        <v/>
      </c>
      <c r="AO50" s="82" t="str">
        <f aca="false">IF($S50&gt;=2,INDEX($G$6:$J$6,MATCH(MAX(G50:J50),G50:J50,0)),"")</f>
        <v/>
      </c>
      <c r="AP50" s="83" t="n">
        <f aca="false">IF($S50&gt;=2,MIN(G50:J50)*$F50,0)</f>
        <v>0</v>
      </c>
      <c r="AQ50" s="82" t="str">
        <f aca="false">IF($S50&gt;=2,INDEX($G$6:$J$6,MATCH(MIN(G50:J50),G50:J50,0)),"")</f>
        <v/>
      </c>
    </row>
    <row r="51" customFormat="false" ht="15" hidden="false" customHeight="true" outlineLevel="0" collapsed="false">
      <c r="A51" s="70" t="s">
        <v>227</v>
      </c>
      <c r="B51" s="71" t="s">
        <v>130</v>
      </c>
      <c r="C51" s="72" t="s">
        <v>183</v>
      </c>
      <c r="D51" s="73" t="s">
        <v>228</v>
      </c>
      <c r="E51" s="74" t="s">
        <v>133</v>
      </c>
      <c r="F51" s="75" t="n">
        <v>1</v>
      </c>
      <c r="G51" s="76" t="n">
        <f aca="false">IF(COUNTIF('Quote Lines'!$P$3:$P$805,$A51&amp;"|"&amp;G$6&amp;"|1")=0,"—",SUMIFS('Quote Lines'!$O$3:$O$805,'Quote Lines'!$P$3:$P$805,$A51&amp;"|"&amp;G$6&amp;"|1")/SUMIFS('Quote Lines'!$L$3:$L$805,'Quote Lines'!$P$3:$P$805,$A51&amp;"|"&amp;G$6&amp;"|1"))</f>
        <v>1167.83</v>
      </c>
      <c r="H51" s="76" t="n">
        <f aca="false">IF(COUNTIF('Quote Lines'!$P$3:$P$805,$A51&amp;"|"&amp;H$6&amp;"|1")=0,"—",SUMIFS('Quote Lines'!$O$3:$O$805,'Quote Lines'!$P$3:$P$805,$A51&amp;"|"&amp;H$6&amp;"|1")/SUMIFS('Quote Lines'!$L$3:$L$805,'Quote Lines'!$P$3:$P$805,$A51&amp;"|"&amp;H$6&amp;"|1"))</f>
        <v>867.03</v>
      </c>
      <c r="I51" s="85" t="s">
        <v>138</v>
      </c>
      <c r="J51" s="85" t="s">
        <v>138</v>
      </c>
      <c r="K51" s="14" t="n">
        <f aca="false">IF(ISNUMBER(G51),G51*$F51,"—")</f>
        <v>1167.83</v>
      </c>
      <c r="L51" s="14" t="n">
        <f aca="false">IF(ISNUMBER(H51),H51*$F51,"—")</f>
        <v>867.03</v>
      </c>
      <c r="M51" s="14" t="str">
        <f aca="false">IF(ISNUMBER(I51),I51*$F51,"—")</f>
        <v>—</v>
      </c>
      <c r="N51" s="14" t="str">
        <f aca="false">IF(ISNUMBER(J51),J51*$F51,"—")</f>
        <v>—</v>
      </c>
      <c r="O51" s="77" t="n">
        <f aca="false">IF($S51=0,"—",MIN(G51:J51))</f>
        <v>867.03</v>
      </c>
      <c r="P51" s="42" t="str">
        <f aca="false">IF($S51=0,"—",IF(COUNTIF(G51:J51,O51)&gt;1,"Tie",INDEX($G$6:$J$6,MATCH(O51,G51:J51,0))))</f>
        <v>HD Fowler</v>
      </c>
      <c r="Q51" s="48" t="n">
        <f aca="false">IF($S51&gt;=2,MAX(G51:J51)/MIN(G51:J51)-1,"—")</f>
        <v>0.346931478726226</v>
      </c>
      <c r="R51" s="78" t="n">
        <f aca="false">IF($S51&gt;=2,(MAX(G51:J51)-MIN(G51:J51))*$F51,"—")</f>
        <v>300.8</v>
      </c>
      <c r="S51" s="18" t="n">
        <f aca="false">COUNT(G51:J51)</f>
        <v>2</v>
      </c>
      <c r="T51" s="79" t="str">
        <f aca="false">IF($S51&lt;=1,IF($S51=1,"Single quote","—"),"Like-for-like")</f>
        <v>Like-for-like</v>
      </c>
      <c r="U51" s="79" t="str">
        <f aca="false">IF(COUNT(W51:Z51)&lt;2,"",IF(MAX(W51:Z51)=MIN(W51:Z51),"OK","Qty differs"))</f>
        <v>OK</v>
      </c>
      <c r="V51" s="80"/>
      <c r="W51" s="81" t="n">
        <f aca="false">IF(COUNTIFS('Quote Lines'!$P$3:$P$805,$A51&amp;"|"&amp;G$6&amp;"|1",'Quote Lines'!$M$3:$M$805,"Y")=0,"",SUMIFS('Quote Lines'!$L$3:$L$805,'Quote Lines'!$P$3:$P$805,$A51&amp;"|"&amp;G$6&amp;"|1",'Quote Lines'!$M$3:$M$805,"Y"))</f>
        <v>1</v>
      </c>
      <c r="X51" s="81" t="n">
        <f aca="false">IF(COUNTIFS('Quote Lines'!$P$3:$P$805,$A51&amp;"|"&amp;H$6&amp;"|1",'Quote Lines'!$M$3:$M$805,"Y")=0,"",SUMIFS('Quote Lines'!$L$3:$L$805,'Quote Lines'!$P$3:$P$805,$A51&amp;"|"&amp;H$6&amp;"|1",'Quote Lines'!$M$3:$M$805,"Y"))</f>
        <v>1</v>
      </c>
      <c r="Y51" s="81"/>
      <c r="Z51" s="81"/>
      <c r="AA51" s="82" t="n">
        <f aca="false">IF(ISNUMBER(G51),1+SUMPRODUCT(ISNUMBER($G51:$J51)*($G51:$J51&lt;G51)),"")</f>
        <v>2</v>
      </c>
      <c r="AB51" s="82" t="n">
        <f aca="false">IF(ISNUMBER(H51),1+SUMPRODUCT(ISNUMBER($G51:$J51)*($G51:$J51&lt;H51)),"")</f>
        <v>1</v>
      </c>
      <c r="AC51" s="82" t="str">
        <f aca="false">IF(ISNUMBER(I51),1+SUMPRODUCT(ISNUMBER($G51:$J51)*($G51:$J51&lt;I51)),"")</f>
        <v/>
      </c>
      <c r="AD51" s="82" t="str">
        <f aca="false">IF(ISNUMBER(J51),1+SUMPRODUCT(ISNUMBER($G51:$J51)*($G51:$J51&lt;J51)),"")</f>
        <v/>
      </c>
      <c r="AE51" s="82" t="n">
        <f aca="false">IF(NOT(ISNUMBER(G51)),0,IF($S51&lt;2,5,IF(AA51=1,1,IF(G51=MAX($G51:$J51),4,IF(AA51=2,2,3)))))</f>
        <v>4</v>
      </c>
      <c r="AF51" s="82" t="n">
        <f aca="false">IF(NOT(ISNUMBER(H51)),0,IF($S51&lt;2,5,IF(AB51=1,1,IF(H51=MAX($G51:$J51),4,IF(AB51=2,2,3)))))</f>
        <v>1</v>
      </c>
      <c r="AG51" s="82" t="n">
        <f aca="false">IF(NOT(ISNUMBER(I51)),0,IF($S51&lt;2,5,IF(AC51=1,1,IF(I51=MAX($G51:$J51),4,IF(AC51=2,2,3)))))</f>
        <v>0</v>
      </c>
      <c r="AH51" s="82" t="n">
        <f aca="false">IF(NOT(ISNUMBER(J51)),0,IF($S51&lt;2,5,IF(AD51=1,1,IF(J51=MAX($G51:$J51),4,IF(AD51=2,2,3)))))</f>
        <v>0</v>
      </c>
      <c r="AI51" s="83" t="n">
        <f aca="false">IF($S51&gt;=2,IF(ISNUMBER(G51),G51*$F51,MIN($G51:$J51)*$F51),0)</f>
        <v>1167.83</v>
      </c>
      <c r="AJ51" s="83" t="n">
        <f aca="false">IF($S51&gt;=2,IF(ISNUMBER(H51),H51*$F51,MIN($G51:$J51)*$F51),0)</f>
        <v>867.03</v>
      </c>
      <c r="AK51" s="83" t="n">
        <f aca="false">IF($S51&gt;=2,IF(ISNUMBER(I51),I51*$F51,MIN($G51:$J51)*$F51),0)</f>
        <v>867.03</v>
      </c>
      <c r="AL51" s="83" t="n">
        <f aca="false">IF($S51&gt;=2,IF(ISNUMBER(J51),J51*$F51,MIN($G51:$J51)*$F51),0)</f>
        <v>867.03</v>
      </c>
      <c r="AM51" s="84" t="n">
        <f aca="false">IF($S51&gt;=2,$R51+ROW()/1000000,"")</f>
        <v>300.800051</v>
      </c>
      <c r="AN51" s="83" t="n">
        <f aca="false">IF($S51&gt;=2,MAX(G51:J51),"")</f>
        <v>1167.83</v>
      </c>
      <c r="AO51" s="82" t="str">
        <f aca="false">IF($S51&gt;=2,INDEX($G$6:$J$6,MATCH(MAX(G51:J51),G51:J51,0)),"")</f>
        <v>Ferguson</v>
      </c>
      <c r="AP51" s="83" t="n">
        <f aca="false">IF($S51&gt;=2,MIN(G51:J51)*$F51,0)</f>
        <v>867.03</v>
      </c>
      <c r="AQ51" s="82" t="str">
        <f aca="false">IF($S51&gt;=2,INDEX($G$6:$J$6,MATCH(MIN(G51:J51),G51:J51,0)),"")</f>
        <v>HD Fowler</v>
      </c>
    </row>
    <row r="52" customFormat="false" ht="15" hidden="false" customHeight="true" outlineLevel="0" collapsed="false">
      <c r="A52" s="70" t="s">
        <v>229</v>
      </c>
      <c r="B52" s="71" t="s">
        <v>130</v>
      </c>
      <c r="C52" s="72" t="s">
        <v>183</v>
      </c>
      <c r="D52" s="73" t="s">
        <v>230</v>
      </c>
      <c r="E52" s="74" t="s">
        <v>133</v>
      </c>
      <c r="F52" s="75" t="n">
        <v>1</v>
      </c>
      <c r="G52" s="76" t="n">
        <f aca="false">IF(COUNTIF('Quote Lines'!$P$3:$P$805,$A52&amp;"|"&amp;G$6&amp;"|1")=0,"—",SUMIFS('Quote Lines'!$O$3:$O$805,'Quote Lines'!$P$3:$P$805,$A52&amp;"|"&amp;G$6&amp;"|1")/SUMIFS('Quote Lines'!$L$3:$L$805,'Quote Lines'!$P$3:$P$805,$A52&amp;"|"&amp;G$6&amp;"|1"))</f>
        <v>1033.09</v>
      </c>
      <c r="H52" s="85" t="s">
        <v>138</v>
      </c>
      <c r="I52" s="85" t="s">
        <v>138</v>
      </c>
      <c r="J52" s="76" t="n">
        <f aca="false">IF(COUNTIF('Quote Lines'!$P$3:$P$805,$A52&amp;"|"&amp;J$6&amp;"|1")=0,"—",SUMIFS('Quote Lines'!$O$3:$O$805,'Quote Lines'!$P$3:$P$805,$A52&amp;"|"&amp;J$6&amp;"|1")/SUMIFS('Quote Lines'!$L$3:$L$805,'Quote Lines'!$P$3:$P$805,$A52&amp;"|"&amp;J$6&amp;"|1"))</f>
        <v>940</v>
      </c>
      <c r="K52" s="14" t="n">
        <f aca="false">IF(ISNUMBER(G52),G52*$F52,"—")</f>
        <v>1033.09</v>
      </c>
      <c r="L52" s="14" t="str">
        <f aca="false">IF(ISNUMBER(H52),H52*$F52,"—")</f>
        <v>—</v>
      </c>
      <c r="M52" s="14" t="str">
        <f aca="false">IF(ISNUMBER(I52),I52*$F52,"—")</f>
        <v>—</v>
      </c>
      <c r="N52" s="14" t="n">
        <f aca="false">IF(ISNUMBER(J52),J52*$F52,"—")</f>
        <v>940</v>
      </c>
      <c r="O52" s="77" t="n">
        <f aca="false">IF($S52=0,"—",MIN(G52:J52))</f>
        <v>940</v>
      </c>
      <c r="P52" s="42" t="str">
        <f aca="false">IF($S52=0,"—",IF(COUNTIF(G52:J52,O52)&gt;1,"Tie",INDEX($G$6:$J$6,MATCH(O52,G52:J52,0))))</f>
        <v>Scholzen</v>
      </c>
      <c r="Q52" s="48" t="n">
        <f aca="false">IF($S52&gt;=2,MAX(G52:J52)/MIN(G52:J52)-1,"—")</f>
        <v>0.099031914893617</v>
      </c>
      <c r="R52" s="78" t="n">
        <f aca="false">IF($S52&gt;=2,(MAX(G52:J52)-MIN(G52:J52))*$F52,"—")</f>
        <v>93.0899999999999</v>
      </c>
      <c r="S52" s="18" t="n">
        <f aca="false">COUNT(G52:J52)</f>
        <v>2</v>
      </c>
      <c r="T52" s="79" t="str">
        <f aca="false">IF($S52&lt;=1,IF($S52=1,"Single quote","—"),"Like-for-like")</f>
        <v>Like-for-like</v>
      </c>
      <c r="U52" s="79" t="str">
        <f aca="false">IF(COUNT(W52:Z52)&lt;2,"",IF(MAX(W52:Z52)=MIN(W52:Z52),"OK","Qty differs"))</f>
        <v>OK</v>
      </c>
      <c r="V52" s="80"/>
      <c r="W52" s="81" t="n">
        <f aca="false">IF(COUNTIFS('Quote Lines'!$P$3:$P$805,$A52&amp;"|"&amp;G$6&amp;"|1",'Quote Lines'!$M$3:$M$805,"Y")=0,"",SUMIFS('Quote Lines'!$L$3:$L$805,'Quote Lines'!$P$3:$P$805,$A52&amp;"|"&amp;G$6&amp;"|1",'Quote Lines'!$M$3:$M$805,"Y"))</f>
        <v>1</v>
      </c>
      <c r="X52" s="81"/>
      <c r="Y52" s="81"/>
      <c r="Z52" s="81" t="n">
        <f aca="false">IF(COUNTIFS('Quote Lines'!$P$3:$P$805,$A52&amp;"|"&amp;J$6&amp;"|1",'Quote Lines'!$M$3:$M$805,"Y")=0,"",SUMIFS('Quote Lines'!$L$3:$L$805,'Quote Lines'!$P$3:$P$805,$A52&amp;"|"&amp;J$6&amp;"|1",'Quote Lines'!$M$3:$M$805,"Y"))</f>
        <v>1</v>
      </c>
      <c r="AA52" s="82" t="n">
        <f aca="false">IF(ISNUMBER(G52),1+SUMPRODUCT(ISNUMBER($G52:$J52)*($G52:$J52&lt;G52)),"")</f>
        <v>2</v>
      </c>
      <c r="AB52" s="82" t="str">
        <f aca="false">IF(ISNUMBER(H52),1+SUMPRODUCT(ISNUMBER($G52:$J52)*($G52:$J52&lt;H52)),"")</f>
        <v/>
      </c>
      <c r="AC52" s="82" t="str">
        <f aca="false">IF(ISNUMBER(I52),1+SUMPRODUCT(ISNUMBER($G52:$J52)*($G52:$J52&lt;I52)),"")</f>
        <v/>
      </c>
      <c r="AD52" s="82" t="n">
        <f aca="false">IF(ISNUMBER(J52),1+SUMPRODUCT(ISNUMBER($G52:$J52)*($G52:$J52&lt;J52)),"")</f>
        <v>1</v>
      </c>
      <c r="AE52" s="82" t="n">
        <f aca="false">IF(NOT(ISNUMBER(G52)),0,IF($S52&lt;2,5,IF(AA52=1,1,IF(G52=MAX($G52:$J52),4,IF(AA52=2,2,3)))))</f>
        <v>4</v>
      </c>
      <c r="AF52" s="82" t="n">
        <f aca="false">IF(NOT(ISNUMBER(H52)),0,IF($S52&lt;2,5,IF(AB52=1,1,IF(H52=MAX($G52:$J52),4,IF(AB52=2,2,3)))))</f>
        <v>0</v>
      </c>
      <c r="AG52" s="82" t="n">
        <f aca="false">IF(NOT(ISNUMBER(I52)),0,IF($S52&lt;2,5,IF(AC52=1,1,IF(I52=MAX($G52:$J52),4,IF(AC52=2,2,3)))))</f>
        <v>0</v>
      </c>
      <c r="AH52" s="82" t="n">
        <f aca="false">IF(NOT(ISNUMBER(J52)),0,IF($S52&lt;2,5,IF(AD52=1,1,IF(J52=MAX($G52:$J52),4,IF(AD52=2,2,3)))))</f>
        <v>1</v>
      </c>
      <c r="AI52" s="83" t="n">
        <f aca="false">IF($S52&gt;=2,IF(ISNUMBER(G52),G52*$F52,MIN($G52:$J52)*$F52),0)</f>
        <v>1033.09</v>
      </c>
      <c r="AJ52" s="83" t="n">
        <f aca="false">IF($S52&gt;=2,IF(ISNUMBER(H52),H52*$F52,MIN($G52:$J52)*$F52),0)</f>
        <v>940</v>
      </c>
      <c r="AK52" s="83" t="n">
        <f aca="false">IF($S52&gt;=2,IF(ISNUMBER(I52),I52*$F52,MIN($G52:$J52)*$F52),0)</f>
        <v>940</v>
      </c>
      <c r="AL52" s="83" t="n">
        <f aca="false">IF($S52&gt;=2,IF(ISNUMBER(J52),J52*$F52,MIN($G52:$J52)*$F52),0)</f>
        <v>940</v>
      </c>
      <c r="AM52" s="84" t="n">
        <f aca="false">IF($S52&gt;=2,$R52+ROW()/1000000,"")</f>
        <v>93.0900519999999</v>
      </c>
      <c r="AN52" s="83" t="n">
        <f aca="false">IF($S52&gt;=2,MAX(G52:J52),"")</f>
        <v>1033.09</v>
      </c>
      <c r="AO52" s="82" t="str">
        <f aca="false">IF($S52&gt;=2,INDEX($G$6:$J$6,MATCH(MAX(G52:J52),G52:J52,0)),"")</f>
        <v>Ferguson</v>
      </c>
      <c r="AP52" s="83" t="n">
        <f aca="false">IF($S52&gt;=2,MIN(G52:J52)*$F52,0)</f>
        <v>940</v>
      </c>
      <c r="AQ52" s="82" t="str">
        <f aca="false">IF($S52&gt;=2,INDEX($G$6:$J$6,MATCH(MIN(G52:J52),G52:J52,0)),"")</f>
        <v>Scholzen</v>
      </c>
    </row>
    <row r="53" customFormat="false" ht="15" hidden="false" customHeight="true" outlineLevel="0" collapsed="false">
      <c r="A53" s="70" t="s">
        <v>231</v>
      </c>
      <c r="B53" s="71" t="s">
        <v>130</v>
      </c>
      <c r="C53" s="72" t="s">
        <v>183</v>
      </c>
      <c r="D53" s="73" t="s">
        <v>232</v>
      </c>
      <c r="E53" s="74" t="s">
        <v>133</v>
      </c>
      <c r="F53" s="75" t="n">
        <v>1</v>
      </c>
      <c r="G53" s="85" t="s">
        <v>138</v>
      </c>
      <c r="H53" s="76" t="n">
        <f aca="false">IF(COUNTIF('Quote Lines'!$P$3:$P$805,$A53&amp;"|"&amp;H$6&amp;"|1")=0,"—",SUMIFS('Quote Lines'!$O$3:$O$805,'Quote Lines'!$P$3:$P$805,$A53&amp;"|"&amp;H$6&amp;"|1")/SUMIFS('Quote Lines'!$L$3:$L$805,'Quote Lines'!$P$3:$P$805,$A53&amp;"|"&amp;H$6&amp;"|1"))</f>
        <v>697.8</v>
      </c>
      <c r="I53" s="85" t="s">
        <v>138</v>
      </c>
      <c r="J53" s="85" t="s">
        <v>138</v>
      </c>
      <c r="K53" s="14" t="str">
        <f aca="false">IF(ISNUMBER(G53),G53*$F53,"—")</f>
        <v>—</v>
      </c>
      <c r="L53" s="14" t="n">
        <f aca="false">IF(ISNUMBER(H53),H53*$F53,"—")</f>
        <v>697.8</v>
      </c>
      <c r="M53" s="14" t="str">
        <f aca="false">IF(ISNUMBER(I53),I53*$F53,"—")</f>
        <v>—</v>
      </c>
      <c r="N53" s="14" t="str">
        <f aca="false">IF(ISNUMBER(J53),J53*$F53,"—")</f>
        <v>—</v>
      </c>
      <c r="O53" s="77" t="n">
        <f aca="false">IF($S53=0,"—",MIN(G53:J53))</f>
        <v>697.8</v>
      </c>
      <c r="P53" s="42" t="str">
        <f aca="false">IF($S53=0,"—",IF(COUNTIF(G53:J53,O53)&gt;1,"Tie",INDEX($G$6:$J$6,MATCH(O53,G53:J53,0))))</f>
        <v>HD Fowler</v>
      </c>
      <c r="Q53" s="48" t="str">
        <f aca="false">IF($S53&gt;=2,MAX(G53:J53)/MIN(G53:J53)-1,"—")</f>
        <v>—</v>
      </c>
      <c r="R53" s="78" t="str">
        <f aca="false">IF($S53&gt;=2,(MAX(G53:J53)-MIN(G53:J53))*$F53,"—")</f>
        <v>—</v>
      </c>
      <c r="S53" s="18" t="n">
        <f aca="false">COUNT(G53:J53)</f>
        <v>1</v>
      </c>
      <c r="T53" s="79" t="str">
        <f aca="false">IF($S53&lt;=1,IF($S53=1,"Single quote","—"),"Like-for-like")</f>
        <v>Single quote</v>
      </c>
      <c r="U53" s="79" t="str">
        <f aca="false">IF(COUNT(W53:Z53)&lt;2,"",IF(MAX(W53:Z53)=MIN(W53:Z53),"OK","Qty differs"))</f>
        <v/>
      </c>
      <c r="V53" s="80"/>
      <c r="W53" s="81"/>
      <c r="X53" s="81" t="n">
        <f aca="false">IF(COUNTIFS('Quote Lines'!$P$3:$P$805,$A53&amp;"|"&amp;H$6&amp;"|1",'Quote Lines'!$M$3:$M$805,"Y")=0,"",SUMIFS('Quote Lines'!$L$3:$L$805,'Quote Lines'!$P$3:$P$805,$A53&amp;"|"&amp;H$6&amp;"|1",'Quote Lines'!$M$3:$M$805,"Y"))</f>
        <v>1</v>
      </c>
      <c r="Y53" s="81"/>
      <c r="Z53" s="81"/>
      <c r="AA53" s="82" t="str">
        <f aca="false">IF(ISNUMBER(G53),1+SUMPRODUCT(ISNUMBER($G53:$J53)*($G53:$J53&lt;G53)),"")</f>
        <v/>
      </c>
      <c r="AB53" s="82" t="n">
        <f aca="false">IF(ISNUMBER(H53),1+SUMPRODUCT(ISNUMBER($G53:$J53)*($G53:$J53&lt;H53)),"")</f>
        <v>1</v>
      </c>
      <c r="AC53" s="82" t="str">
        <f aca="false">IF(ISNUMBER(I53),1+SUMPRODUCT(ISNUMBER($G53:$J53)*($G53:$J53&lt;I53)),"")</f>
        <v/>
      </c>
      <c r="AD53" s="82" t="str">
        <f aca="false">IF(ISNUMBER(J53),1+SUMPRODUCT(ISNUMBER($G53:$J53)*($G53:$J53&lt;J53)),"")</f>
        <v/>
      </c>
      <c r="AE53" s="82" t="n">
        <f aca="false">IF(NOT(ISNUMBER(G53)),0,IF($S53&lt;2,5,IF(AA53=1,1,IF(G53=MAX($G53:$J53),4,IF(AA53=2,2,3)))))</f>
        <v>0</v>
      </c>
      <c r="AF53" s="82" t="n">
        <f aca="false">IF(NOT(ISNUMBER(H53)),0,IF($S53&lt;2,5,IF(AB53=1,1,IF(H53=MAX($G53:$J53),4,IF(AB53=2,2,3)))))</f>
        <v>5</v>
      </c>
      <c r="AG53" s="82" t="n">
        <f aca="false">IF(NOT(ISNUMBER(I53)),0,IF($S53&lt;2,5,IF(AC53=1,1,IF(I53=MAX($G53:$J53),4,IF(AC53=2,2,3)))))</f>
        <v>0</v>
      </c>
      <c r="AH53" s="82" t="n">
        <f aca="false">IF(NOT(ISNUMBER(J53)),0,IF($S53&lt;2,5,IF(AD53=1,1,IF(J53=MAX($G53:$J53),4,IF(AD53=2,2,3)))))</f>
        <v>0</v>
      </c>
      <c r="AI53" s="83" t="n">
        <f aca="false">IF($S53&gt;=2,IF(ISNUMBER(G53),G53*$F53,MIN($G53:$J53)*$F53),0)</f>
        <v>0</v>
      </c>
      <c r="AJ53" s="83" t="n">
        <f aca="false">IF($S53&gt;=2,IF(ISNUMBER(H53),H53*$F53,MIN($G53:$J53)*$F53),0)</f>
        <v>0</v>
      </c>
      <c r="AK53" s="83" t="n">
        <f aca="false">IF($S53&gt;=2,IF(ISNUMBER(I53),I53*$F53,MIN($G53:$J53)*$F53),0)</f>
        <v>0</v>
      </c>
      <c r="AL53" s="83" t="n">
        <f aca="false">IF($S53&gt;=2,IF(ISNUMBER(J53),J53*$F53,MIN($G53:$J53)*$F53),0)</f>
        <v>0</v>
      </c>
      <c r="AM53" s="84" t="str">
        <f aca="false">IF($S53&gt;=2,$R53+ROW()/1000000,"")</f>
        <v/>
      </c>
      <c r="AN53" s="83" t="str">
        <f aca="false">IF($S53&gt;=2,MAX(G53:J53),"")</f>
        <v/>
      </c>
      <c r="AO53" s="82" t="str">
        <f aca="false">IF($S53&gt;=2,INDEX($G$6:$J$6,MATCH(MAX(G53:J53),G53:J53,0)),"")</f>
        <v/>
      </c>
      <c r="AP53" s="83" t="n">
        <f aca="false">IF($S53&gt;=2,MIN(G53:J53)*$F53,0)</f>
        <v>0</v>
      </c>
      <c r="AQ53" s="82" t="str">
        <f aca="false">IF($S53&gt;=2,INDEX($G$6:$J$6,MATCH(MIN(G53:J53),G53:J53,0)),"")</f>
        <v/>
      </c>
    </row>
    <row r="54" customFormat="false" ht="15" hidden="false" customHeight="true" outlineLevel="0" collapsed="false">
      <c r="A54" s="70" t="s">
        <v>233</v>
      </c>
      <c r="B54" s="71" t="s">
        <v>130</v>
      </c>
      <c r="C54" s="72" t="s">
        <v>183</v>
      </c>
      <c r="D54" s="73" t="s">
        <v>234</v>
      </c>
      <c r="E54" s="74" t="s">
        <v>133</v>
      </c>
      <c r="F54" s="75" t="n">
        <v>1</v>
      </c>
      <c r="G54" s="85" t="s">
        <v>138</v>
      </c>
      <c r="H54" s="76" t="n">
        <f aca="false">IF(COUNTIF('Quote Lines'!$P$3:$P$805,$A54&amp;"|"&amp;H$6&amp;"|1")=0,"—",SUMIFS('Quote Lines'!$O$3:$O$805,'Quote Lines'!$P$3:$P$805,$A54&amp;"|"&amp;H$6&amp;"|1")/SUMIFS('Quote Lines'!$L$3:$L$805,'Quote Lines'!$P$3:$P$805,$A54&amp;"|"&amp;H$6&amp;"|1"))</f>
        <v>610.99</v>
      </c>
      <c r="I54" s="76" t="n">
        <f aca="false">IF(COUNTIF('Quote Lines'!$P$3:$P$805,$A54&amp;"|"&amp;I$6&amp;"|1")=0,"—",SUMIFS('Quote Lines'!$O$3:$O$805,'Quote Lines'!$P$3:$P$805,$A54&amp;"|"&amp;I$6&amp;"|1")/SUMIFS('Quote Lines'!$L$3:$L$805,'Quote Lines'!$P$3:$P$805,$A54&amp;"|"&amp;I$6&amp;"|1"))</f>
        <v>751.52</v>
      </c>
      <c r="J54" s="85" t="s">
        <v>138</v>
      </c>
      <c r="K54" s="14" t="str">
        <f aca="false">IF(ISNUMBER(G54),G54*$F54,"—")</f>
        <v>—</v>
      </c>
      <c r="L54" s="14" t="n">
        <f aca="false">IF(ISNUMBER(H54),H54*$F54,"—")</f>
        <v>610.99</v>
      </c>
      <c r="M54" s="14" t="n">
        <f aca="false">IF(ISNUMBER(I54),I54*$F54,"—")</f>
        <v>751.52</v>
      </c>
      <c r="N54" s="14" t="str">
        <f aca="false">IF(ISNUMBER(J54),J54*$F54,"—")</f>
        <v>—</v>
      </c>
      <c r="O54" s="77" t="n">
        <f aca="false">IF($S54=0,"—",MIN(G54:J54))</f>
        <v>610.99</v>
      </c>
      <c r="P54" s="42" t="str">
        <f aca="false">IF($S54=0,"—",IF(COUNTIF(G54:J54,O54)&gt;1,"Tie",INDEX($G$6:$J$6,MATCH(O54,G54:J54,0))))</f>
        <v>HD Fowler</v>
      </c>
      <c r="Q54" s="48" t="n">
        <f aca="false">IF($S54&gt;=2,MAX(G54:J54)/MIN(G54:J54)-1,"—")</f>
        <v>0.230003764382396</v>
      </c>
      <c r="R54" s="78" t="n">
        <f aca="false">IF($S54&gt;=2,(MAX(G54:J54)-MIN(G54:J54))*$F54,"—")</f>
        <v>140.53</v>
      </c>
      <c r="S54" s="18" t="n">
        <f aca="false">COUNT(G54:J54)</f>
        <v>2</v>
      </c>
      <c r="T54" s="79" t="str">
        <f aca="false">IF($S54&lt;=1,IF($S54=1,"Single quote","—"),"Like-for-like")</f>
        <v>Like-for-like</v>
      </c>
      <c r="U54" s="79" t="str">
        <f aca="false">IF(COUNT(W54:Z54)&lt;2,"",IF(MAX(W54:Z54)=MIN(W54:Z54),"OK","Qty differs"))</f>
        <v>OK</v>
      </c>
      <c r="V54" s="80"/>
      <c r="W54" s="81"/>
      <c r="X54" s="81" t="n">
        <f aca="false">IF(COUNTIFS('Quote Lines'!$P$3:$P$805,$A54&amp;"|"&amp;H$6&amp;"|1",'Quote Lines'!$M$3:$M$805,"Y")=0,"",SUMIFS('Quote Lines'!$L$3:$L$805,'Quote Lines'!$P$3:$P$805,$A54&amp;"|"&amp;H$6&amp;"|1",'Quote Lines'!$M$3:$M$805,"Y"))</f>
        <v>1</v>
      </c>
      <c r="Y54" s="81" t="n">
        <f aca="false">IF(COUNTIFS('Quote Lines'!$P$3:$P$805,$A54&amp;"|"&amp;I$6&amp;"|1",'Quote Lines'!$M$3:$M$805,"Y")=0,"",SUMIFS('Quote Lines'!$L$3:$L$805,'Quote Lines'!$P$3:$P$805,$A54&amp;"|"&amp;I$6&amp;"|1",'Quote Lines'!$M$3:$M$805,"Y"))</f>
        <v>1</v>
      </c>
      <c r="Z54" s="81"/>
      <c r="AA54" s="82" t="str">
        <f aca="false">IF(ISNUMBER(G54),1+SUMPRODUCT(ISNUMBER($G54:$J54)*($G54:$J54&lt;G54)),"")</f>
        <v/>
      </c>
      <c r="AB54" s="82" t="n">
        <f aca="false">IF(ISNUMBER(H54),1+SUMPRODUCT(ISNUMBER($G54:$J54)*($G54:$J54&lt;H54)),"")</f>
        <v>1</v>
      </c>
      <c r="AC54" s="82" t="n">
        <f aca="false">IF(ISNUMBER(I54),1+SUMPRODUCT(ISNUMBER($G54:$J54)*($G54:$J54&lt;I54)),"")</f>
        <v>2</v>
      </c>
      <c r="AD54" s="82" t="str">
        <f aca="false">IF(ISNUMBER(J54),1+SUMPRODUCT(ISNUMBER($G54:$J54)*($G54:$J54&lt;J54)),"")</f>
        <v/>
      </c>
      <c r="AE54" s="82" t="n">
        <f aca="false">IF(NOT(ISNUMBER(G54)),0,IF($S54&lt;2,5,IF(AA54=1,1,IF(G54=MAX($G54:$J54),4,IF(AA54=2,2,3)))))</f>
        <v>0</v>
      </c>
      <c r="AF54" s="82" t="n">
        <f aca="false">IF(NOT(ISNUMBER(H54)),0,IF($S54&lt;2,5,IF(AB54=1,1,IF(H54=MAX($G54:$J54),4,IF(AB54=2,2,3)))))</f>
        <v>1</v>
      </c>
      <c r="AG54" s="82" t="n">
        <f aca="false">IF(NOT(ISNUMBER(I54)),0,IF($S54&lt;2,5,IF(AC54=1,1,IF(I54=MAX($G54:$J54),4,IF(AC54=2,2,3)))))</f>
        <v>4</v>
      </c>
      <c r="AH54" s="82" t="n">
        <f aca="false">IF(NOT(ISNUMBER(J54)),0,IF($S54&lt;2,5,IF(AD54=1,1,IF(J54=MAX($G54:$J54),4,IF(AD54=2,2,3)))))</f>
        <v>0</v>
      </c>
      <c r="AI54" s="83" t="n">
        <f aca="false">IF($S54&gt;=2,IF(ISNUMBER(G54),G54*$F54,MIN($G54:$J54)*$F54),0)</f>
        <v>610.99</v>
      </c>
      <c r="AJ54" s="83" t="n">
        <f aca="false">IF($S54&gt;=2,IF(ISNUMBER(H54),H54*$F54,MIN($G54:$J54)*$F54),0)</f>
        <v>610.99</v>
      </c>
      <c r="AK54" s="83" t="n">
        <f aca="false">IF($S54&gt;=2,IF(ISNUMBER(I54),I54*$F54,MIN($G54:$J54)*$F54),0)</f>
        <v>751.52</v>
      </c>
      <c r="AL54" s="83" t="n">
        <f aca="false">IF($S54&gt;=2,IF(ISNUMBER(J54),J54*$F54,MIN($G54:$J54)*$F54),0)</f>
        <v>610.99</v>
      </c>
      <c r="AM54" s="84" t="n">
        <f aca="false">IF($S54&gt;=2,$R54+ROW()/1000000,"")</f>
        <v>140.530054</v>
      </c>
      <c r="AN54" s="83" t="n">
        <f aca="false">IF($S54&gt;=2,MAX(G54:J54),"")</f>
        <v>751.52</v>
      </c>
      <c r="AO54" s="82" t="str">
        <f aca="false">IF($S54&gt;=2,INDEX($G$6:$J$6,MATCH(MAX(G54:J54),G54:J54,0)),"")</f>
        <v>Mountainland</v>
      </c>
      <c r="AP54" s="83" t="n">
        <f aca="false">IF($S54&gt;=2,MIN(G54:J54)*$F54,0)</f>
        <v>610.99</v>
      </c>
      <c r="AQ54" s="82" t="str">
        <f aca="false">IF($S54&gt;=2,INDEX($G$6:$J$6,MATCH(MIN(G54:J54),G54:J54,0)),"")</f>
        <v>HD Fowler</v>
      </c>
    </row>
    <row r="55" customFormat="false" ht="15" hidden="false" customHeight="true" outlineLevel="0" collapsed="false">
      <c r="A55" s="70" t="s">
        <v>235</v>
      </c>
      <c r="B55" s="71" t="s">
        <v>130</v>
      </c>
      <c r="C55" s="72" t="s">
        <v>183</v>
      </c>
      <c r="D55" s="73" t="s">
        <v>236</v>
      </c>
      <c r="E55" s="74" t="s">
        <v>133</v>
      </c>
      <c r="F55" s="75" t="n">
        <v>1</v>
      </c>
      <c r="G55" s="85" t="s">
        <v>138</v>
      </c>
      <c r="H55" s="85" t="s">
        <v>138</v>
      </c>
      <c r="I55" s="85" t="s">
        <v>138</v>
      </c>
      <c r="J55" s="76" t="n">
        <f aca="false">IF(COUNTIF('Quote Lines'!$P$3:$P$805,$A55&amp;"|"&amp;J$6&amp;"|1")=0,"—",SUMIFS('Quote Lines'!$O$3:$O$805,'Quote Lines'!$P$3:$P$805,$A55&amp;"|"&amp;J$6&amp;"|1")/SUMIFS('Quote Lines'!$L$3:$L$805,'Quote Lines'!$P$3:$P$805,$A55&amp;"|"&amp;J$6&amp;"|1"))</f>
        <v>628</v>
      </c>
      <c r="K55" s="14" t="str">
        <f aca="false">IF(ISNUMBER(G55),G55*$F55,"—")</f>
        <v>—</v>
      </c>
      <c r="L55" s="14" t="str">
        <f aca="false">IF(ISNUMBER(H55),H55*$F55,"—")</f>
        <v>—</v>
      </c>
      <c r="M55" s="14" t="str">
        <f aca="false">IF(ISNUMBER(I55),I55*$F55,"—")</f>
        <v>—</v>
      </c>
      <c r="N55" s="14" t="n">
        <f aca="false">IF(ISNUMBER(J55),J55*$F55,"—")</f>
        <v>628</v>
      </c>
      <c r="O55" s="77" t="n">
        <f aca="false">IF($S55=0,"—",MIN(G55:J55))</f>
        <v>628</v>
      </c>
      <c r="P55" s="42" t="str">
        <f aca="false">IF($S55=0,"—",IF(COUNTIF(G55:J55,O55)&gt;1,"Tie",INDEX($G$6:$J$6,MATCH(O55,G55:J55,0))))</f>
        <v>Scholzen</v>
      </c>
      <c r="Q55" s="48" t="str">
        <f aca="false">IF($S55&gt;=2,MAX(G55:J55)/MIN(G55:J55)-1,"—")</f>
        <v>—</v>
      </c>
      <c r="R55" s="78" t="str">
        <f aca="false">IF($S55&gt;=2,(MAX(G55:J55)-MIN(G55:J55))*$F55,"—")</f>
        <v>—</v>
      </c>
      <c r="S55" s="18" t="n">
        <f aca="false">COUNT(G55:J55)</f>
        <v>1</v>
      </c>
      <c r="T55" s="79" t="str">
        <f aca="false">IF($S55&lt;=1,IF($S55=1,"Single quote","—"),"Like-for-like")</f>
        <v>Single quote</v>
      </c>
      <c r="U55" s="79" t="str">
        <f aca="false">IF(COUNT(W55:Z55)&lt;2,"",IF(MAX(W55:Z55)=MIN(W55:Z55),"OK","Qty differs"))</f>
        <v/>
      </c>
      <c r="V55" s="80"/>
      <c r="W55" s="81"/>
      <c r="X55" s="81"/>
      <c r="Y55" s="81"/>
      <c r="Z55" s="81" t="n">
        <f aca="false">IF(COUNTIFS('Quote Lines'!$P$3:$P$805,$A55&amp;"|"&amp;J$6&amp;"|1",'Quote Lines'!$M$3:$M$805,"Y")=0,"",SUMIFS('Quote Lines'!$L$3:$L$805,'Quote Lines'!$P$3:$P$805,$A55&amp;"|"&amp;J$6&amp;"|1",'Quote Lines'!$M$3:$M$805,"Y"))</f>
        <v>1</v>
      </c>
      <c r="AA55" s="82" t="str">
        <f aca="false">IF(ISNUMBER(G55),1+SUMPRODUCT(ISNUMBER($G55:$J55)*($G55:$J55&lt;G55)),"")</f>
        <v/>
      </c>
      <c r="AB55" s="82" t="str">
        <f aca="false">IF(ISNUMBER(H55),1+SUMPRODUCT(ISNUMBER($G55:$J55)*($G55:$J55&lt;H55)),"")</f>
        <v/>
      </c>
      <c r="AC55" s="82" t="str">
        <f aca="false">IF(ISNUMBER(I55),1+SUMPRODUCT(ISNUMBER($G55:$J55)*($G55:$J55&lt;I55)),"")</f>
        <v/>
      </c>
      <c r="AD55" s="82" t="n">
        <f aca="false">IF(ISNUMBER(J55),1+SUMPRODUCT(ISNUMBER($G55:$J55)*($G55:$J55&lt;J55)),"")</f>
        <v>1</v>
      </c>
      <c r="AE55" s="82" t="n">
        <f aca="false">IF(NOT(ISNUMBER(G55)),0,IF($S55&lt;2,5,IF(AA55=1,1,IF(G55=MAX($G55:$J55),4,IF(AA55=2,2,3)))))</f>
        <v>0</v>
      </c>
      <c r="AF55" s="82" t="n">
        <f aca="false">IF(NOT(ISNUMBER(H55)),0,IF($S55&lt;2,5,IF(AB55=1,1,IF(H55=MAX($G55:$J55),4,IF(AB55=2,2,3)))))</f>
        <v>0</v>
      </c>
      <c r="AG55" s="82" t="n">
        <f aca="false">IF(NOT(ISNUMBER(I55)),0,IF($S55&lt;2,5,IF(AC55=1,1,IF(I55=MAX($G55:$J55),4,IF(AC55=2,2,3)))))</f>
        <v>0</v>
      </c>
      <c r="AH55" s="82" t="n">
        <f aca="false">IF(NOT(ISNUMBER(J55)),0,IF($S55&lt;2,5,IF(AD55=1,1,IF(J55=MAX($G55:$J55),4,IF(AD55=2,2,3)))))</f>
        <v>5</v>
      </c>
      <c r="AI55" s="83" t="n">
        <f aca="false">IF($S55&gt;=2,IF(ISNUMBER(G55),G55*$F55,MIN($G55:$J55)*$F55),0)</f>
        <v>0</v>
      </c>
      <c r="AJ55" s="83" t="n">
        <f aca="false">IF($S55&gt;=2,IF(ISNUMBER(H55),H55*$F55,MIN($G55:$J55)*$F55),0)</f>
        <v>0</v>
      </c>
      <c r="AK55" s="83" t="n">
        <f aca="false">IF($S55&gt;=2,IF(ISNUMBER(I55),I55*$F55,MIN($G55:$J55)*$F55),0)</f>
        <v>0</v>
      </c>
      <c r="AL55" s="83" t="n">
        <f aca="false">IF($S55&gt;=2,IF(ISNUMBER(J55),J55*$F55,MIN($G55:$J55)*$F55),0)</f>
        <v>0</v>
      </c>
      <c r="AM55" s="84" t="str">
        <f aca="false">IF($S55&gt;=2,$R55+ROW()/1000000,"")</f>
        <v/>
      </c>
      <c r="AN55" s="83" t="str">
        <f aca="false">IF($S55&gt;=2,MAX(G55:J55),"")</f>
        <v/>
      </c>
      <c r="AO55" s="82" t="str">
        <f aca="false">IF($S55&gt;=2,INDEX($G$6:$J$6,MATCH(MAX(G55:J55),G55:J55,0)),"")</f>
        <v/>
      </c>
      <c r="AP55" s="83" t="n">
        <f aca="false">IF($S55&gt;=2,MIN(G55:J55)*$F55,0)</f>
        <v>0</v>
      </c>
      <c r="AQ55" s="82" t="str">
        <f aca="false">IF($S55&gt;=2,INDEX($G$6:$J$6,MATCH(MIN(G55:J55),G55:J55,0)),"")</f>
        <v/>
      </c>
    </row>
    <row r="56" customFormat="false" ht="15" hidden="false" customHeight="true" outlineLevel="0" collapsed="false">
      <c r="A56" s="70" t="s">
        <v>237</v>
      </c>
      <c r="B56" s="71" t="s">
        <v>130</v>
      </c>
      <c r="C56" s="72" t="s">
        <v>183</v>
      </c>
      <c r="D56" s="73" t="s">
        <v>238</v>
      </c>
      <c r="E56" s="74" t="s">
        <v>133</v>
      </c>
      <c r="F56" s="75" t="n">
        <v>1</v>
      </c>
      <c r="G56" s="85" t="s">
        <v>138</v>
      </c>
      <c r="H56" s="76" t="n">
        <f aca="false">IF(COUNTIF('Quote Lines'!$P$3:$P$805,$A56&amp;"|"&amp;H$6&amp;"|1")=0,"—",SUMIFS('Quote Lines'!$O$3:$O$805,'Quote Lines'!$P$3:$P$805,$A56&amp;"|"&amp;H$6&amp;"|1")/SUMIFS('Quote Lines'!$L$3:$L$805,'Quote Lines'!$P$3:$P$805,$A56&amp;"|"&amp;H$6&amp;"|1"))</f>
        <v>727.47</v>
      </c>
      <c r="I56" s="85" t="s">
        <v>138</v>
      </c>
      <c r="J56" s="85" t="s">
        <v>138</v>
      </c>
      <c r="K56" s="14" t="str">
        <f aca="false">IF(ISNUMBER(G56),G56*$F56,"—")</f>
        <v>—</v>
      </c>
      <c r="L56" s="14" t="n">
        <f aca="false">IF(ISNUMBER(H56),H56*$F56,"—")</f>
        <v>727.47</v>
      </c>
      <c r="M56" s="14" t="str">
        <f aca="false">IF(ISNUMBER(I56),I56*$F56,"—")</f>
        <v>—</v>
      </c>
      <c r="N56" s="14" t="str">
        <f aca="false">IF(ISNUMBER(J56),J56*$F56,"—")</f>
        <v>—</v>
      </c>
      <c r="O56" s="77" t="n">
        <f aca="false">IF($S56=0,"—",MIN(G56:J56))</f>
        <v>727.47</v>
      </c>
      <c r="P56" s="42" t="str">
        <f aca="false">IF($S56=0,"—",IF(COUNTIF(G56:J56,O56)&gt;1,"Tie",INDEX($G$6:$J$6,MATCH(O56,G56:J56,0))))</f>
        <v>HD Fowler</v>
      </c>
      <c r="Q56" s="48" t="str">
        <f aca="false">IF($S56&gt;=2,MAX(G56:J56)/MIN(G56:J56)-1,"—")</f>
        <v>—</v>
      </c>
      <c r="R56" s="78" t="str">
        <f aca="false">IF($S56&gt;=2,(MAX(G56:J56)-MIN(G56:J56))*$F56,"—")</f>
        <v>—</v>
      </c>
      <c r="S56" s="18" t="n">
        <f aca="false">COUNT(G56:J56)</f>
        <v>1</v>
      </c>
      <c r="T56" s="79" t="str">
        <f aca="false">IF($S56&lt;=1,IF($S56=1,"Single quote","—"),"Like-for-like")</f>
        <v>Single quote</v>
      </c>
      <c r="U56" s="79" t="str">
        <f aca="false">IF(COUNT(W56:Z56)&lt;2,"",IF(MAX(W56:Z56)=MIN(W56:Z56),"OK","Qty differs"))</f>
        <v/>
      </c>
      <c r="V56" s="80"/>
      <c r="W56" s="81"/>
      <c r="X56" s="81" t="n">
        <f aca="false">IF(COUNTIFS('Quote Lines'!$P$3:$P$805,$A56&amp;"|"&amp;H$6&amp;"|1",'Quote Lines'!$M$3:$M$805,"Y")=0,"",SUMIFS('Quote Lines'!$L$3:$L$805,'Quote Lines'!$P$3:$P$805,$A56&amp;"|"&amp;H$6&amp;"|1",'Quote Lines'!$M$3:$M$805,"Y"))</f>
        <v>1</v>
      </c>
      <c r="Y56" s="81"/>
      <c r="Z56" s="81"/>
      <c r="AA56" s="82" t="str">
        <f aca="false">IF(ISNUMBER(G56),1+SUMPRODUCT(ISNUMBER($G56:$J56)*($G56:$J56&lt;G56)),"")</f>
        <v/>
      </c>
      <c r="AB56" s="82" t="n">
        <f aca="false">IF(ISNUMBER(H56),1+SUMPRODUCT(ISNUMBER($G56:$J56)*($G56:$J56&lt;H56)),"")</f>
        <v>1</v>
      </c>
      <c r="AC56" s="82" t="str">
        <f aca="false">IF(ISNUMBER(I56),1+SUMPRODUCT(ISNUMBER($G56:$J56)*($G56:$J56&lt;I56)),"")</f>
        <v/>
      </c>
      <c r="AD56" s="82" t="str">
        <f aca="false">IF(ISNUMBER(J56),1+SUMPRODUCT(ISNUMBER($G56:$J56)*($G56:$J56&lt;J56)),"")</f>
        <v/>
      </c>
      <c r="AE56" s="82" t="n">
        <f aca="false">IF(NOT(ISNUMBER(G56)),0,IF($S56&lt;2,5,IF(AA56=1,1,IF(G56=MAX($G56:$J56),4,IF(AA56=2,2,3)))))</f>
        <v>0</v>
      </c>
      <c r="AF56" s="82" t="n">
        <f aca="false">IF(NOT(ISNUMBER(H56)),0,IF($S56&lt;2,5,IF(AB56=1,1,IF(H56=MAX($G56:$J56),4,IF(AB56=2,2,3)))))</f>
        <v>5</v>
      </c>
      <c r="AG56" s="82" t="n">
        <f aca="false">IF(NOT(ISNUMBER(I56)),0,IF($S56&lt;2,5,IF(AC56=1,1,IF(I56=MAX($G56:$J56),4,IF(AC56=2,2,3)))))</f>
        <v>0</v>
      </c>
      <c r="AH56" s="82" t="n">
        <f aca="false">IF(NOT(ISNUMBER(J56)),0,IF($S56&lt;2,5,IF(AD56=1,1,IF(J56=MAX($G56:$J56),4,IF(AD56=2,2,3)))))</f>
        <v>0</v>
      </c>
      <c r="AI56" s="83" t="n">
        <f aca="false">IF($S56&gt;=2,IF(ISNUMBER(G56),G56*$F56,MIN($G56:$J56)*$F56),0)</f>
        <v>0</v>
      </c>
      <c r="AJ56" s="83" t="n">
        <f aca="false">IF($S56&gt;=2,IF(ISNUMBER(H56),H56*$F56,MIN($G56:$J56)*$F56),0)</f>
        <v>0</v>
      </c>
      <c r="AK56" s="83" t="n">
        <f aca="false">IF($S56&gt;=2,IF(ISNUMBER(I56),I56*$F56,MIN($G56:$J56)*$F56),0)</f>
        <v>0</v>
      </c>
      <c r="AL56" s="83" t="n">
        <f aca="false">IF($S56&gt;=2,IF(ISNUMBER(J56),J56*$F56,MIN($G56:$J56)*$F56),0)</f>
        <v>0</v>
      </c>
      <c r="AM56" s="84" t="str">
        <f aca="false">IF($S56&gt;=2,$R56+ROW()/1000000,"")</f>
        <v/>
      </c>
      <c r="AN56" s="83" t="str">
        <f aca="false">IF($S56&gt;=2,MAX(G56:J56),"")</f>
        <v/>
      </c>
      <c r="AO56" s="82" t="str">
        <f aca="false">IF($S56&gt;=2,INDEX($G$6:$J$6,MATCH(MAX(G56:J56),G56:J56,0)),"")</f>
        <v/>
      </c>
      <c r="AP56" s="83" t="n">
        <f aca="false">IF($S56&gt;=2,MIN(G56:J56)*$F56,0)</f>
        <v>0</v>
      </c>
      <c r="AQ56" s="82" t="str">
        <f aca="false">IF($S56&gt;=2,INDEX($G$6:$J$6,MATCH(MIN(G56:J56),G56:J56,0)),"")</f>
        <v/>
      </c>
    </row>
    <row r="57" customFormat="false" ht="27.75" hidden="false" customHeight="true" outlineLevel="0" collapsed="false">
      <c r="A57" s="70" t="s">
        <v>239</v>
      </c>
      <c r="B57" s="71" t="s">
        <v>130</v>
      </c>
      <c r="C57" s="72" t="s">
        <v>240</v>
      </c>
      <c r="D57" s="73" t="s">
        <v>241</v>
      </c>
      <c r="E57" s="74" t="s">
        <v>133</v>
      </c>
      <c r="F57" s="75" t="n">
        <v>1</v>
      </c>
      <c r="G57" s="76" t="n">
        <f aca="false">IF(COUNTIF('Quote Lines'!$P$3:$P$805,$A57&amp;"|"&amp;G$6&amp;"|1")=0,"—",SUMIFS('Quote Lines'!$O$3:$O$805,'Quote Lines'!$P$3:$P$805,$A57&amp;"|"&amp;G$6&amp;"|1")/SUMIFS('Quote Lines'!$L$3:$L$805,'Quote Lines'!$P$3:$P$805,$A57&amp;"|"&amp;G$6&amp;"|1"))</f>
        <v>37321.6</v>
      </c>
      <c r="H57" s="76" t="n">
        <f aca="false">IF(COUNTIF('Quote Lines'!$P$3:$P$805,$A57&amp;"|"&amp;H$6&amp;"|1")=0,"—",SUMIFS('Quote Lines'!$O$3:$O$805,'Quote Lines'!$P$3:$P$805,$A57&amp;"|"&amp;H$6&amp;"|1")/SUMIFS('Quote Lines'!$L$3:$L$805,'Quote Lines'!$P$3:$P$805,$A57&amp;"|"&amp;H$6&amp;"|1")+IFERROR(SUMIFS('Quote Lines'!$O$3:$O$805,'Quote Lines'!$P$3:$P$805,$A57&amp;"|"&amp;H$6&amp;"|2")/SUMIFS('Quote Lines'!$L$3:$L$805,'Quote Lines'!$P$3:$P$805,$A57&amp;"|"&amp;H$6&amp;"|2"),0))</f>
        <v>28455.61</v>
      </c>
      <c r="I57" s="76" t="n">
        <f aca="false">IF(COUNTIF('Quote Lines'!$P$3:$P$805,$A57&amp;"|"&amp;I$6&amp;"|1")=0,"—",SUMIFS('Quote Lines'!$O$3:$O$805,'Quote Lines'!$P$3:$P$805,$A57&amp;"|"&amp;I$6&amp;"|1")/SUMIFS('Quote Lines'!$L$3:$L$805,'Quote Lines'!$P$3:$P$805,$A57&amp;"|"&amp;I$6&amp;"|1")+IFERROR(SUMIFS('Quote Lines'!$O$3:$O$805,'Quote Lines'!$P$3:$P$805,$A57&amp;"|"&amp;I$6&amp;"|2")/SUMIFS('Quote Lines'!$L$3:$L$805,'Quote Lines'!$P$3:$P$805,$A57&amp;"|"&amp;I$6&amp;"|2"),0))</f>
        <v>27719.12</v>
      </c>
      <c r="J57" s="76" t="n">
        <f aca="false">IF(COUNTIF('Quote Lines'!$P$3:$P$805,$A57&amp;"|"&amp;J$6&amp;"|1")=0,"—",SUMIFS('Quote Lines'!$O$3:$O$805,'Quote Lines'!$P$3:$P$805,$A57&amp;"|"&amp;J$6&amp;"|1")/SUMIFS('Quote Lines'!$L$3:$L$805,'Quote Lines'!$P$3:$P$805,$A57&amp;"|"&amp;J$6&amp;"|1"))</f>
        <v>31000</v>
      </c>
      <c r="K57" s="14" t="n">
        <f aca="false">IF(ISNUMBER(G57),G57*$F57,"—")</f>
        <v>37321.6</v>
      </c>
      <c r="L57" s="14" t="n">
        <f aca="false">IF(ISNUMBER(H57),H57*$F57,"—")</f>
        <v>28455.61</v>
      </c>
      <c r="M57" s="14" t="n">
        <f aca="false">IF(ISNUMBER(I57),I57*$F57,"—")</f>
        <v>27719.12</v>
      </c>
      <c r="N57" s="14" t="n">
        <f aca="false">IF(ISNUMBER(J57),J57*$F57,"—")</f>
        <v>31000</v>
      </c>
      <c r="O57" s="77" t="n">
        <f aca="false">IF($S57=0,"—",MIN(G57:J57))</f>
        <v>27719.12</v>
      </c>
      <c r="P57" s="42" t="str">
        <f aca="false">IF($S57=0,"—",IF(COUNTIF(G57:J57,O57)&gt;1,"Tie",INDEX($G$6:$J$6,MATCH(O57,G57:J57,0))))</f>
        <v>Mountainland</v>
      </c>
      <c r="Q57" s="48" t="n">
        <f aca="false">IF($S57&gt;=2,MAX(G57:J57)/MIN(G57:J57)-1,"—")</f>
        <v>0.346420809895841</v>
      </c>
      <c r="R57" s="78" t="n">
        <f aca="false">IF($S57&gt;=2,(MAX(G57:J57)-MIN(G57:J57))*$F57,"—")</f>
        <v>9602.48</v>
      </c>
      <c r="S57" s="18" t="n">
        <f aca="false">COUNT(G57:J57)</f>
        <v>4</v>
      </c>
      <c r="T57" s="79" t="str">
        <f aca="false">IF($S57&lt;=1,IF($S57=1,"Single quote","—"),"Alt spec – verify")</f>
        <v>Alt spec – verify</v>
      </c>
      <c r="U57" s="79" t="str">
        <f aca="false">IF(COUNT(W57:Z57)&lt;2,"",IF(MAX(W57:Z57)=MIN(W57:Z57),"OK","Qty differs"))</f>
        <v>OK</v>
      </c>
      <c r="V57" s="80" t="s">
        <v>242</v>
      </c>
      <c r="W57" s="81" t="n">
        <f aca="false">IF(COUNTIFS('Quote Lines'!$P$3:$P$805,$A57&amp;"|"&amp;G$6&amp;"|1",'Quote Lines'!$M$3:$M$805,"Y")=0,"",SUMIFS('Quote Lines'!$L$3:$L$805,'Quote Lines'!$P$3:$P$805,$A57&amp;"|"&amp;G$6&amp;"|1",'Quote Lines'!$M$3:$M$805,"Y"))</f>
        <v>1</v>
      </c>
      <c r="X57" s="81" t="n">
        <f aca="false">IF(COUNTIFS('Quote Lines'!$P$3:$P$805,$A57&amp;"|"&amp;H$6&amp;"|1",'Quote Lines'!$M$3:$M$805,"Y")=0,"",SUMIFS('Quote Lines'!$L$3:$L$805,'Quote Lines'!$P$3:$P$805,$A57&amp;"|"&amp;H$6&amp;"|1",'Quote Lines'!$M$3:$M$805,"Y"))</f>
        <v>1</v>
      </c>
      <c r="Y57" s="81" t="n">
        <f aca="false">IF(COUNTIFS('Quote Lines'!$P$3:$P$805,$A57&amp;"|"&amp;I$6&amp;"|1",'Quote Lines'!$M$3:$M$805,"Y")=0,"",SUMIFS('Quote Lines'!$L$3:$L$805,'Quote Lines'!$P$3:$P$805,$A57&amp;"|"&amp;I$6&amp;"|1",'Quote Lines'!$M$3:$M$805,"Y"))</f>
        <v>1</v>
      </c>
      <c r="Z57" s="81" t="n">
        <f aca="false">IF(COUNTIFS('Quote Lines'!$P$3:$P$805,$A57&amp;"|"&amp;J$6&amp;"|1",'Quote Lines'!$M$3:$M$805,"Y")=0,"",SUMIFS('Quote Lines'!$L$3:$L$805,'Quote Lines'!$P$3:$P$805,$A57&amp;"|"&amp;J$6&amp;"|1",'Quote Lines'!$M$3:$M$805,"Y"))</f>
        <v>1</v>
      </c>
      <c r="AA57" s="82" t="n">
        <f aca="false">IF(ISNUMBER(G57),1+SUMPRODUCT(ISNUMBER($G57:$J57)*($G57:$J57&lt;G57)),"")</f>
        <v>4</v>
      </c>
      <c r="AB57" s="82" t="n">
        <f aca="false">IF(ISNUMBER(H57),1+SUMPRODUCT(ISNUMBER($G57:$J57)*($G57:$J57&lt;H57)),"")</f>
        <v>2</v>
      </c>
      <c r="AC57" s="82" t="n">
        <f aca="false">IF(ISNUMBER(I57),1+SUMPRODUCT(ISNUMBER($G57:$J57)*($G57:$J57&lt;I57)),"")</f>
        <v>1</v>
      </c>
      <c r="AD57" s="82" t="n">
        <f aca="false">IF(ISNUMBER(J57),1+SUMPRODUCT(ISNUMBER($G57:$J57)*($G57:$J57&lt;J57)),"")</f>
        <v>3</v>
      </c>
      <c r="AE57" s="82" t="n">
        <f aca="false">IF(NOT(ISNUMBER(G57)),0,IF($S57&lt;2,5,IF(AA57=1,1,IF(G57=MAX($G57:$J57),4,IF(AA57=2,2,3)))))</f>
        <v>4</v>
      </c>
      <c r="AF57" s="82" t="n">
        <f aca="false">IF(NOT(ISNUMBER(H57)),0,IF($S57&lt;2,5,IF(AB57=1,1,IF(H57=MAX($G57:$J57),4,IF(AB57=2,2,3)))))</f>
        <v>2</v>
      </c>
      <c r="AG57" s="82" t="n">
        <f aca="false">IF(NOT(ISNUMBER(I57)),0,IF($S57&lt;2,5,IF(AC57=1,1,IF(I57=MAX($G57:$J57),4,IF(AC57=2,2,3)))))</f>
        <v>1</v>
      </c>
      <c r="AH57" s="82" t="n">
        <f aca="false">IF(NOT(ISNUMBER(J57)),0,IF($S57&lt;2,5,IF(AD57=1,1,IF(J57=MAX($G57:$J57),4,IF(AD57=2,2,3)))))</f>
        <v>3</v>
      </c>
      <c r="AI57" s="83" t="n">
        <f aca="false">IF($S57&gt;=2,IF(ISNUMBER(G57),G57*$F57,MIN($G57:$J57)*$F57),0)</f>
        <v>37321.6</v>
      </c>
      <c r="AJ57" s="83" t="n">
        <f aca="false">IF($S57&gt;=2,IF(ISNUMBER(H57),H57*$F57,MIN($G57:$J57)*$F57),0)</f>
        <v>28455.61</v>
      </c>
      <c r="AK57" s="83" t="n">
        <f aca="false">IF($S57&gt;=2,IF(ISNUMBER(I57),I57*$F57,MIN($G57:$J57)*$F57),0)</f>
        <v>27719.12</v>
      </c>
      <c r="AL57" s="83" t="n">
        <f aca="false">IF($S57&gt;=2,IF(ISNUMBER(J57),J57*$F57,MIN($G57:$J57)*$F57),0)</f>
        <v>31000</v>
      </c>
      <c r="AM57" s="84" t="n">
        <f aca="false">IF($S57&gt;=2,$R57+ROW()/1000000,"")</f>
        <v>9602.480057</v>
      </c>
      <c r="AN57" s="83" t="n">
        <f aca="false">IF($S57&gt;=2,MAX(G57:J57),"")</f>
        <v>37321.6</v>
      </c>
      <c r="AO57" s="82" t="str">
        <f aca="false">IF($S57&gt;=2,INDEX($G$6:$J$6,MATCH(MAX(G57:J57),G57:J57,0)),"")</f>
        <v>Ferguson</v>
      </c>
      <c r="AP57" s="83" t="n">
        <f aca="false">IF($S57&gt;=2,MIN(G57:J57)*$F57,0)</f>
        <v>27719.12</v>
      </c>
      <c r="AQ57" s="82" t="str">
        <f aca="false">IF($S57&gt;=2,INDEX($G$6:$J$6,MATCH(MIN(G57:J57),G57:J57,0)),"")</f>
        <v>Mountainland</v>
      </c>
    </row>
    <row r="58" customFormat="false" ht="15" hidden="false" customHeight="true" outlineLevel="0" collapsed="false">
      <c r="A58" s="70" t="s">
        <v>243</v>
      </c>
      <c r="B58" s="71" t="s">
        <v>130</v>
      </c>
      <c r="C58" s="72" t="s">
        <v>240</v>
      </c>
      <c r="D58" s="73" t="s">
        <v>244</v>
      </c>
      <c r="E58" s="74" t="s">
        <v>133</v>
      </c>
      <c r="F58" s="75" t="n">
        <v>2</v>
      </c>
      <c r="G58" s="76" t="n">
        <f aca="false">IF(COUNTIF('Quote Lines'!$P$3:$P$805,$A58&amp;"|"&amp;G$6&amp;"|1")=0,"—",SUMIFS('Quote Lines'!$O$3:$O$805,'Quote Lines'!$P$3:$P$805,$A58&amp;"|"&amp;G$6&amp;"|1")/SUMIFS('Quote Lines'!$L$3:$L$805,'Quote Lines'!$P$3:$P$805,$A58&amp;"|"&amp;G$6&amp;"|1"))</f>
        <v>618.75</v>
      </c>
      <c r="H58" s="76" t="n">
        <f aca="false">IF(COUNTIF('Quote Lines'!$P$3:$P$805,$A58&amp;"|"&amp;H$6&amp;"|1")=0,"—",SUMIFS('Quote Lines'!$O$3:$O$805,'Quote Lines'!$P$3:$P$805,$A58&amp;"|"&amp;H$6&amp;"|1")/SUMIFS('Quote Lines'!$L$3:$L$805,'Quote Lines'!$P$3:$P$805,$A58&amp;"|"&amp;H$6&amp;"|1"))</f>
        <v>612.7</v>
      </c>
      <c r="I58" s="76" t="n">
        <f aca="false">IF(COUNTIF('Quote Lines'!$P$3:$P$805,$A58&amp;"|"&amp;I$6&amp;"|1")=0,"—",SUMIFS('Quote Lines'!$O$3:$O$805,'Quote Lines'!$P$3:$P$805,$A58&amp;"|"&amp;I$6&amp;"|1")/SUMIFS('Quote Lines'!$L$3:$L$805,'Quote Lines'!$P$3:$P$805,$A58&amp;"|"&amp;I$6&amp;"|1"))</f>
        <v>657.425</v>
      </c>
      <c r="J58" s="85" t="s">
        <v>138</v>
      </c>
      <c r="K58" s="14" t="n">
        <f aca="false">IF(ISNUMBER(G58),G58*$F58,"—")</f>
        <v>1237.5</v>
      </c>
      <c r="L58" s="14" t="n">
        <f aca="false">IF(ISNUMBER(H58),H58*$F58,"—")</f>
        <v>1225.4</v>
      </c>
      <c r="M58" s="14" t="n">
        <f aca="false">IF(ISNUMBER(I58),I58*$F58,"—")</f>
        <v>1314.85</v>
      </c>
      <c r="N58" s="14" t="str">
        <f aca="false">IF(ISNUMBER(J58),J58*$F58,"—")</f>
        <v>—</v>
      </c>
      <c r="O58" s="77" t="n">
        <f aca="false">IF($S58=0,"—",MIN(G58:J58))</f>
        <v>612.7</v>
      </c>
      <c r="P58" s="42" t="str">
        <f aca="false">IF($S58=0,"—",IF(COUNTIF(G58:J58,O58)&gt;1,"Tie",INDEX($G$6:$J$6,MATCH(O58,G58:J58,0))))</f>
        <v>HD Fowler</v>
      </c>
      <c r="Q58" s="48" t="n">
        <f aca="false">IF($S58&gt;=2,MAX(G58:J58)/MIN(G58:J58)-1,"—")</f>
        <v>0.0729965725477393</v>
      </c>
      <c r="R58" s="78" t="n">
        <f aca="false">IF($S58&gt;=2,(MAX(G58:J58)-MIN(G58:J58))*$F58,"—")</f>
        <v>89.4499999999998</v>
      </c>
      <c r="S58" s="18" t="n">
        <f aca="false">COUNT(G58:J58)</f>
        <v>3</v>
      </c>
      <c r="T58" s="79" t="str">
        <f aca="false">IF($S58&lt;=1,IF($S58=1,"Single quote","—"),"Like-for-like")</f>
        <v>Like-for-like</v>
      </c>
      <c r="U58" s="79" t="str">
        <f aca="false">IF(COUNT(W58:Z58)&lt;2,"",IF(MAX(W58:Z58)=MIN(W58:Z58),"OK","Qty differs"))</f>
        <v>OK</v>
      </c>
      <c r="V58" s="80"/>
      <c r="W58" s="81" t="n">
        <f aca="false">IF(COUNTIFS('Quote Lines'!$P$3:$P$805,$A58&amp;"|"&amp;G$6&amp;"|1",'Quote Lines'!$M$3:$M$805,"Y")=0,"",SUMIFS('Quote Lines'!$L$3:$L$805,'Quote Lines'!$P$3:$P$805,$A58&amp;"|"&amp;G$6&amp;"|1",'Quote Lines'!$M$3:$M$805,"Y"))</f>
        <v>2</v>
      </c>
      <c r="X58" s="81" t="n">
        <f aca="false">IF(COUNTIFS('Quote Lines'!$P$3:$P$805,$A58&amp;"|"&amp;H$6&amp;"|1",'Quote Lines'!$M$3:$M$805,"Y")=0,"",SUMIFS('Quote Lines'!$L$3:$L$805,'Quote Lines'!$P$3:$P$805,$A58&amp;"|"&amp;H$6&amp;"|1",'Quote Lines'!$M$3:$M$805,"Y"))</f>
        <v>2</v>
      </c>
      <c r="Y58" s="81" t="n">
        <f aca="false">IF(COUNTIFS('Quote Lines'!$P$3:$P$805,$A58&amp;"|"&amp;I$6&amp;"|1",'Quote Lines'!$M$3:$M$805,"Y")=0,"",SUMIFS('Quote Lines'!$L$3:$L$805,'Quote Lines'!$P$3:$P$805,$A58&amp;"|"&amp;I$6&amp;"|1",'Quote Lines'!$M$3:$M$805,"Y"))</f>
        <v>2</v>
      </c>
      <c r="Z58" s="81"/>
      <c r="AA58" s="82" t="n">
        <f aca="false">IF(ISNUMBER(G58),1+SUMPRODUCT(ISNUMBER($G58:$J58)*($G58:$J58&lt;G58)),"")</f>
        <v>2</v>
      </c>
      <c r="AB58" s="82" t="n">
        <f aca="false">IF(ISNUMBER(H58),1+SUMPRODUCT(ISNUMBER($G58:$J58)*($G58:$J58&lt;H58)),"")</f>
        <v>1</v>
      </c>
      <c r="AC58" s="82" t="n">
        <f aca="false">IF(ISNUMBER(I58),1+SUMPRODUCT(ISNUMBER($G58:$J58)*($G58:$J58&lt;I58)),"")</f>
        <v>3</v>
      </c>
      <c r="AD58" s="82" t="str">
        <f aca="false">IF(ISNUMBER(J58),1+SUMPRODUCT(ISNUMBER($G58:$J58)*($G58:$J58&lt;J58)),"")</f>
        <v/>
      </c>
      <c r="AE58" s="82" t="n">
        <f aca="false">IF(NOT(ISNUMBER(G58)),0,IF($S58&lt;2,5,IF(AA58=1,1,IF(G58=MAX($G58:$J58),4,IF(AA58=2,2,3)))))</f>
        <v>2</v>
      </c>
      <c r="AF58" s="82" t="n">
        <f aca="false">IF(NOT(ISNUMBER(H58)),0,IF($S58&lt;2,5,IF(AB58=1,1,IF(H58=MAX($G58:$J58),4,IF(AB58=2,2,3)))))</f>
        <v>1</v>
      </c>
      <c r="AG58" s="82" t="n">
        <f aca="false">IF(NOT(ISNUMBER(I58)),0,IF($S58&lt;2,5,IF(AC58=1,1,IF(I58=MAX($G58:$J58),4,IF(AC58=2,2,3)))))</f>
        <v>4</v>
      </c>
      <c r="AH58" s="82" t="n">
        <f aca="false">IF(NOT(ISNUMBER(J58)),0,IF($S58&lt;2,5,IF(AD58=1,1,IF(J58=MAX($G58:$J58),4,IF(AD58=2,2,3)))))</f>
        <v>0</v>
      </c>
      <c r="AI58" s="83" t="n">
        <f aca="false">IF($S58&gt;=2,IF(ISNUMBER(G58),G58*$F58,MIN($G58:$J58)*$F58),0)</f>
        <v>1237.5</v>
      </c>
      <c r="AJ58" s="83" t="n">
        <f aca="false">IF($S58&gt;=2,IF(ISNUMBER(H58),H58*$F58,MIN($G58:$J58)*$F58),0)</f>
        <v>1225.4</v>
      </c>
      <c r="AK58" s="83" t="n">
        <f aca="false">IF($S58&gt;=2,IF(ISNUMBER(I58),I58*$F58,MIN($G58:$J58)*$F58),0)</f>
        <v>1314.85</v>
      </c>
      <c r="AL58" s="83" t="n">
        <f aca="false">IF($S58&gt;=2,IF(ISNUMBER(J58),J58*$F58,MIN($G58:$J58)*$F58),0)</f>
        <v>1225.4</v>
      </c>
      <c r="AM58" s="84" t="n">
        <f aca="false">IF($S58&gt;=2,$R58+ROW()/1000000,"")</f>
        <v>89.4500579999998</v>
      </c>
      <c r="AN58" s="83" t="n">
        <f aca="false">IF($S58&gt;=2,MAX(G58:J58),"")</f>
        <v>657.425</v>
      </c>
      <c r="AO58" s="82" t="str">
        <f aca="false">IF($S58&gt;=2,INDEX($G$6:$J$6,MATCH(MAX(G58:J58),G58:J58,0)),"")</f>
        <v>Mountainland</v>
      </c>
      <c r="AP58" s="83" t="n">
        <f aca="false">IF($S58&gt;=2,MIN(G58:J58)*$F58,0)</f>
        <v>1225.4</v>
      </c>
      <c r="AQ58" s="82" t="str">
        <f aca="false">IF($S58&gt;=2,INDEX($G$6:$J$6,MATCH(MIN(G58:J58),G58:J58,0)),"")</f>
        <v>HD Fowler</v>
      </c>
    </row>
    <row r="59" customFormat="false" ht="15" hidden="false" customHeight="true" outlineLevel="0" collapsed="false">
      <c r="A59" s="70" t="s">
        <v>245</v>
      </c>
      <c r="B59" s="71" t="s">
        <v>130</v>
      </c>
      <c r="C59" s="72" t="s">
        <v>240</v>
      </c>
      <c r="D59" s="73" t="s">
        <v>246</v>
      </c>
      <c r="E59" s="74" t="s">
        <v>133</v>
      </c>
      <c r="F59" s="75" t="n">
        <v>1</v>
      </c>
      <c r="G59" s="76" t="n">
        <f aca="false">IF(COUNTIF('Quote Lines'!$P$3:$P$805,$A59&amp;"|"&amp;G$6&amp;"|1")=0,"—",SUMIFS('Quote Lines'!$O$3:$O$805,'Quote Lines'!$P$3:$P$805,$A59&amp;"|"&amp;G$6&amp;"|1")/SUMIFS('Quote Lines'!$L$3:$L$805,'Quote Lines'!$P$3:$P$805,$A59&amp;"|"&amp;G$6&amp;"|1"))</f>
        <v>19472.57</v>
      </c>
      <c r="H59" s="76" t="n">
        <f aca="false">IF(COUNTIF('Quote Lines'!$P$3:$P$805,$A59&amp;"|"&amp;H$6&amp;"|1")=0,"—",SUMIFS('Quote Lines'!$O$3:$O$805,'Quote Lines'!$P$3:$P$805,$A59&amp;"|"&amp;H$6&amp;"|1")/SUMIFS('Quote Lines'!$L$3:$L$805,'Quote Lines'!$P$3:$P$805,$A59&amp;"|"&amp;H$6&amp;"|1"))</f>
        <v>18442.4</v>
      </c>
      <c r="I59" s="85" t="s">
        <v>138</v>
      </c>
      <c r="J59" s="76" t="n">
        <f aca="false">IF(COUNTIF('Quote Lines'!$P$3:$P$805,$A59&amp;"|"&amp;J$6&amp;"|1")=0,"—",SUMIFS('Quote Lines'!$O$3:$O$805,'Quote Lines'!$P$3:$P$805,$A59&amp;"|"&amp;J$6&amp;"|1")/SUMIFS('Quote Lines'!$L$3:$L$805,'Quote Lines'!$P$3:$P$805,$A59&amp;"|"&amp;J$6&amp;"|1"))</f>
        <v>20159.85</v>
      </c>
      <c r="K59" s="14" t="n">
        <f aca="false">IF(ISNUMBER(G59),G59*$F59,"—")</f>
        <v>19472.57</v>
      </c>
      <c r="L59" s="14" t="n">
        <f aca="false">IF(ISNUMBER(H59),H59*$F59,"—")</f>
        <v>18442.4</v>
      </c>
      <c r="M59" s="14" t="str">
        <f aca="false">IF(ISNUMBER(I59),I59*$F59,"—")</f>
        <v>—</v>
      </c>
      <c r="N59" s="14" t="n">
        <f aca="false">IF(ISNUMBER(J59),J59*$F59,"—")</f>
        <v>20159.85</v>
      </c>
      <c r="O59" s="77" t="n">
        <f aca="false">IF($S59=0,"—",MIN(G59:J59))</f>
        <v>18442.4</v>
      </c>
      <c r="P59" s="42" t="str">
        <f aca="false">IF($S59=0,"—",IF(COUNTIF(G59:J59,O59)&gt;1,"Tie",INDEX($G$6:$J$6,MATCH(O59,G59:J59,0))))</f>
        <v>HD Fowler</v>
      </c>
      <c r="Q59" s="48" t="n">
        <f aca="false">IF($S59&gt;=2,MAX(G59:J59)/MIN(G59:J59)-1,"—")</f>
        <v>0.0931250813343165</v>
      </c>
      <c r="R59" s="78" t="n">
        <f aca="false">IF($S59&gt;=2,(MAX(G59:J59)-MIN(G59:J59))*$F59,"—")</f>
        <v>1717.45</v>
      </c>
      <c r="S59" s="18" t="n">
        <f aca="false">COUNT(G59:J59)</f>
        <v>3</v>
      </c>
      <c r="T59" s="79" t="str">
        <f aca="false">IF($S59&lt;=1,IF($S59=1,"Single quote","—"),"Like-for-like")</f>
        <v>Like-for-like</v>
      </c>
      <c r="U59" s="79" t="str">
        <f aca="false">IF(COUNT(W59:Z59)&lt;2,"",IF(MAX(W59:Z59)=MIN(W59:Z59),"OK","Qty differs"))</f>
        <v>OK</v>
      </c>
      <c r="V59" s="80"/>
      <c r="W59" s="81" t="n">
        <f aca="false">IF(COUNTIFS('Quote Lines'!$P$3:$P$805,$A59&amp;"|"&amp;G$6&amp;"|1",'Quote Lines'!$M$3:$M$805,"Y")=0,"",SUMIFS('Quote Lines'!$L$3:$L$805,'Quote Lines'!$P$3:$P$805,$A59&amp;"|"&amp;G$6&amp;"|1",'Quote Lines'!$M$3:$M$805,"Y"))</f>
        <v>1</v>
      </c>
      <c r="X59" s="81" t="n">
        <f aca="false">IF(COUNTIFS('Quote Lines'!$P$3:$P$805,$A59&amp;"|"&amp;H$6&amp;"|1",'Quote Lines'!$M$3:$M$805,"Y")=0,"",SUMIFS('Quote Lines'!$L$3:$L$805,'Quote Lines'!$P$3:$P$805,$A59&amp;"|"&amp;H$6&amp;"|1",'Quote Lines'!$M$3:$M$805,"Y"))</f>
        <v>1</v>
      </c>
      <c r="Y59" s="81"/>
      <c r="Z59" s="81" t="n">
        <f aca="false">IF(COUNTIFS('Quote Lines'!$P$3:$P$805,$A59&amp;"|"&amp;J$6&amp;"|1",'Quote Lines'!$M$3:$M$805,"Y")=0,"",SUMIFS('Quote Lines'!$L$3:$L$805,'Quote Lines'!$P$3:$P$805,$A59&amp;"|"&amp;J$6&amp;"|1",'Quote Lines'!$M$3:$M$805,"Y"))</f>
        <v>1</v>
      </c>
      <c r="AA59" s="82" t="n">
        <f aca="false">IF(ISNUMBER(G59),1+SUMPRODUCT(ISNUMBER($G59:$J59)*($G59:$J59&lt;G59)),"")</f>
        <v>2</v>
      </c>
      <c r="AB59" s="82" t="n">
        <f aca="false">IF(ISNUMBER(H59),1+SUMPRODUCT(ISNUMBER($G59:$J59)*($G59:$J59&lt;H59)),"")</f>
        <v>1</v>
      </c>
      <c r="AC59" s="82" t="str">
        <f aca="false">IF(ISNUMBER(I59),1+SUMPRODUCT(ISNUMBER($G59:$J59)*($G59:$J59&lt;I59)),"")</f>
        <v/>
      </c>
      <c r="AD59" s="82" t="n">
        <f aca="false">IF(ISNUMBER(J59),1+SUMPRODUCT(ISNUMBER($G59:$J59)*($G59:$J59&lt;J59)),"")</f>
        <v>3</v>
      </c>
      <c r="AE59" s="82" t="n">
        <f aca="false">IF(NOT(ISNUMBER(G59)),0,IF($S59&lt;2,5,IF(AA59=1,1,IF(G59=MAX($G59:$J59),4,IF(AA59=2,2,3)))))</f>
        <v>2</v>
      </c>
      <c r="AF59" s="82" t="n">
        <f aca="false">IF(NOT(ISNUMBER(H59)),0,IF($S59&lt;2,5,IF(AB59=1,1,IF(H59=MAX($G59:$J59),4,IF(AB59=2,2,3)))))</f>
        <v>1</v>
      </c>
      <c r="AG59" s="82" t="n">
        <f aca="false">IF(NOT(ISNUMBER(I59)),0,IF($S59&lt;2,5,IF(AC59=1,1,IF(I59=MAX($G59:$J59),4,IF(AC59=2,2,3)))))</f>
        <v>0</v>
      </c>
      <c r="AH59" s="82" t="n">
        <f aca="false">IF(NOT(ISNUMBER(J59)),0,IF($S59&lt;2,5,IF(AD59=1,1,IF(J59=MAX($G59:$J59),4,IF(AD59=2,2,3)))))</f>
        <v>4</v>
      </c>
      <c r="AI59" s="83" t="n">
        <f aca="false">IF($S59&gt;=2,IF(ISNUMBER(G59),G59*$F59,MIN($G59:$J59)*$F59),0)</f>
        <v>19472.57</v>
      </c>
      <c r="AJ59" s="83" t="n">
        <f aca="false">IF($S59&gt;=2,IF(ISNUMBER(H59),H59*$F59,MIN($G59:$J59)*$F59),0)</f>
        <v>18442.4</v>
      </c>
      <c r="AK59" s="83" t="n">
        <f aca="false">IF($S59&gt;=2,IF(ISNUMBER(I59),I59*$F59,MIN($G59:$J59)*$F59),0)</f>
        <v>18442.4</v>
      </c>
      <c r="AL59" s="83" t="n">
        <f aca="false">IF($S59&gt;=2,IF(ISNUMBER(J59),J59*$F59,MIN($G59:$J59)*$F59),0)</f>
        <v>20159.85</v>
      </c>
      <c r="AM59" s="84" t="n">
        <f aca="false">IF($S59&gt;=2,$R59+ROW()/1000000,"")</f>
        <v>1717.450059</v>
      </c>
      <c r="AN59" s="83" t="n">
        <f aca="false">IF($S59&gt;=2,MAX(G59:J59),"")</f>
        <v>20159.85</v>
      </c>
      <c r="AO59" s="82" t="str">
        <f aca="false">IF($S59&gt;=2,INDEX($G$6:$J$6,MATCH(MAX(G59:J59),G59:J59,0)),"")</f>
        <v>Scholzen</v>
      </c>
      <c r="AP59" s="83" t="n">
        <f aca="false">IF($S59&gt;=2,MIN(G59:J59)*$F59,0)</f>
        <v>18442.4</v>
      </c>
      <c r="AQ59" s="82" t="str">
        <f aca="false">IF($S59&gt;=2,INDEX($G$6:$J$6,MATCH(MIN(G59:J59),G59:J59,0)),"")</f>
        <v>HD Fowler</v>
      </c>
    </row>
    <row r="60" customFormat="false" ht="27.75" hidden="false" customHeight="true" outlineLevel="0" collapsed="false">
      <c r="A60" s="70" t="s">
        <v>247</v>
      </c>
      <c r="B60" s="71" t="s">
        <v>130</v>
      </c>
      <c r="C60" s="72" t="s">
        <v>240</v>
      </c>
      <c r="D60" s="73" t="s">
        <v>248</v>
      </c>
      <c r="E60" s="74" t="s">
        <v>133</v>
      </c>
      <c r="F60" s="75" t="n">
        <v>1</v>
      </c>
      <c r="G60" s="85" t="s">
        <v>138</v>
      </c>
      <c r="H60" s="85" t="s">
        <v>138</v>
      </c>
      <c r="I60" s="76" t="n">
        <f aca="false">IF(COUNTIF('Quote Lines'!$P$3:$P$805,$A60&amp;"|"&amp;I$6&amp;"|1")=0,"—",SUMIFS('Quote Lines'!$O$3:$O$805,'Quote Lines'!$P$3:$P$805,$A60&amp;"|"&amp;I$6&amp;"|1")/SUMIFS('Quote Lines'!$L$3:$L$805,'Quote Lines'!$P$3:$P$805,$A60&amp;"|"&amp;I$6&amp;"|1"))</f>
        <v>6451.76</v>
      </c>
      <c r="J60" s="85" t="s">
        <v>138</v>
      </c>
      <c r="K60" s="14" t="str">
        <f aca="false">IF(ISNUMBER(G60),G60*$F60,"—")</f>
        <v>—</v>
      </c>
      <c r="L60" s="14" t="str">
        <f aca="false">IF(ISNUMBER(H60),H60*$F60,"—")</f>
        <v>—</v>
      </c>
      <c r="M60" s="14" t="n">
        <f aca="false">IF(ISNUMBER(I60),I60*$F60,"—")</f>
        <v>6451.76</v>
      </c>
      <c r="N60" s="14" t="str">
        <f aca="false">IF(ISNUMBER(J60),J60*$F60,"—")</f>
        <v>—</v>
      </c>
      <c r="O60" s="77" t="n">
        <f aca="false">IF($S60=0,"—",MIN(G60:J60))</f>
        <v>6451.76</v>
      </c>
      <c r="P60" s="42" t="str">
        <f aca="false">IF($S60=0,"—",IF(COUNTIF(G60:J60,O60)&gt;1,"Tie",INDEX($G$6:$J$6,MATCH(O60,G60:J60,0))))</f>
        <v>Mountainland</v>
      </c>
      <c r="Q60" s="48" t="str">
        <f aca="false">IF($S60&gt;=2,MAX(G60:J60)/MIN(G60:J60)-1,"—")</f>
        <v>—</v>
      </c>
      <c r="R60" s="78" t="str">
        <f aca="false">IF($S60&gt;=2,(MAX(G60:J60)-MIN(G60:J60))*$F60,"—")</f>
        <v>—</v>
      </c>
      <c r="S60" s="18" t="n">
        <f aca="false">COUNT(G60:J60)</f>
        <v>1</v>
      </c>
      <c r="T60" s="79" t="str">
        <f aca="false">IF($S60&lt;=1,IF($S60=1,"Single quote","—"),"Alt spec – verify")</f>
        <v>Single quote</v>
      </c>
      <c r="U60" s="79" t="str">
        <f aca="false">IF(COUNT(W60:Z60)&lt;2,"",IF(MAX(W60:Z60)=MIN(W60:Z60),"OK","Qty differs"))</f>
        <v/>
      </c>
      <c r="V60" s="80" t="s">
        <v>249</v>
      </c>
      <c r="W60" s="81"/>
      <c r="X60" s="81"/>
      <c r="Y60" s="81" t="n">
        <f aca="false">IF(COUNTIFS('Quote Lines'!$P$3:$P$805,$A60&amp;"|"&amp;I$6&amp;"|1",'Quote Lines'!$M$3:$M$805,"Y")=0,"",SUMIFS('Quote Lines'!$L$3:$L$805,'Quote Lines'!$P$3:$P$805,$A60&amp;"|"&amp;I$6&amp;"|1",'Quote Lines'!$M$3:$M$805,"Y"))</f>
        <v>1</v>
      </c>
      <c r="Z60" s="81"/>
      <c r="AA60" s="82" t="str">
        <f aca="false">IF(ISNUMBER(G60),1+SUMPRODUCT(ISNUMBER($G60:$J60)*($G60:$J60&lt;G60)),"")</f>
        <v/>
      </c>
      <c r="AB60" s="82" t="str">
        <f aca="false">IF(ISNUMBER(H60),1+SUMPRODUCT(ISNUMBER($G60:$J60)*($G60:$J60&lt;H60)),"")</f>
        <v/>
      </c>
      <c r="AC60" s="82" t="n">
        <f aca="false">IF(ISNUMBER(I60),1+SUMPRODUCT(ISNUMBER($G60:$J60)*($G60:$J60&lt;I60)),"")</f>
        <v>1</v>
      </c>
      <c r="AD60" s="82" t="str">
        <f aca="false">IF(ISNUMBER(J60),1+SUMPRODUCT(ISNUMBER($G60:$J60)*($G60:$J60&lt;J60)),"")</f>
        <v/>
      </c>
      <c r="AE60" s="82" t="n">
        <f aca="false">IF(NOT(ISNUMBER(G60)),0,IF($S60&lt;2,5,IF(AA60=1,1,IF(G60=MAX($G60:$J60),4,IF(AA60=2,2,3)))))</f>
        <v>0</v>
      </c>
      <c r="AF60" s="82" t="n">
        <f aca="false">IF(NOT(ISNUMBER(H60)),0,IF($S60&lt;2,5,IF(AB60=1,1,IF(H60=MAX($G60:$J60),4,IF(AB60=2,2,3)))))</f>
        <v>0</v>
      </c>
      <c r="AG60" s="82" t="n">
        <f aca="false">IF(NOT(ISNUMBER(I60)),0,IF($S60&lt;2,5,IF(AC60=1,1,IF(I60=MAX($G60:$J60),4,IF(AC60=2,2,3)))))</f>
        <v>5</v>
      </c>
      <c r="AH60" s="82" t="n">
        <f aca="false">IF(NOT(ISNUMBER(J60)),0,IF($S60&lt;2,5,IF(AD60=1,1,IF(J60=MAX($G60:$J60),4,IF(AD60=2,2,3)))))</f>
        <v>0</v>
      </c>
      <c r="AI60" s="83" t="n">
        <f aca="false">IF($S60&gt;=2,IF(ISNUMBER(G60),G60*$F60,MIN($G60:$J60)*$F60),0)</f>
        <v>0</v>
      </c>
      <c r="AJ60" s="83" t="n">
        <f aca="false">IF($S60&gt;=2,IF(ISNUMBER(H60),H60*$F60,MIN($G60:$J60)*$F60),0)</f>
        <v>0</v>
      </c>
      <c r="AK60" s="83" t="n">
        <f aca="false">IF($S60&gt;=2,IF(ISNUMBER(I60),I60*$F60,MIN($G60:$J60)*$F60),0)</f>
        <v>0</v>
      </c>
      <c r="AL60" s="83" t="n">
        <f aca="false">IF($S60&gt;=2,IF(ISNUMBER(J60),J60*$F60,MIN($G60:$J60)*$F60),0)</f>
        <v>0</v>
      </c>
      <c r="AM60" s="84" t="str">
        <f aca="false">IF($S60&gt;=2,$R60+ROW()/1000000,"")</f>
        <v/>
      </c>
      <c r="AN60" s="83" t="str">
        <f aca="false">IF($S60&gt;=2,MAX(G60:J60),"")</f>
        <v/>
      </c>
      <c r="AO60" s="82" t="str">
        <f aca="false">IF($S60&gt;=2,INDEX($G$6:$J$6,MATCH(MAX(G60:J60),G60:J60,0)),"")</f>
        <v/>
      </c>
      <c r="AP60" s="83" t="n">
        <f aca="false">IF($S60&gt;=2,MIN(G60:J60)*$F60,0)</f>
        <v>0</v>
      </c>
      <c r="AQ60" s="82" t="str">
        <f aca="false">IF($S60&gt;=2,INDEX($G$6:$J$6,MATCH(MIN(G60:J60),G60:J60,0)),"")</f>
        <v/>
      </c>
    </row>
    <row r="61" customFormat="false" ht="15" hidden="false" customHeight="true" outlineLevel="0" collapsed="false">
      <c r="A61" s="70" t="s">
        <v>250</v>
      </c>
      <c r="B61" s="71" t="s">
        <v>130</v>
      </c>
      <c r="C61" s="72" t="s">
        <v>240</v>
      </c>
      <c r="D61" s="73" t="s">
        <v>251</v>
      </c>
      <c r="E61" s="74" t="s">
        <v>133</v>
      </c>
      <c r="F61" s="75" t="n">
        <v>1</v>
      </c>
      <c r="G61" s="85" t="s">
        <v>138</v>
      </c>
      <c r="H61" s="85" t="s">
        <v>138</v>
      </c>
      <c r="I61" s="76" t="n">
        <f aca="false">IF(COUNTIF('Quote Lines'!$P$3:$P$805,$A61&amp;"|"&amp;I$6&amp;"|1")=0,"—",SUMIFS('Quote Lines'!$O$3:$O$805,'Quote Lines'!$P$3:$P$805,$A61&amp;"|"&amp;I$6&amp;"|1")/SUMIFS('Quote Lines'!$L$3:$L$805,'Quote Lines'!$P$3:$P$805,$A61&amp;"|"&amp;I$6&amp;"|1"))</f>
        <v>4854.91</v>
      </c>
      <c r="J61" s="85" t="s">
        <v>138</v>
      </c>
      <c r="K61" s="14" t="str">
        <f aca="false">IF(ISNUMBER(G61),G61*$F61,"—")</f>
        <v>—</v>
      </c>
      <c r="L61" s="14" t="str">
        <f aca="false">IF(ISNUMBER(H61),H61*$F61,"—")</f>
        <v>—</v>
      </c>
      <c r="M61" s="14" t="n">
        <f aca="false">IF(ISNUMBER(I61),I61*$F61,"—")</f>
        <v>4854.91</v>
      </c>
      <c r="N61" s="14" t="str">
        <f aca="false">IF(ISNUMBER(J61),J61*$F61,"—")</f>
        <v>—</v>
      </c>
      <c r="O61" s="77" t="n">
        <f aca="false">IF($S61=0,"—",MIN(G61:J61))</f>
        <v>4854.91</v>
      </c>
      <c r="P61" s="42" t="str">
        <f aca="false">IF($S61=0,"—",IF(COUNTIF(G61:J61,O61)&gt;1,"Tie",INDEX($G$6:$J$6,MATCH(O61,G61:J61,0))))</f>
        <v>Mountainland</v>
      </c>
      <c r="Q61" s="48" t="str">
        <f aca="false">IF($S61&gt;=2,MAX(G61:J61)/MIN(G61:J61)-1,"—")</f>
        <v>—</v>
      </c>
      <c r="R61" s="78" t="str">
        <f aca="false">IF($S61&gt;=2,(MAX(G61:J61)-MIN(G61:J61))*$F61,"—")</f>
        <v>—</v>
      </c>
      <c r="S61" s="18" t="n">
        <f aca="false">COUNT(G61:J61)</f>
        <v>1</v>
      </c>
      <c r="T61" s="79" t="str">
        <f aca="false">IF($S61&lt;=1,IF($S61=1,"Single quote","—"),"Like-for-like")</f>
        <v>Single quote</v>
      </c>
      <c r="U61" s="79" t="str">
        <f aca="false">IF(COUNT(W61:Z61)&lt;2,"",IF(MAX(W61:Z61)=MIN(W61:Z61),"OK","Qty differs"))</f>
        <v/>
      </c>
      <c r="V61" s="80"/>
      <c r="W61" s="81"/>
      <c r="X61" s="81"/>
      <c r="Y61" s="81" t="n">
        <f aca="false">IF(COUNTIFS('Quote Lines'!$P$3:$P$805,$A61&amp;"|"&amp;I$6&amp;"|1",'Quote Lines'!$M$3:$M$805,"Y")=0,"",SUMIFS('Quote Lines'!$L$3:$L$805,'Quote Lines'!$P$3:$P$805,$A61&amp;"|"&amp;I$6&amp;"|1",'Quote Lines'!$M$3:$M$805,"Y"))</f>
        <v>1</v>
      </c>
      <c r="Z61" s="81"/>
      <c r="AA61" s="82" t="str">
        <f aca="false">IF(ISNUMBER(G61),1+SUMPRODUCT(ISNUMBER($G61:$J61)*($G61:$J61&lt;G61)),"")</f>
        <v/>
      </c>
      <c r="AB61" s="82" t="str">
        <f aca="false">IF(ISNUMBER(H61),1+SUMPRODUCT(ISNUMBER($G61:$J61)*($G61:$J61&lt;H61)),"")</f>
        <v/>
      </c>
      <c r="AC61" s="82" t="n">
        <f aca="false">IF(ISNUMBER(I61),1+SUMPRODUCT(ISNUMBER($G61:$J61)*($G61:$J61&lt;I61)),"")</f>
        <v>1</v>
      </c>
      <c r="AD61" s="82" t="str">
        <f aca="false">IF(ISNUMBER(J61),1+SUMPRODUCT(ISNUMBER($G61:$J61)*($G61:$J61&lt;J61)),"")</f>
        <v/>
      </c>
      <c r="AE61" s="82" t="n">
        <f aca="false">IF(NOT(ISNUMBER(G61)),0,IF($S61&lt;2,5,IF(AA61=1,1,IF(G61=MAX($G61:$J61),4,IF(AA61=2,2,3)))))</f>
        <v>0</v>
      </c>
      <c r="AF61" s="82" t="n">
        <f aca="false">IF(NOT(ISNUMBER(H61)),0,IF($S61&lt;2,5,IF(AB61=1,1,IF(H61=MAX($G61:$J61),4,IF(AB61=2,2,3)))))</f>
        <v>0</v>
      </c>
      <c r="AG61" s="82" t="n">
        <f aca="false">IF(NOT(ISNUMBER(I61)),0,IF($S61&lt;2,5,IF(AC61=1,1,IF(I61=MAX($G61:$J61),4,IF(AC61=2,2,3)))))</f>
        <v>5</v>
      </c>
      <c r="AH61" s="82" t="n">
        <f aca="false">IF(NOT(ISNUMBER(J61)),0,IF($S61&lt;2,5,IF(AD61=1,1,IF(J61=MAX($G61:$J61),4,IF(AD61=2,2,3)))))</f>
        <v>0</v>
      </c>
      <c r="AI61" s="83" t="n">
        <f aca="false">IF($S61&gt;=2,IF(ISNUMBER(G61),G61*$F61,MIN($G61:$J61)*$F61),0)</f>
        <v>0</v>
      </c>
      <c r="AJ61" s="83" t="n">
        <f aca="false">IF($S61&gt;=2,IF(ISNUMBER(H61),H61*$F61,MIN($G61:$J61)*$F61),0)</f>
        <v>0</v>
      </c>
      <c r="AK61" s="83" t="n">
        <f aca="false">IF($S61&gt;=2,IF(ISNUMBER(I61),I61*$F61,MIN($G61:$J61)*$F61),0)</f>
        <v>0</v>
      </c>
      <c r="AL61" s="83" t="n">
        <f aca="false">IF($S61&gt;=2,IF(ISNUMBER(J61),J61*$F61,MIN($G61:$J61)*$F61),0)</f>
        <v>0</v>
      </c>
      <c r="AM61" s="84" t="str">
        <f aca="false">IF($S61&gt;=2,$R61+ROW()/1000000,"")</f>
        <v/>
      </c>
      <c r="AN61" s="83" t="str">
        <f aca="false">IF($S61&gt;=2,MAX(G61:J61),"")</f>
        <v/>
      </c>
      <c r="AO61" s="82" t="str">
        <f aca="false">IF($S61&gt;=2,INDEX($G$6:$J$6,MATCH(MAX(G61:J61),G61:J61,0)),"")</f>
        <v/>
      </c>
      <c r="AP61" s="83" t="n">
        <f aca="false">IF($S61&gt;=2,MIN(G61:J61)*$F61,0)</f>
        <v>0</v>
      </c>
      <c r="AQ61" s="82" t="str">
        <f aca="false">IF($S61&gt;=2,INDEX($G$6:$J$6,MATCH(MIN(G61:J61),G61:J61,0)),"")</f>
        <v/>
      </c>
    </row>
    <row r="62" customFormat="false" ht="15" hidden="false" customHeight="true" outlineLevel="0" collapsed="false">
      <c r="A62" s="70" t="s">
        <v>252</v>
      </c>
      <c r="B62" s="71" t="s">
        <v>130</v>
      </c>
      <c r="C62" s="72" t="s">
        <v>240</v>
      </c>
      <c r="D62" s="73" t="s">
        <v>253</v>
      </c>
      <c r="E62" s="74" t="s">
        <v>133</v>
      </c>
      <c r="F62" s="75" t="n">
        <v>1</v>
      </c>
      <c r="G62" s="85" t="s">
        <v>138</v>
      </c>
      <c r="H62" s="76" t="n">
        <f aca="false">IF(COUNTIF('Quote Lines'!$P$3:$P$805,$A62&amp;"|"&amp;H$6&amp;"|1")=0,"—",SUMIFS('Quote Lines'!$O$3:$O$805,'Quote Lines'!$P$3:$P$805,$A62&amp;"|"&amp;H$6&amp;"|1")/SUMIFS('Quote Lines'!$L$3:$L$805,'Quote Lines'!$P$3:$P$805,$A62&amp;"|"&amp;H$6&amp;"|1"))</f>
        <v>3181.88</v>
      </c>
      <c r="I62" s="85" t="s">
        <v>138</v>
      </c>
      <c r="J62" s="76" t="n">
        <f aca="false">IF(COUNTIF('Quote Lines'!$P$3:$P$805,$A62&amp;"|"&amp;J$6&amp;"|1")=0,"—",SUMIFS('Quote Lines'!$O$3:$O$805,'Quote Lines'!$P$3:$P$805,$A62&amp;"|"&amp;J$6&amp;"|1")/SUMIFS('Quote Lines'!$L$3:$L$805,'Quote Lines'!$P$3:$P$805,$A62&amp;"|"&amp;J$6&amp;"|1"))</f>
        <v>3434.76</v>
      </c>
      <c r="K62" s="14" t="str">
        <f aca="false">IF(ISNUMBER(G62),G62*$F62,"—")</f>
        <v>—</v>
      </c>
      <c r="L62" s="14" t="n">
        <f aca="false">IF(ISNUMBER(H62),H62*$F62,"—")</f>
        <v>3181.88</v>
      </c>
      <c r="M62" s="14" t="str">
        <f aca="false">IF(ISNUMBER(I62),I62*$F62,"—")</f>
        <v>—</v>
      </c>
      <c r="N62" s="14" t="n">
        <f aca="false">IF(ISNUMBER(J62),J62*$F62,"—")</f>
        <v>3434.76</v>
      </c>
      <c r="O62" s="77" t="n">
        <f aca="false">IF($S62=0,"—",MIN(G62:J62))</f>
        <v>3181.88</v>
      </c>
      <c r="P62" s="42" t="str">
        <f aca="false">IF($S62=0,"—",IF(COUNTIF(G62:J62,O62)&gt;1,"Tie",INDEX($G$6:$J$6,MATCH(O62,G62:J62,0))))</f>
        <v>HD Fowler</v>
      </c>
      <c r="Q62" s="48" t="n">
        <f aca="false">IF($S62&gt;=2,MAX(G62:J62)/MIN(G62:J62)-1,"—")</f>
        <v>0.0794750273423259</v>
      </c>
      <c r="R62" s="78" t="n">
        <f aca="false">IF($S62&gt;=2,(MAX(G62:J62)-MIN(G62:J62))*$F62,"—")</f>
        <v>252.88</v>
      </c>
      <c r="S62" s="18" t="n">
        <f aca="false">COUNT(G62:J62)</f>
        <v>2</v>
      </c>
      <c r="T62" s="79" t="str">
        <f aca="false">IF($S62&lt;=1,IF($S62=1,"Single quote","—"),"Like-for-like")</f>
        <v>Like-for-like</v>
      </c>
      <c r="U62" s="79" t="str">
        <f aca="false">IF(COUNT(W62:Z62)&lt;2,"",IF(MAX(W62:Z62)=MIN(W62:Z62),"OK","Qty differs"))</f>
        <v>OK</v>
      </c>
      <c r="V62" s="80"/>
      <c r="W62" s="81"/>
      <c r="X62" s="81" t="n">
        <f aca="false">IF(COUNTIFS('Quote Lines'!$P$3:$P$805,$A62&amp;"|"&amp;H$6&amp;"|1",'Quote Lines'!$M$3:$M$805,"Y")=0,"",SUMIFS('Quote Lines'!$L$3:$L$805,'Quote Lines'!$P$3:$P$805,$A62&amp;"|"&amp;H$6&amp;"|1",'Quote Lines'!$M$3:$M$805,"Y"))</f>
        <v>1</v>
      </c>
      <c r="Y62" s="81"/>
      <c r="Z62" s="81" t="n">
        <f aca="false">IF(COUNTIFS('Quote Lines'!$P$3:$P$805,$A62&amp;"|"&amp;J$6&amp;"|1",'Quote Lines'!$M$3:$M$805,"Y")=0,"",SUMIFS('Quote Lines'!$L$3:$L$805,'Quote Lines'!$P$3:$P$805,$A62&amp;"|"&amp;J$6&amp;"|1",'Quote Lines'!$M$3:$M$805,"Y"))</f>
        <v>1</v>
      </c>
      <c r="AA62" s="82" t="str">
        <f aca="false">IF(ISNUMBER(G62),1+SUMPRODUCT(ISNUMBER($G62:$J62)*($G62:$J62&lt;G62)),"")</f>
        <v/>
      </c>
      <c r="AB62" s="82" t="n">
        <f aca="false">IF(ISNUMBER(H62),1+SUMPRODUCT(ISNUMBER($G62:$J62)*($G62:$J62&lt;H62)),"")</f>
        <v>1</v>
      </c>
      <c r="AC62" s="82" t="str">
        <f aca="false">IF(ISNUMBER(I62),1+SUMPRODUCT(ISNUMBER($G62:$J62)*($G62:$J62&lt;I62)),"")</f>
        <v/>
      </c>
      <c r="AD62" s="82" t="n">
        <f aca="false">IF(ISNUMBER(J62),1+SUMPRODUCT(ISNUMBER($G62:$J62)*($G62:$J62&lt;J62)),"")</f>
        <v>2</v>
      </c>
      <c r="AE62" s="82" t="n">
        <f aca="false">IF(NOT(ISNUMBER(G62)),0,IF($S62&lt;2,5,IF(AA62=1,1,IF(G62=MAX($G62:$J62),4,IF(AA62=2,2,3)))))</f>
        <v>0</v>
      </c>
      <c r="AF62" s="82" t="n">
        <f aca="false">IF(NOT(ISNUMBER(H62)),0,IF($S62&lt;2,5,IF(AB62=1,1,IF(H62=MAX($G62:$J62),4,IF(AB62=2,2,3)))))</f>
        <v>1</v>
      </c>
      <c r="AG62" s="82" t="n">
        <f aca="false">IF(NOT(ISNUMBER(I62)),0,IF($S62&lt;2,5,IF(AC62=1,1,IF(I62=MAX($G62:$J62),4,IF(AC62=2,2,3)))))</f>
        <v>0</v>
      </c>
      <c r="AH62" s="82" t="n">
        <f aca="false">IF(NOT(ISNUMBER(J62)),0,IF($S62&lt;2,5,IF(AD62=1,1,IF(J62=MAX($G62:$J62),4,IF(AD62=2,2,3)))))</f>
        <v>4</v>
      </c>
      <c r="AI62" s="83" t="n">
        <f aca="false">IF($S62&gt;=2,IF(ISNUMBER(G62),G62*$F62,MIN($G62:$J62)*$F62),0)</f>
        <v>3181.88</v>
      </c>
      <c r="AJ62" s="83" t="n">
        <f aca="false">IF($S62&gt;=2,IF(ISNUMBER(H62),H62*$F62,MIN($G62:$J62)*$F62),0)</f>
        <v>3181.88</v>
      </c>
      <c r="AK62" s="83" t="n">
        <f aca="false">IF($S62&gt;=2,IF(ISNUMBER(I62),I62*$F62,MIN($G62:$J62)*$F62),0)</f>
        <v>3181.88</v>
      </c>
      <c r="AL62" s="83" t="n">
        <f aca="false">IF($S62&gt;=2,IF(ISNUMBER(J62),J62*$F62,MIN($G62:$J62)*$F62),0)</f>
        <v>3434.76</v>
      </c>
      <c r="AM62" s="84" t="n">
        <f aca="false">IF($S62&gt;=2,$R62+ROW()/1000000,"")</f>
        <v>252.880062</v>
      </c>
      <c r="AN62" s="83" t="n">
        <f aca="false">IF($S62&gt;=2,MAX(G62:J62),"")</f>
        <v>3434.76</v>
      </c>
      <c r="AO62" s="82" t="str">
        <f aca="false">IF($S62&gt;=2,INDEX($G$6:$J$6,MATCH(MAX(G62:J62),G62:J62,0)),"")</f>
        <v>Scholzen</v>
      </c>
      <c r="AP62" s="83" t="n">
        <f aca="false">IF($S62&gt;=2,MIN(G62:J62)*$F62,0)</f>
        <v>3181.88</v>
      </c>
      <c r="AQ62" s="82" t="str">
        <f aca="false">IF($S62&gt;=2,INDEX($G$6:$J$6,MATCH(MIN(G62:J62),G62:J62,0)),"")</f>
        <v>HD Fowler</v>
      </c>
    </row>
    <row r="63" customFormat="false" ht="15" hidden="false" customHeight="true" outlineLevel="0" collapsed="false">
      <c r="A63" s="70" t="s">
        <v>254</v>
      </c>
      <c r="B63" s="71" t="s">
        <v>130</v>
      </c>
      <c r="C63" s="72" t="s">
        <v>240</v>
      </c>
      <c r="D63" s="73" t="s">
        <v>255</v>
      </c>
      <c r="E63" s="74" t="s">
        <v>133</v>
      </c>
      <c r="F63" s="75" t="n">
        <v>1</v>
      </c>
      <c r="G63" s="85" t="s">
        <v>138</v>
      </c>
      <c r="H63" s="76" t="n">
        <f aca="false">IF(COUNTIF('Quote Lines'!$P$3:$P$805,$A63&amp;"|"&amp;H$6&amp;"|1")=0,"—",SUMIFS('Quote Lines'!$O$3:$O$805,'Quote Lines'!$P$3:$P$805,$A63&amp;"|"&amp;H$6&amp;"|1")/SUMIFS('Quote Lines'!$L$3:$L$805,'Quote Lines'!$P$3:$P$805,$A63&amp;"|"&amp;H$6&amp;"|1"))</f>
        <v>3303.65</v>
      </c>
      <c r="I63" s="85" t="s">
        <v>138</v>
      </c>
      <c r="J63" s="76" t="n">
        <f aca="false">IF(COUNTIF('Quote Lines'!$P$3:$P$805,$A63&amp;"|"&amp;J$6&amp;"|1")=0,"—",SUMIFS('Quote Lines'!$O$3:$O$805,'Quote Lines'!$P$3:$P$805,$A63&amp;"|"&amp;J$6&amp;"|1")/SUMIFS('Quote Lines'!$L$3:$L$805,'Quote Lines'!$P$3:$P$805,$A63&amp;"|"&amp;J$6&amp;"|1"))</f>
        <v>3662.26</v>
      </c>
      <c r="K63" s="14" t="str">
        <f aca="false">IF(ISNUMBER(G63),G63*$F63,"—")</f>
        <v>—</v>
      </c>
      <c r="L63" s="14" t="n">
        <f aca="false">IF(ISNUMBER(H63),H63*$F63,"—")</f>
        <v>3303.65</v>
      </c>
      <c r="M63" s="14" t="str">
        <f aca="false">IF(ISNUMBER(I63),I63*$F63,"—")</f>
        <v>—</v>
      </c>
      <c r="N63" s="14" t="n">
        <f aca="false">IF(ISNUMBER(J63),J63*$F63,"—")</f>
        <v>3662.26</v>
      </c>
      <c r="O63" s="77" t="n">
        <f aca="false">IF($S63=0,"—",MIN(G63:J63))</f>
        <v>3303.65</v>
      </c>
      <c r="P63" s="42" t="str">
        <f aca="false">IF($S63=0,"—",IF(COUNTIF(G63:J63,O63)&gt;1,"Tie",INDEX($G$6:$J$6,MATCH(O63,G63:J63,0))))</f>
        <v>HD Fowler</v>
      </c>
      <c r="Q63" s="48" t="n">
        <f aca="false">IF($S63&gt;=2,MAX(G63:J63)/MIN(G63:J63)-1,"—")</f>
        <v>0.10854963449518</v>
      </c>
      <c r="R63" s="78" t="n">
        <f aca="false">IF($S63&gt;=2,(MAX(G63:J63)-MIN(G63:J63))*$F63,"—")</f>
        <v>358.61</v>
      </c>
      <c r="S63" s="18" t="n">
        <f aca="false">COUNT(G63:J63)</f>
        <v>2</v>
      </c>
      <c r="T63" s="79" t="str">
        <f aca="false">IF($S63&lt;=1,IF($S63=1,"Single quote","—"),"Like-for-like")</f>
        <v>Like-for-like</v>
      </c>
      <c r="U63" s="79" t="str">
        <f aca="false">IF(COUNT(W63:Z63)&lt;2,"",IF(MAX(W63:Z63)=MIN(W63:Z63),"OK","Qty differs"))</f>
        <v>OK</v>
      </c>
      <c r="V63" s="80"/>
      <c r="W63" s="81"/>
      <c r="X63" s="81" t="n">
        <f aca="false">IF(COUNTIFS('Quote Lines'!$P$3:$P$805,$A63&amp;"|"&amp;H$6&amp;"|1",'Quote Lines'!$M$3:$M$805,"Y")=0,"",SUMIFS('Quote Lines'!$L$3:$L$805,'Quote Lines'!$P$3:$P$805,$A63&amp;"|"&amp;H$6&amp;"|1",'Quote Lines'!$M$3:$M$805,"Y"))</f>
        <v>1</v>
      </c>
      <c r="Y63" s="81"/>
      <c r="Z63" s="81" t="n">
        <f aca="false">IF(COUNTIFS('Quote Lines'!$P$3:$P$805,$A63&amp;"|"&amp;J$6&amp;"|1",'Quote Lines'!$M$3:$M$805,"Y")=0,"",SUMIFS('Quote Lines'!$L$3:$L$805,'Quote Lines'!$P$3:$P$805,$A63&amp;"|"&amp;J$6&amp;"|1",'Quote Lines'!$M$3:$M$805,"Y"))</f>
        <v>1</v>
      </c>
      <c r="AA63" s="82" t="str">
        <f aca="false">IF(ISNUMBER(G63),1+SUMPRODUCT(ISNUMBER($G63:$J63)*($G63:$J63&lt;G63)),"")</f>
        <v/>
      </c>
      <c r="AB63" s="82" t="n">
        <f aca="false">IF(ISNUMBER(H63),1+SUMPRODUCT(ISNUMBER($G63:$J63)*($G63:$J63&lt;H63)),"")</f>
        <v>1</v>
      </c>
      <c r="AC63" s="82" t="str">
        <f aca="false">IF(ISNUMBER(I63),1+SUMPRODUCT(ISNUMBER($G63:$J63)*($G63:$J63&lt;I63)),"")</f>
        <v/>
      </c>
      <c r="AD63" s="82" t="n">
        <f aca="false">IF(ISNUMBER(J63),1+SUMPRODUCT(ISNUMBER($G63:$J63)*($G63:$J63&lt;J63)),"")</f>
        <v>2</v>
      </c>
      <c r="AE63" s="82" t="n">
        <f aca="false">IF(NOT(ISNUMBER(G63)),0,IF($S63&lt;2,5,IF(AA63=1,1,IF(G63=MAX($G63:$J63),4,IF(AA63=2,2,3)))))</f>
        <v>0</v>
      </c>
      <c r="AF63" s="82" t="n">
        <f aca="false">IF(NOT(ISNUMBER(H63)),0,IF($S63&lt;2,5,IF(AB63=1,1,IF(H63=MAX($G63:$J63),4,IF(AB63=2,2,3)))))</f>
        <v>1</v>
      </c>
      <c r="AG63" s="82" t="n">
        <f aca="false">IF(NOT(ISNUMBER(I63)),0,IF($S63&lt;2,5,IF(AC63=1,1,IF(I63=MAX($G63:$J63),4,IF(AC63=2,2,3)))))</f>
        <v>0</v>
      </c>
      <c r="AH63" s="82" t="n">
        <f aca="false">IF(NOT(ISNUMBER(J63)),0,IF($S63&lt;2,5,IF(AD63=1,1,IF(J63=MAX($G63:$J63),4,IF(AD63=2,2,3)))))</f>
        <v>4</v>
      </c>
      <c r="AI63" s="83" t="n">
        <f aca="false">IF($S63&gt;=2,IF(ISNUMBER(G63),G63*$F63,MIN($G63:$J63)*$F63),0)</f>
        <v>3303.65</v>
      </c>
      <c r="AJ63" s="83" t="n">
        <f aca="false">IF($S63&gt;=2,IF(ISNUMBER(H63),H63*$F63,MIN($G63:$J63)*$F63),0)</f>
        <v>3303.65</v>
      </c>
      <c r="AK63" s="83" t="n">
        <f aca="false">IF($S63&gt;=2,IF(ISNUMBER(I63),I63*$F63,MIN($G63:$J63)*$F63),0)</f>
        <v>3303.65</v>
      </c>
      <c r="AL63" s="83" t="n">
        <f aca="false">IF($S63&gt;=2,IF(ISNUMBER(J63),J63*$F63,MIN($G63:$J63)*$F63),0)</f>
        <v>3662.26</v>
      </c>
      <c r="AM63" s="84" t="n">
        <f aca="false">IF($S63&gt;=2,$R63+ROW()/1000000,"")</f>
        <v>358.610063</v>
      </c>
      <c r="AN63" s="83" t="n">
        <f aca="false">IF($S63&gt;=2,MAX(G63:J63),"")</f>
        <v>3662.26</v>
      </c>
      <c r="AO63" s="82" t="str">
        <f aca="false">IF($S63&gt;=2,INDEX($G$6:$J$6,MATCH(MAX(G63:J63),G63:J63,0)),"")</f>
        <v>Scholzen</v>
      </c>
      <c r="AP63" s="83" t="n">
        <f aca="false">IF($S63&gt;=2,MIN(G63:J63)*$F63,0)</f>
        <v>3303.65</v>
      </c>
      <c r="AQ63" s="82" t="str">
        <f aca="false">IF($S63&gt;=2,INDEX($G$6:$J$6,MATCH(MIN(G63:J63),G63:J63,0)),"")</f>
        <v>HD Fowler</v>
      </c>
    </row>
    <row r="64" customFormat="false" ht="15" hidden="false" customHeight="true" outlineLevel="0" collapsed="false">
      <c r="A64" s="70" t="s">
        <v>256</v>
      </c>
      <c r="B64" s="71" t="s">
        <v>130</v>
      </c>
      <c r="C64" s="72" t="s">
        <v>257</v>
      </c>
      <c r="D64" s="73" t="s">
        <v>258</v>
      </c>
      <c r="E64" s="74" t="s">
        <v>133</v>
      </c>
      <c r="F64" s="75" t="n">
        <v>2</v>
      </c>
      <c r="G64" s="85" t="s">
        <v>138</v>
      </c>
      <c r="H64" s="76" t="n">
        <f aca="false">IF(COUNTIF('Quote Lines'!$P$3:$P$805,$A64&amp;"|"&amp;H$6&amp;"|1")=0,"—",SUMIFS('Quote Lines'!$O$3:$O$805,'Quote Lines'!$P$3:$P$805,$A64&amp;"|"&amp;H$6&amp;"|1")/SUMIFS('Quote Lines'!$L$3:$L$805,'Quote Lines'!$P$3:$P$805,$A64&amp;"|"&amp;H$6&amp;"|1")+IFERROR(SUMIFS('Quote Lines'!$O$3:$O$805,'Quote Lines'!$P$3:$P$805,$A64&amp;"|"&amp;H$6&amp;"|2")/SUMIFS('Quote Lines'!$L$3:$L$805,'Quote Lines'!$P$3:$P$805,$A64&amp;"|"&amp;H$6&amp;"|2"),0)+IFERROR(SUMIFS('Quote Lines'!$O$3:$O$805,'Quote Lines'!$P$3:$P$805,$A64&amp;"|"&amp;H$6&amp;"|3")/SUMIFS('Quote Lines'!$L$3:$L$805,'Quote Lines'!$P$3:$P$805,$A64&amp;"|"&amp;H$6&amp;"|3"),0))</f>
        <v>145.33</v>
      </c>
      <c r="I64" s="85" t="s">
        <v>138</v>
      </c>
      <c r="J64" s="76" t="n">
        <f aca="false">IF(COUNTIF('Quote Lines'!$P$3:$P$805,$A64&amp;"|"&amp;J$6&amp;"|1")=0,"—",SUMIFS('Quote Lines'!$O$3:$O$805,'Quote Lines'!$P$3:$P$805,$A64&amp;"|"&amp;J$6&amp;"|1")/SUMIFS('Quote Lines'!$L$3:$L$805,'Quote Lines'!$P$3:$P$805,$A64&amp;"|"&amp;J$6&amp;"|1"))</f>
        <v>141.45</v>
      </c>
      <c r="K64" s="14" t="str">
        <f aca="false">IF(ISNUMBER(G64),G64*$F64,"—")</f>
        <v>—</v>
      </c>
      <c r="L64" s="14" t="n">
        <f aca="false">IF(ISNUMBER(H64),H64*$F64,"—")</f>
        <v>290.66</v>
      </c>
      <c r="M64" s="14" t="str">
        <f aca="false">IF(ISNUMBER(I64),I64*$F64,"—")</f>
        <v>—</v>
      </c>
      <c r="N64" s="14" t="n">
        <f aca="false">IF(ISNUMBER(J64),J64*$F64,"—")</f>
        <v>282.9</v>
      </c>
      <c r="O64" s="77" t="n">
        <f aca="false">IF($S64=0,"—",MIN(G64:J64))</f>
        <v>141.45</v>
      </c>
      <c r="P64" s="42" t="str">
        <f aca="false">IF($S64=0,"—",IF(COUNTIF(G64:J64,O64)&gt;1,"Tie",INDEX($G$6:$J$6,MATCH(O64,G64:J64,0))))</f>
        <v>Scholzen</v>
      </c>
      <c r="Q64" s="48" t="n">
        <f aca="false">IF($S64&gt;=2,MAX(G64:J64)/MIN(G64:J64)-1,"—")</f>
        <v>0.0274301873453517</v>
      </c>
      <c r="R64" s="78" t="n">
        <f aca="false">IF($S64&gt;=2,(MAX(G64:J64)-MIN(G64:J64))*$F64,"—")</f>
        <v>7.75999999999999</v>
      </c>
      <c r="S64" s="18" t="n">
        <f aca="false">COUNT(G64:J64)</f>
        <v>2</v>
      </c>
      <c r="T64" s="79" t="str">
        <f aca="false">IF($S64&lt;=1,IF($S64=1,"Single quote","—"),"Like-for-like")</f>
        <v>Like-for-like</v>
      </c>
      <c r="U64" s="79" t="str">
        <f aca="false">IF(COUNT(W64:Z64)&lt;2,"",IF(MAX(W64:Z64)=MIN(W64:Z64),"OK","Qty differs"))</f>
        <v>OK</v>
      </c>
      <c r="V64" s="80" t="s">
        <v>259</v>
      </c>
      <c r="W64" s="81"/>
      <c r="X64" s="81" t="n">
        <f aca="false">IF(COUNTIFS('Quote Lines'!$P$3:$P$805,$A64&amp;"|"&amp;H$6&amp;"|1",'Quote Lines'!$M$3:$M$805,"Y")=0,"",SUMIFS('Quote Lines'!$L$3:$L$805,'Quote Lines'!$P$3:$P$805,$A64&amp;"|"&amp;H$6&amp;"|1",'Quote Lines'!$M$3:$M$805,"Y"))</f>
        <v>2</v>
      </c>
      <c r="Y64" s="81"/>
      <c r="Z64" s="81" t="n">
        <f aca="false">IF(COUNTIFS('Quote Lines'!$P$3:$P$805,$A64&amp;"|"&amp;J$6&amp;"|1",'Quote Lines'!$M$3:$M$805,"Y")=0,"",SUMIFS('Quote Lines'!$L$3:$L$805,'Quote Lines'!$P$3:$P$805,$A64&amp;"|"&amp;J$6&amp;"|1",'Quote Lines'!$M$3:$M$805,"Y"))</f>
        <v>2</v>
      </c>
      <c r="AA64" s="82" t="str">
        <f aca="false">IF(ISNUMBER(G64),1+SUMPRODUCT(ISNUMBER($G64:$J64)*($G64:$J64&lt;G64)),"")</f>
        <v/>
      </c>
      <c r="AB64" s="82" t="n">
        <f aca="false">IF(ISNUMBER(H64),1+SUMPRODUCT(ISNUMBER($G64:$J64)*($G64:$J64&lt;H64)),"")</f>
        <v>2</v>
      </c>
      <c r="AC64" s="82" t="str">
        <f aca="false">IF(ISNUMBER(I64),1+SUMPRODUCT(ISNUMBER($G64:$J64)*($G64:$J64&lt;I64)),"")</f>
        <v/>
      </c>
      <c r="AD64" s="82" t="n">
        <f aca="false">IF(ISNUMBER(J64),1+SUMPRODUCT(ISNUMBER($G64:$J64)*($G64:$J64&lt;J64)),"")</f>
        <v>1</v>
      </c>
      <c r="AE64" s="82" t="n">
        <f aca="false">IF(NOT(ISNUMBER(G64)),0,IF($S64&lt;2,5,IF(AA64=1,1,IF(G64=MAX($G64:$J64),4,IF(AA64=2,2,3)))))</f>
        <v>0</v>
      </c>
      <c r="AF64" s="82" t="n">
        <f aca="false">IF(NOT(ISNUMBER(H64)),0,IF($S64&lt;2,5,IF(AB64=1,1,IF(H64=MAX($G64:$J64),4,IF(AB64=2,2,3)))))</f>
        <v>4</v>
      </c>
      <c r="AG64" s="82" t="n">
        <f aca="false">IF(NOT(ISNUMBER(I64)),0,IF($S64&lt;2,5,IF(AC64=1,1,IF(I64=MAX($G64:$J64),4,IF(AC64=2,2,3)))))</f>
        <v>0</v>
      </c>
      <c r="AH64" s="82" t="n">
        <f aca="false">IF(NOT(ISNUMBER(J64)),0,IF($S64&lt;2,5,IF(AD64=1,1,IF(J64=MAX($G64:$J64),4,IF(AD64=2,2,3)))))</f>
        <v>1</v>
      </c>
      <c r="AI64" s="83" t="n">
        <f aca="false">IF($S64&gt;=2,IF(ISNUMBER(G64),G64*$F64,MIN($G64:$J64)*$F64),0)</f>
        <v>282.9</v>
      </c>
      <c r="AJ64" s="83" t="n">
        <f aca="false">IF($S64&gt;=2,IF(ISNUMBER(H64),H64*$F64,MIN($G64:$J64)*$F64),0)</f>
        <v>290.66</v>
      </c>
      <c r="AK64" s="83" t="n">
        <f aca="false">IF($S64&gt;=2,IF(ISNUMBER(I64),I64*$F64,MIN($G64:$J64)*$F64),0)</f>
        <v>282.9</v>
      </c>
      <c r="AL64" s="83" t="n">
        <f aca="false">IF($S64&gt;=2,IF(ISNUMBER(J64),J64*$F64,MIN($G64:$J64)*$F64),0)</f>
        <v>282.9</v>
      </c>
      <c r="AM64" s="84" t="n">
        <f aca="false">IF($S64&gt;=2,$R64+ROW()/1000000,"")</f>
        <v>7.76006399999999</v>
      </c>
      <c r="AN64" s="83" t="n">
        <f aca="false">IF($S64&gt;=2,MAX(G64:J64),"")</f>
        <v>145.33</v>
      </c>
      <c r="AO64" s="82" t="str">
        <f aca="false">IF($S64&gt;=2,INDEX($G$6:$J$6,MATCH(MAX(G64:J64),G64:J64,0)),"")</f>
        <v>HD Fowler</v>
      </c>
      <c r="AP64" s="83" t="n">
        <f aca="false">IF($S64&gt;=2,MIN(G64:J64)*$F64,0)</f>
        <v>282.9</v>
      </c>
      <c r="AQ64" s="82" t="str">
        <f aca="false">IF($S64&gt;=2,INDEX($G$6:$J$6,MATCH(MIN(G64:J64),G64:J64,0)),"")</f>
        <v>Scholzen</v>
      </c>
    </row>
    <row r="65" customFormat="false" ht="27.75" hidden="false" customHeight="true" outlineLevel="0" collapsed="false">
      <c r="A65" s="70" t="s">
        <v>260</v>
      </c>
      <c r="B65" s="71" t="s">
        <v>130</v>
      </c>
      <c r="C65" s="72" t="s">
        <v>261</v>
      </c>
      <c r="D65" s="73" t="s">
        <v>262</v>
      </c>
      <c r="E65" s="74" t="s">
        <v>133</v>
      </c>
      <c r="F65" s="75" t="n">
        <v>2</v>
      </c>
      <c r="G65" s="76" t="n">
        <f aca="false">IF(COUNTIF('Quote Lines'!$P$3:$P$805,$A65&amp;"|"&amp;G$6&amp;"|1")=0,"—",SUMIFS('Quote Lines'!$O$3:$O$805,'Quote Lines'!$P$3:$P$805,$A65&amp;"|"&amp;G$6&amp;"|1")/SUMIFS('Quote Lines'!$L$3:$L$805,'Quote Lines'!$P$3:$P$805,$A65&amp;"|"&amp;G$6&amp;"|1"))</f>
        <v>1232.38</v>
      </c>
      <c r="H65" s="76" t="n">
        <f aca="false">IF(COUNTIF('Quote Lines'!$P$3:$P$805,$A65&amp;"|"&amp;H$6&amp;"|1")=0,"—",SUMIFS('Quote Lines'!$O$3:$O$805,'Quote Lines'!$P$3:$P$805,$A65&amp;"|"&amp;H$6&amp;"|1")/SUMIFS('Quote Lines'!$L$3:$L$805,'Quote Lines'!$P$3:$P$805,$A65&amp;"|"&amp;H$6&amp;"|1"))</f>
        <v>1162.47</v>
      </c>
      <c r="I65" s="76" t="n">
        <f aca="false">IF(COUNTIF('Quote Lines'!$P$3:$P$805,$A65&amp;"|"&amp;I$6&amp;"|1")=0,"—",SUMIFS('Quote Lines'!$O$3:$O$805,'Quote Lines'!$P$3:$P$805,$A65&amp;"|"&amp;I$6&amp;"|1")/SUMIFS('Quote Lines'!$L$3:$L$805,'Quote Lines'!$P$3:$P$805,$A65&amp;"|"&amp;I$6&amp;"|1"))</f>
        <v>1189.74</v>
      </c>
      <c r="J65" s="76" t="n">
        <f aca="false">IF(COUNTIF('Quote Lines'!$P$3:$P$805,$A65&amp;"|"&amp;J$6&amp;"|1")=0,"—",SUMIFS('Quote Lines'!$O$3:$O$805,'Quote Lines'!$P$3:$P$805,$A65&amp;"|"&amp;J$6&amp;"|1")/SUMIFS('Quote Lines'!$L$3:$L$805,'Quote Lines'!$P$3:$P$805,$A65&amp;"|"&amp;J$6&amp;"|1"))</f>
        <v>1181.13</v>
      </c>
      <c r="K65" s="14" t="n">
        <f aca="false">IF(ISNUMBER(G65),G65*$F65,"—")</f>
        <v>2464.76</v>
      </c>
      <c r="L65" s="14" t="n">
        <f aca="false">IF(ISNUMBER(H65),H65*$F65,"—")</f>
        <v>2324.94</v>
      </c>
      <c r="M65" s="14" t="n">
        <f aca="false">IF(ISNUMBER(I65),I65*$F65,"—")</f>
        <v>2379.48</v>
      </c>
      <c r="N65" s="14" t="n">
        <f aca="false">IF(ISNUMBER(J65),J65*$F65,"—")</f>
        <v>2362.26</v>
      </c>
      <c r="O65" s="77" t="n">
        <f aca="false">IF($S65=0,"—",MIN(G65:J65))</f>
        <v>1162.47</v>
      </c>
      <c r="P65" s="42" t="str">
        <f aca="false">IF($S65=0,"—",IF(COUNTIF(G65:J65,O65)&gt;1,"Tie",INDEX($G$6:$J$6,MATCH(O65,G65:J65,0))))</f>
        <v>HD Fowler</v>
      </c>
      <c r="Q65" s="48" t="n">
        <f aca="false">IF($S65&gt;=2,MAX(G65:J65)/MIN(G65:J65)-1,"—")</f>
        <v>0.0601391863876057</v>
      </c>
      <c r="R65" s="78" t="n">
        <f aca="false">IF($S65&gt;=2,(MAX(G65:J65)-MIN(G65:J65))*$F65,"—")</f>
        <v>139.82</v>
      </c>
      <c r="S65" s="18" t="n">
        <f aca="false">COUNT(G65:J65)</f>
        <v>4</v>
      </c>
      <c r="T65" s="79" t="str">
        <f aca="false">IF($S65&lt;=1,IF($S65=1,"Single quote","—"),"Alt spec – verify")</f>
        <v>Alt spec – verify</v>
      </c>
      <c r="U65" s="79" t="str">
        <f aca="false">IF(COUNT(W65:Z65)&lt;2,"",IF(MAX(W65:Z65)=MIN(W65:Z65),"OK","Qty differs"))</f>
        <v>Qty differs</v>
      </c>
      <c r="V65" s="80" t="s">
        <v>263</v>
      </c>
      <c r="W65" s="81" t="n">
        <f aca="false">IF(COUNTIFS('Quote Lines'!$P$3:$P$805,$A65&amp;"|"&amp;G$6&amp;"|1",'Quote Lines'!$M$3:$M$805,"Y")=0,"",SUMIFS('Quote Lines'!$L$3:$L$805,'Quote Lines'!$P$3:$P$805,$A65&amp;"|"&amp;G$6&amp;"|1",'Quote Lines'!$M$3:$M$805,"Y"))</f>
        <v>2</v>
      </c>
      <c r="X65" s="81" t="n">
        <f aca="false">IF(COUNTIFS('Quote Lines'!$P$3:$P$805,$A65&amp;"|"&amp;H$6&amp;"|1",'Quote Lines'!$M$3:$M$805,"Y")=0,"",SUMIFS('Quote Lines'!$L$3:$L$805,'Quote Lines'!$P$3:$P$805,$A65&amp;"|"&amp;H$6&amp;"|1",'Quote Lines'!$M$3:$M$805,"Y"))</f>
        <v>2</v>
      </c>
      <c r="Y65" s="81" t="n">
        <f aca="false">IF(COUNTIFS('Quote Lines'!$P$3:$P$805,$A65&amp;"|"&amp;I$6&amp;"|1",'Quote Lines'!$M$3:$M$805,"Y")=0,"",SUMIFS('Quote Lines'!$L$3:$L$805,'Quote Lines'!$P$3:$P$805,$A65&amp;"|"&amp;I$6&amp;"|1",'Quote Lines'!$M$3:$M$805,"Y"))</f>
        <v>1</v>
      </c>
      <c r="Z65" s="81" t="n">
        <f aca="false">IF(COUNTIFS('Quote Lines'!$P$3:$P$805,$A65&amp;"|"&amp;J$6&amp;"|1",'Quote Lines'!$M$3:$M$805,"Y")=0,"",SUMIFS('Quote Lines'!$L$3:$L$805,'Quote Lines'!$P$3:$P$805,$A65&amp;"|"&amp;J$6&amp;"|1",'Quote Lines'!$M$3:$M$805,"Y"))</f>
        <v>2</v>
      </c>
      <c r="AA65" s="82" t="n">
        <f aca="false">IF(ISNUMBER(G65),1+SUMPRODUCT(ISNUMBER($G65:$J65)*($G65:$J65&lt;G65)),"")</f>
        <v>4</v>
      </c>
      <c r="AB65" s="82" t="n">
        <f aca="false">IF(ISNUMBER(H65),1+SUMPRODUCT(ISNUMBER($G65:$J65)*($G65:$J65&lt;H65)),"")</f>
        <v>1</v>
      </c>
      <c r="AC65" s="82" t="n">
        <f aca="false">IF(ISNUMBER(I65),1+SUMPRODUCT(ISNUMBER($G65:$J65)*($G65:$J65&lt;I65)),"")</f>
        <v>3</v>
      </c>
      <c r="AD65" s="82" t="n">
        <f aca="false">IF(ISNUMBER(J65),1+SUMPRODUCT(ISNUMBER($G65:$J65)*($G65:$J65&lt;J65)),"")</f>
        <v>2</v>
      </c>
      <c r="AE65" s="82" t="n">
        <f aca="false">IF(NOT(ISNUMBER(G65)),0,IF($S65&lt;2,5,IF(AA65=1,1,IF(G65=MAX($G65:$J65),4,IF(AA65=2,2,3)))))</f>
        <v>4</v>
      </c>
      <c r="AF65" s="82" t="n">
        <f aca="false">IF(NOT(ISNUMBER(H65)),0,IF($S65&lt;2,5,IF(AB65=1,1,IF(H65=MAX($G65:$J65),4,IF(AB65=2,2,3)))))</f>
        <v>1</v>
      </c>
      <c r="AG65" s="82" t="n">
        <f aca="false">IF(NOT(ISNUMBER(I65)),0,IF($S65&lt;2,5,IF(AC65=1,1,IF(I65=MAX($G65:$J65),4,IF(AC65=2,2,3)))))</f>
        <v>3</v>
      </c>
      <c r="AH65" s="82" t="n">
        <f aca="false">IF(NOT(ISNUMBER(J65)),0,IF($S65&lt;2,5,IF(AD65=1,1,IF(J65=MAX($G65:$J65),4,IF(AD65=2,2,3)))))</f>
        <v>2</v>
      </c>
      <c r="AI65" s="83" t="n">
        <f aca="false">IF($S65&gt;=2,IF(ISNUMBER(G65),G65*$F65,MIN($G65:$J65)*$F65),0)</f>
        <v>2464.76</v>
      </c>
      <c r="AJ65" s="83" t="n">
        <f aca="false">IF($S65&gt;=2,IF(ISNUMBER(H65),H65*$F65,MIN($G65:$J65)*$F65),0)</f>
        <v>2324.94</v>
      </c>
      <c r="AK65" s="83" t="n">
        <f aca="false">IF($S65&gt;=2,IF(ISNUMBER(I65),I65*$F65,MIN($G65:$J65)*$F65),0)</f>
        <v>2379.48</v>
      </c>
      <c r="AL65" s="83" t="n">
        <f aca="false">IF($S65&gt;=2,IF(ISNUMBER(J65),J65*$F65,MIN($G65:$J65)*$F65),0)</f>
        <v>2362.26</v>
      </c>
      <c r="AM65" s="84" t="n">
        <f aca="false">IF($S65&gt;=2,$R65+ROW()/1000000,"")</f>
        <v>139.820065</v>
      </c>
      <c r="AN65" s="83" t="n">
        <f aca="false">IF($S65&gt;=2,MAX(G65:J65),"")</f>
        <v>1232.38</v>
      </c>
      <c r="AO65" s="82" t="str">
        <f aca="false">IF($S65&gt;=2,INDEX($G$6:$J$6,MATCH(MAX(G65:J65),G65:J65,0)),"")</f>
        <v>Ferguson</v>
      </c>
      <c r="AP65" s="83" t="n">
        <f aca="false">IF($S65&gt;=2,MIN(G65:J65)*$F65,0)</f>
        <v>2324.94</v>
      </c>
      <c r="AQ65" s="82" t="str">
        <f aca="false">IF($S65&gt;=2,INDEX($G$6:$J$6,MATCH(MIN(G65:J65),G65:J65,0)),"")</f>
        <v>HD Fowler</v>
      </c>
    </row>
    <row r="66" customFormat="false" ht="15" hidden="false" customHeight="true" outlineLevel="0" collapsed="false">
      <c r="A66" s="70" t="s">
        <v>264</v>
      </c>
      <c r="B66" s="71" t="s">
        <v>130</v>
      </c>
      <c r="C66" s="72" t="s">
        <v>261</v>
      </c>
      <c r="D66" s="73" t="s">
        <v>265</v>
      </c>
      <c r="E66" s="74" t="s">
        <v>133</v>
      </c>
      <c r="F66" s="75" t="n">
        <v>1</v>
      </c>
      <c r="G66" s="85" t="s">
        <v>138</v>
      </c>
      <c r="H66" s="85" t="s">
        <v>138</v>
      </c>
      <c r="I66" s="76" t="n">
        <f aca="false">IF(COUNTIF('Quote Lines'!$P$3:$P$805,$A66&amp;"|"&amp;I$6&amp;"|1")=0,"—",SUMIFS('Quote Lines'!$O$3:$O$805,'Quote Lines'!$P$3:$P$805,$A66&amp;"|"&amp;I$6&amp;"|1")/SUMIFS('Quote Lines'!$L$3:$L$805,'Quote Lines'!$P$3:$P$805,$A66&amp;"|"&amp;I$6&amp;"|1"))</f>
        <v>1444.41</v>
      </c>
      <c r="J66" s="85" t="s">
        <v>138</v>
      </c>
      <c r="K66" s="14" t="str">
        <f aca="false">IF(ISNUMBER(G66),G66*$F66,"—")</f>
        <v>—</v>
      </c>
      <c r="L66" s="14" t="str">
        <f aca="false">IF(ISNUMBER(H66),H66*$F66,"—")</f>
        <v>—</v>
      </c>
      <c r="M66" s="14" t="n">
        <f aca="false">IF(ISNUMBER(I66),I66*$F66,"—")</f>
        <v>1444.41</v>
      </c>
      <c r="N66" s="14" t="str">
        <f aca="false">IF(ISNUMBER(J66),J66*$F66,"—")</f>
        <v>—</v>
      </c>
      <c r="O66" s="77" t="n">
        <f aca="false">IF($S66=0,"—",MIN(G66:J66))</f>
        <v>1444.41</v>
      </c>
      <c r="P66" s="42" t="str">
        <f aca="false">IF($S66=0,"—",IF(COUNTIF(G66:J66,O66)&gt;1,"Tie",INDEX($G$6:$J$6,MATCH(O66,G66:J66,0))))</f>
        <v>Mountainland</v>
      </c>
      <c r="Q66" s="48" t="str">
        <f aca="false">IF($S66&gt;=2,MAX(G66:J66)/MIN(G66:J66)-1,"—")</f>
        <v>—</v>
      </c>
      <c r="R66" s="78" t="str">
        <f aca="false">IF($S66&gt;=2,(MAX(G66:J66)-MIN(G66:J66))*$F66,"—")</f>
        <v>—</v>
      </c>
      <c r="S66" s="18" t="n">
        <f aca="false">COUNT(G66:J66)</f>
        <v>1</v>
      </c>
      <c r="T66" s="79" t="str">
        <f aca="false">IF($S66&lt;=1,IF($S66=1,"Single quote","—"),"Like-for-like")</f>
        <v>Single quote</v>
      </c>
      <c r="U66" s="79" t="str">
        <f aca="false">IF(COUNT(W66:Z66)&lt;2,"",IF(MAX(W66:Z66)=MIN(W66:Z66),"OK","Qty differs"))</f>
        <v/>
      </c>
      <c r="V66" s="80"/>
      <c r="W66" s="81"/>
      <c r="X66" s="81"/>
      <c r="Y66" s="81" t="n">
        <f aca="false">IF(COUNTIFS('Quote Lines'!$P$3:$P$805,$A66&amp;"|"&amp;I$6&amp;"|1",'Quote Lines'!$M$3:$M$805,"Y")=0,"",SUMIFS('Quote Lines'!$L$3:$L$805,'Quote Lines'!$P$3:$P$805,$A66&amp;"|"&amp;I$6&amp;"|1",'Quote Lines'!$M$3:$M$805,"Y"))</f>
        <v>1</v>
      </c>
      <c r="Z66" s="81"/>
      <c r="AA66" s="82" t="str">
        <f aca="false">IF(ISNUMBER(G66),1+SUMPRODUCT(ISNUMBER($G66:$J66)*($G66:$J66&lt;G66)),"")</f>
        <v/>
      </c>
      <c r="AB66" s="82" t="str">
        <f aca="false">IF(ISNUMBER(H66),1+SUMPRODUCT(ISNUMBER($G66:$J66)*($G66:$J66&lt;H66)),"")</f>
        <v/>
      </c>
      <c r="AC66" s="82" t="n">
        <f aca="false">IF(ISNUMBER(I66),1+SUMPRODUCT(ISNUMBER($G66:$J66)*($G66:$J66&lt;I66)),"")</f>
        <v>1</v>
      </c>
      <c r="AD66" s="82" t="str">
        <f aca="false">IF(ISNUMBER(J66),1+SUMPRODUCT(ISNUMBER($G66:$J66)*($G66:$J66&lt;J66)),"")</f>
        <v/>
      </c>
      <c r="AE66" s="82" t="n">
        <f aca="false">IF(NOT(ISNUMBER(G66)),0,IF($S66&lt;2,5,IF(AA66=1,1,IF(G66=MAX($G66:$J66),4,IF(AA66=2,2,3)))))</f>
        <v>0</v>
      </c>
      <c r="AF66" s="82" t="n">
        <f aca="false">IF(NOT(ISNUMBER(H66)),0,IF($S66&lt;2,5,IF(AB66=1,1,IF(H66=MAX($G66:$J66),4,IF(AB66=2,2,3)))))</f>
        <v>0</v>
      </c>
      <c r="AG66" s="82" t="n">
        <f aca="false">IF(NOT(ISNUMBER(I66)),0,IF($S66&lt;2,5,IF(AC66=1,1,IF(I66=MAX($G66:$J66),4,IF(AC66=2,2,3)))))</f>
        <v>5</v>
      </c>
      <c r="AH66" s="82" t="n">
        <f aca="false">IF(NOT(ISNUMBER(J66)),0,IF($S66&lt;2,5,IF(AD66=1,1,IF(J66=MAX($G66:$J66),4,IF(AD66=2,2,3)))))</f>
        <v>0</v>
      </c>
      <c r="AI66" s="83" t="n">
        <f aca="false">IF($S66&gt;=2,IF(ISNUMBER(G66),G66*$F66,MIN($G66:$J66)*$F66),0)</f>
        <v>0</v>
      </c>
      <c r="AJ66" s="83" t="n">
        <f aca="false">IF($S66&gt;=2,IF(ISNUMBER(H66),H66*$F66,MIN($G66:$J66)*$F66),0)</f>
        <v>0</v>
      </c>
      <c r="AK66" s="83" t="n">
        <f aca="false">IF($S66&gt;=2,IF(ISNUMBER(I66),I66*$F66,MIN($G66:$J66)*$F66),0)</f>
        <v>0</v>
      </c>
      <c r="AL66" s="83" t="n">
        <f aca="false">IF($S66&gt;=2,IF(ISNUMBER(J66),J66*$F66,MIN($G66:$J66)*$F66),0)</f>
        <v>0</v>
      </c>
      <c r="AM66" s="84" t="str">
        <f aca="false">IF($S66&gt;=2,$R66+ROW()/1000000,"")</f>
        <v/>
      </c>
      <c r="AN66" s="83" t="str">
        <f aca="false">IF($S66&gt;=2,MAX(G66:J66),"")</f>
        <v/>
      </c>
      <c r="AO66" s="82" t="str">
        <f aca="false">IF($S66&gt;=2,INDEX($G$6:$J$6,MATCH(MAX(G66:J66),G66:J66,0)),"")</f>
        <v/>
      </c>
      <c r="AP66" s="83" t="n">
        <f aca="false">IF($S66&gt;=2,MIN(G66:J66)*$F66,0)</f>
        <v>0</v>
      </c>
      <c r="AQ66" s="82" t="str">
        <f aca="false">IF($S66&gt;=2,INDEX($G$6:$J$6,MATCH(MIN(G66:J66),G66:J66,0)),"")</f>
        <v/>
      </c>
    </row>
    <row r="67" customFormat="false" ht="15" hidden="false" customHeight="true" outlineLevel="0" collapsed="false">
      <c r="A67" s="70" t="s">
        <v>266</v>
      </c>
      <c r="B67" s="71" t="s">
        <v>130</v>
      </c>
      <c r="C67" s="72" t="s">
        <v>240</v>
      </c>
      <c r="D67" s="73" t="s">
        <v>267</v>
      </c>
      <c r="E67" s="74" t="s">
        <v>133</v>
      </c>
      <c r="F67" s="75" t="n">
        <v>2</v>
      </c>
      <c r="G67" s="76" t="n">
        <f aca="false">IF(COUNTIF('Quote Lines'!$P$3:$P$805,$A67&amp;"|"&amp;G$6&amp;"|1")=0,"—",SUMIFS('Quote Lines'!$O$3:$O$805,'Quote Lines'!$P$3:$P$805,$A67&amp;"|"&amp;G$6&amp;"|1")/SUMIFS('Quote Lines'!$L$3:$L$805,'Quote Lines'!$P$3:$P$805,$A67&amp;"|"&amp;G$6&amp;"|1"))</f>
        <v>405.66</v>
      </c>
      <c r="H67" s="76" t="n">
        <f aca="false">IF(COUNTIF('Quote Lines'!$P$3:$P$805,$A67&amp;"|"&amp;H$6&amp;"|1")=0,"—",SUMIFS('Quote Lines'!$O$3:$O$805,'Quote Lines'!$P$3:$P$805,$A67&amp;"|"&amp;H$6&amp;"|1")/SUMIFS('Quote Lines'!$L$3:$L$805,'Quote Lines'!$P$3:$P$805,$A67&amp;"|"&amp;H$6&amp;"|1"))</f>
        <v>131.97</v>
      </c>
      <c r="I67" s="85" t="s">
        <v>138</v>
      </c>
      <c r="J67" s="85" t="s">
        <v>138</v>
      </c>
      <c r="K67" s="14" t="n">
        <f aca="false">IF(ISNUMBER(G67),G67*$F67,"—")</f>
        <v>811.32</v>
      </c>
      <c r="L67" s="14" t="n">
        <f aca="false">IF(ISNUMBER(H67),H67*$F67,"—")</f>
        <v>263.94</v>
      </c>
      <c r="M67" s="14" t="str">
        <f aca="false">IF(ISNUMBER(I67),I67*$F67,"—")</f>
        <v>—</v>
      </c>
      <c r="N67" s="14" t="str">
        <f aca="false">IF(ISNUMBER(J67),J67*$F67,"—")</f>
        <v>—</v>
      </c>
      <c r="O67" s="77" t="n">
        <f aca="false">IF($S67=0,"—",MIN(G67:J67))</f>
        <v>131.97</v>
      </c>
      <c r="P67" s="42" t="str">
        <f aca="false">IF($S67=0,"—",IF(COUNTIF(G67:J67,O67)&gt;1,"Tie",INDEX($G$6:$J$6,MATCH(O67,G67:J67,0))))</f>
        <v>HD Fowler</v>
      </c>
      <c r="Q67" s="48" t="n">
        <f aca="false">IF($S67&gt;=2,MAX(G67:J67)/MIN(G67:J67)-1,"—")</f>
        <v>2.07388042736986</v>
      </c>
      <c r="R67" s="78" t="n">
        <f aca="false">IF($S67&gt;=2,(MAX(G67:J67)-MIN(G67:J67))*$F67,"—")</f>
        <v>547.38</v>
      </c>
      <c r="S67" s="18" t="n">
        <f aca="false">COUNT(G67:J67)</f>
        <v>2</v>
      </c>
      <c r="T67" s="79" t="str">
        <f aca="false">IF($S67&lt;=1,IF($S67=1,"Single quote","—"),"Alt spec – verify")</f>
        <v>Alt spec – verify</v>
      </c>
      <c r="U67" s="79" t="str">
        <f aca="false">IF(COUNT(W67:Z67)&lt;2,"",IF(MAX(W67:Z67)=MIN(W67:Z67),"OK","Qty differs"))</f>
        <v>OK</v>
      </c>
      <c r="V67" s="80" t="s">
        <v>268</v>
      </c>
      <c r="W67" s="81" t="n">
        <f aca="false">IF(COUNTIFS('Quote Lines'!$P$3:$P$805,$A67&amp;"|"&amp;G$6&amp;"|1",'Quote Lines'!$M$3:$M$805,"Y")=0,"",SUMIFS('Quote Lines'!$L$3:$L$805,'Quote Lines'!$P$3:$P$805,$A67&amp;"|"&amp;G$6&amp;"|1",'Quote Lines'!$M$3:$M$805,"Y"))</f>
        <v>2</v>
      </c>
      <c r="X67" s="81" t="n">
        <f aca="false">IF(COUNTIFS('Quote Lines'!$P$3:$P$805,$A67&amp;"|"&amp;H$6&amp;"|1",'Quote Lines'!$M$3:$M$805,"Y")=0,"",SUMIFS('Quote Lines'!$L$3:$L$805,'Quote Lines'!$P$3:$P$805,$A67&amp;"|"&amp;H$6&amp;"|1",'Quote Lines'!$M$3:$M$805,"Y"))</f>
        <v>2</v>
      </c>
      <c r="Y67" s="81"/>
      <c r="Z67" s="81"/>
      <c r="AA67" s="82" t="n">
        <f aca="false">IF(ISNUMBER(G67),1+SUMPRODUCT(ISNUMBER($G67:$J67)*($G67:$J67&lt;G67)),"")</f>
        <v>2</v>
      </c>
      <c r="AB67" s="82" t="n">
        <f aca="false">IF(ISNUMBER(H67),1+SUMPRODUCT(ISNUMBER($G67:$J67)*($G67:$J67&lt;H67)),"")</f>
        <v>1</v>
      </c>
      <c r="AC67" s="82" t="str">
        <f aca="false">IF(ISNUMBER(I67),1+SUMPRODUCT(ISNUMBER($G67:$J67)*($G67:$J67&lt;I67)),"")</f>
        <v/>
      </c>
      <c r="AD67" s="82" t="str">
        <f aca="false">IF(ISNUMBER(J67),1+SUMPRODUCT(ISNUMBER($G67:$J67)*($G67:$J67&lt;J67)),"")</f>
        <v/>
      </c>
      <c r="AE67" s="82" t="n">
        <f aca="false">IF(NOT(ISNUMBER(G67)),0,IF($S67&lt;2,5,IF(AA67=1,1,IF(G67=MAX($G67:$J67),4,IF(AA67=2,2,3)))))</f>
        <v>4</v>
      </c>
      <c r="AF67" s="82" t="n">
        <f aca="false">IF(NOT(ISNUMBER(H67)),0,IF($S67&lt;2,5,IF(AB67=1,1,IF(H67=MAX($G67:$J67),4,IF(AB67=2,2,3)))))</f>
        <v>1</v>
      </c>
      <c r="AG67" s="82" t="n">
        <f aca="false">IF(NOT(ISNUMBER(I67)),0,IF($S67&lt;2,5,IF(AC67=1,1,IF(I67=MAX($G67:$J67),4,IF(AC67=2,2,3)))))</f>
        <v>0</v>
      </c>
      <c r="AH67" s="82" t="n">
        <f aca="false">IF(NOT(ISNUMBER(J67)),0,IF($S67&lt;2,5,IF(AD67=1,1,IF(J67=MAX($G67:$J67),4,IF(AD67=2,2,3)))))</f>
        <v>0</v>
      </c>
      <c r="AI67" s="83" t="n">
        <f aca="false">IF($S67&gt;=2,IF(ISNUMBER(G67),G67*$F67,MIN($G67:$J67)*$F67),0)</f>
        <v>811.32</v>
      </c>
      <c r="AJ67" s="83" t="n">
        <f aca="false">IF($S67&gt;=2,IF(ISNUMBER(H67),H67*$F67,MIN($G67:$J67)*$F67),0)</f>
        <v>263.94</v>
      </c>
      <c r="AK67" s="83" t="n">
        <f aca="false">IF($S67&gt;=2,IF(ISNUMBER(I67),I67*$F67,MIN($G67:$J67)*$F67),0)</f>
        <v>263.94</v>
      </c>
      <c r="AL67" s="83" t="n">
        <f aca="false">IF($S67&gt;=2,IF(ISNUMBER(J67),J67*$F67,MIN($G67:$J67)*$F67),0)</f>
        <v>263.94</v>
      </c>
      <c r="AM67" s="84" t="n">
        <f aca="false">IF($S67&gt;=2,$R67+ROW()/1000000,"")</f>
        <v>547.380067</v>
      </c>
      <c r="AN67" s="83" t="n">
        <f aca="false">IF($S67&gt;=2,MAX(G67:J67),"")</f>
        <v>405.66</v>
      </c>
      <c r="AO67" s="82" t="str">
        <f aca="false">IF($S67&gt;=2,INDEX($G$6:$J$6,MATCH(MAX(G67:J67),G67:J67,0)),"")</f>
        <v>Ferguson</v>
      </c>
      <c r="AP67" s="83" t="n">
        <f aca="false">IF($S67&gt;=2,MIN(G67:J67)*$F67,0)</f>
        <v>263.94</v>
      </c>
      <c r="AQ67" s="82" t="str">
        <f aca="false">IF($S67&gt;=2,INDEX($G$6:$J$6,MATCH(MIN(G67:J67),G67:J67,0)),"")</f>
        <v>HD Fowler</v>
      </c>
    </row>
    <row r="68" customFormat="false" ht="15" hidden="false" customHeight="true" outlineLevel="0" collapsed="false">
      <c r="A68" s="70" t="s">
        <v>269</v>
      </c>
      <c r="B68" s="71" t="s">
        <v>130</v>
      </c>
      <c r="C68" s="72" t="s">
        <v>240</v>
      </c>
      <c r="D68" s="73" t="s">
        <v>270</v>
      </c>
      <c r="E68" s="74" t="s">
        <v>133</v>
      </c>
      <c r="F68" s="75" t="n">
        <v>2</v>
      </c>
      <c r="G68" s="85" t="s">
        <v>138</v>
      </c>
      <c r="H68" s="85" t="s">
        <v>138</v>
      </c>
      <c r="I68" s="76" t="n">
        <f aca="false">IF(COUNTIF('Quote Lines'!$P$3:$P$805,$A68&amp;"|"&amp;I$6&amp;"|1")=0,"—",SUMIFS('Quote Lines'!$O$3:$O$805,'Quote Lines'!$P$3:$P$805,$A68&amp;"|"&amp;I$6&amp;"|1")/SUMIFS('Quote Lines'!$L$3:$L$805,'Quote Lines'!$P$3:$P$805,$A68&amp;"|"&amp;I$6&amp;"|1"))</f>
        <v>106.31</v>
      </c>
      <c r="J68" s="76" t="n">
        <f aca="false">IF(COUNTIF('Quote Lines'!$P$3:$P$805,$A68&amp;"|"&amp;J$6&amp;"|1")=0,"—",SUMIFS('Quote Lines'!$O$3:$O$805,'Quote Lines'!$P$3:$P$805,$A68&amp;"|"&amp;J$6&amp;"|1")/SUMIFS('Quote Lines'!$L$3:$L$805,'Quote Lines'!$P$3:$P$805,$A68&amp;"|"&amp;J$6&amp;"|1"))</f>
        <v>101.72</v>
      </c>
      <c r="K68" s="14" t="str">
        <f aca="false">IF(ISNUMBER(G68),G68*$F68,"—")</f>
        <v>—</v>
      </c>
      <c r="L68" s="14" t="str">
        <f aca="false">IF(ISNUMBER(H68),H68*$F68,"—")</f>
        <v>—</v>
      </c>
      <c r="M68" s="14" t="n">
        <f aca="false">IF(ISNUMBER(I68),I68*$F68,"—")</f>
        <v>212.62</v>
      </c>
      <c r="N68" s="14" t="n">
        <f aca="false">IF(ISNUMBER(J68),J68*$F68,"—")</f>
        <v>203.44</v>
      </c>
      <c r="O68" s="77" t="n">
        <f aca="false">IF($S68=0,"—",MIN(G68:J68))</f>
        <v>101.72</v>
      </c>
      <c r="P68" s="42" t="str">
        <f aca="false">IF($S68=0,"—",IF(COUNTIF(G68:J68,O68)&gt;1,"Tie",INDEX($G$6:$J$6,MATCH(O68,G68:J68,0))))</f>
        <v>Scholzen</v>
      </c>
      <c r="Q68" s="48" t="n">
        <f aca="false">IF($S68&gt;=2,MAX(G68:J68)/MIN(G68:J68)-1,"—")</f>
        <v>0.0451238694455367</v>
      </c>
      <c r="R68" s="78" t="n">
        <f aca="false">IF($S68&gt;=2,(MAX(G68:J68)-MIN(G68:J68))*$F68,"—")</f>
        <v>9.18000000000001</v>
      </c>
      <c r="S68" s="18" t="n">
        <f aca="false">COUNT(G68:J68)</f>
        <v>2</v>
      </c>
      <c r="T68" s="79" t="str">
        <f aca="false">IF($S68&lt;=1,IF($S68=1,"Single quote","—"),"Like-for-like")</f>
        <v>Like-for-like</v>
      </c>
      <c r="U68" s="79" t="str">
        <f aca="false">IF(COUNT(W68:Z68)&lt;2,"",IF(MAX(W68:Z68)=MIN(W68:Z68),"OK","Qty differs"))</f>
        <v>OK</v>
      </c>
      <c r="V68" s="80"/>
      <c r="W68" s="81"/>
      <c r="X68" s="81"/>
      <c r="Y68" s="81" t="n">
        <f aca="false">IF(COUNTIFS('Quote Lines'!$P$3:$P$805,$A68&amp;"|"&amp;I$6&amp;"|1",'Quote Lines'!$M$3:$M$805,"Y")=0,"",SUMIFS('Quote Lines'!$L$3:$L$805,'Quote Lines'!$P$3:$P$805,$A68&amp;"|"&amp;I$6&amp;"|1",'Quote Lines'!$M$3:$M$805,"Y"))</f>
        <v>2</v>
      </c>
      <c r="Z68" s="81" t="n">
        <f aca="false">IF(COUNTIFS('Quote Lines'!$P$3:$P$805,$A68&amp;"|"&amp;J$6&amp;"|1",'Quote Lines'!$M$3:$M$805,"Y")=0,"",SUMIFS('Quote Lines'!$L$3:$L$805,'Quote Lines'!$P$3:$P$805,$A68&amp;"|"&amp;J$6&amp;"|1",'Quote Lines'!$M$3:$M$805,"Y"))</f>
        <v>2</v>
      </c>
      <c r="AA68" s="82" t="str">
        <f aca="false">IF(ISNUMBER(G68),1+SUMPRODUCT(ISNUMBER($G68:$J68)*($G68:$J68&lt;G68)),"")</f>
        <v/>
      </c>
      <c r="AB68" s="82" t="str">
        <f aca="false">IF(ISNUMBER(H68),1+SUMPRODUCT(ISNUMBER($G68:$J68)*($G68:$J68&lt;H68)),"")</f>
        <v/>
      </c>
      <c r="AC68" s="82" t="n">
        <f aca="false">IF(ISNUMBER(I68),1+SUMPRODUCT(ISNUMBER($G68:$J68)*($G68:$J68&lt;I68)),"")</f>
        <v>2</v>
      </c>
      <c r="AD68" s="82" t="n">
        <f aca="false">IF(ISNUMBER(J68),1+SUMPRODUCT(ISNUMBER($G68:$J68)*($G68:$J68&lt;J68)),"")</f>
        <v>1</v>
      </c>
      <c r="AE68" s="82" t="n">
        <f aca="false">IF(NOT(ISNUMBER(G68)),0,IF($S68&lt;2,5,IF(AA68=1,1,IF(G68=MAX($G68:$J68),4,IF(AA68=2,2,3)))))</f>
        <v>0</v>
      </c>
      <c r="AF68" s="82" t="n">
        <f aca="false">IF(NOT(ISNUMBER(H68)),0,IF($S68&lt;2,5,IF(AB68=1,1,IF(H68=MAX($G68:$J68),4,IF(AB68=2,2,3)))))</f>
        <v>0</v>
      </c>
      <c r="AG68" s="82" t="n">
        <f aca="false">IF(NOT(ISNUMBER(I68)),0,IF($S68&lt;2,5,IF(AC68=1,1,IF(I68=MAX($G68:$J68),4,IF(AC68=2,2,3)))))</f>
        <v>4</v>
      </c>
      <c r="AH68" s="82" t="n">
        <f aca="false">IF(NOT(ISNUMBER(J68)),0,IF($S68&lt;2,5,IF(AD68=1,1,IF(J68=MAX($G68:$J68),4,IF(AD68=2,2,3)))))</f>
        <v>1</v>
      </c>
      <c r="AI68" s="83" t="n">
        <f aca="false">IF($S68&gt;=2,IF(ISNUMBER(G68),G68*$F68,MIN($G68:$J68)*$F68),0)</f>
        <v>203.44</v>
      </c>
      <c r="AJ68" s="83" t="n">
        <f aca="false">IF($S68&gt;=2,IF(ISNUMBER(H68),H68*$F68,MIN($G68:$J68)*$F68),0)</f>
        <v>203.44</v>
      </c>
      <c r="AK68" s="83" t="n">
        <f aca="false">IF($S68&gt;=2,IF(ISNUMBER(I68),I68*$F68,MIN($G68:$J68)*$F68),0)</f>
        <v>212.62</v>
      </c>
      <c r="AL68" s="83" t="n">
        <f aca="false">IF($S68&gt;=2,IF(ISNUMBER(J68),J68*$F68,MIN($G68:$J68)*$F68),0)</f>
        <v>203.44</v>
      </c>
      <c r="AM68" s="84" t="n">
        <f aca="false">IF($S68&gt;=2,$R68+ROW()/1000000,"")</f>
        <v>9.18006800000001</v>
      </c>
      <c r="AN68" s="83" t="n">
        <f aca="false">IF($S68&gt;=2,MAX(G68:J68),"")</f>
        <v>106.31</v>
      </c>
      <c r="AO68" s="82" t="str">
        <f aca="false">IF($S68&gt;=2,INDEX($G$6:$J$6,MATCH(MAX(G68:J68),G68:J68,0)),"")</f>
        <v>Mountainland</v>
      </c>
      <c r="AP68" s="83" t="n">
        <f aca="false">IF($S68&gt;=2,MIN(G68:J68)*$F68,0)</f>
        <v>203.44</v>
      </c>
      <c r="AQ68" s="82" t="str">
        <f aca="false">IF($S68&gt;=2,INDEX($G$6:$J$6,MATCH(MIN(G68:J68),G68:J68,0)),"")</f>
        <v>Scholzen</v>
      </c>
    </row>
    <row r="69" customFormat="false" ht="15" hidden="false" customHeight="true" outlineLevel="0" collapsed="false">
      <c r="A69" s="70" t="s">
        <v>271</v>
      </c>
      <c r="B69" s="71" t="s">
        <v>130</v>
      </c>
      <c r="C69" s="72" t="s">
        <v>240</v>
      </c>
      <c r="D69" s="73" t="s">
        <v>272</v>
      </c>
      <c r="E69" s="74" t="s">
        <v>133</v>
      </c>
      <c r="F69" s="75" t="n">
        <v>2</v>
      </c>
      <c r="G69" s="76" t="n">
        <f aca="false">IF(COUNTIF('Quote Lines'!$P$3:$P$805,$A69&amp;"|"&amp;G$6&amp;"|1")=0,"—",SUMIFS('Quote Lines'!$O$3:$O$805,'Quote Lines'!$P$3:$P$805,$A69&amp;"|"&amp;G$6&amp;"|1")/SUMIFS('Quote Lines'!$L$3:$L$805,'Quote Lines'!$P$3:$P$805,$A69&amp;"|"&amp;G$6&amp;"|1"))</f>
        <v>132.26</v>
      </c>
      <c r="H69" s="76" t="n">
        <f aca="false">IF(COUNTIF('Quote Lines'!$P$3:$P$805,$A69&amp;"|"&amp;H$6&amp;"|1")=0,"—",SUMIFS('Quote Lines'!$O$3:$O$805,'Quote Lines'!$P$3:$P$805,$A69&amp;"|"&amp;H$6&amp;"|1")/SUMIFS('Quote Lines'!$L$3:$L$805,'Quote Lines'!$P$3:$P$805,$A69&amp;"|"&amp;H$6&amp;"|1"))</f>
        <v>45.81</v>
      </c>
      <c r="I69" s="85" t="s">
        <v>138</v>
      </c>
      <c r="J69" s="85" t="s">
        <v>138</v>
      </c>
      <c r="K69" s="14" t="n">
        <f aca="false">IF(ISNUMBER(G69),G69*$F69,"—")</f>
        <v>264.52</v>
      </c>
      <c r="L69" s="14" t="n">
        <f aca="false">IF(ISNUMBER(H69),H69*$F69,"—")</f>
        <v>91.62</v>
      </c>
      <c r="M69" s="14" t="str">
        <f aca="false">IF(ISNUMBER(I69),I69*$F69,"—")</f>
        <v>—</v>
      </c>
      <c r="N69" s="14" t="str">
        <f aca="false">IF(ISNUMBER(J69),J69*$F69,"—")</f>
        <v>—</v>
      </c>
      <c r="O69" s="77" t="n">
        <f aca="false">IF($S69=0,"—",MIN(G69:J69))</f>
        <v>45.81</v>
      </c>
      <c r="P69" s="42" t="str">
        <f aca="false">IF($S69=0,"—",IF(COUNTIF(G69:J69,O69)&gt;1,"Tie",INDEX($G$6:$J$6,MATCH(O69,G69:J69,0))))</f>
        <v>HD Fowler</v>
      </c>
      <c r="Q69" s="48" t="n">
        <f aca="false">IF($S69&gt;=2,MAX(G69:J69)/MIN(G69:J69)-1,"—")</f>
        <v>1.88714254529579</v>
      </c>
      <c r="R69" s="78" t="n">
        <f aca="false">IF($S69&gt;=2,(MAX(G69:J69)-MIN(G69:J69))*$F69,"—")</f>
        <v>172.9</v>
      </c>
      <c r="S69" s="18" t="n">
        <f aca="false">COUNT(G69:J69)</f>
        <v>2</v>
      </c>
      <c r="T69" s="79" t="str">
        <f aca="false">IF($S69&lt;=1,IF($S69=1,"Single quote","—"),"Alt spec – verify")</f>
        <v>Alt spec – verify</v>
      </c>
      <c r="U69" s="79" t="str">
        <f aca="false">IF(COUNT(W69:Z69)&lt;2,"",IF(MAX(W69:Z69)=MIN(W69:Z69),"OK","Qty differs"))</f>
        <v>Qty differs</v>
      </c>
      <c r="V69" s="80" t="s">
        <v>273</v>
      </c>
      <c r="W69" s="81" t="n">
        <f aca="false">IF(COUNTIFS('Quote Lines'!$P$3:$P$805,$A69&amp;"|"&amp;G$6&amp;"|1",'Quote Lines'!$M$3:$M$805,"Y")=0,"",SUMIFS('Quote Lines'!$L$3:$L$805,'Quote Lines'!$P$3:$P$805,$A69&amp;"|"&amp;G$6&amp;"|1",'Quote Lines'!$M$3:$M$805,"Y"))</f>
        <v>2</v>
      </c>
      <c r="X69" s="81" t="n">
        <f aca="false">IF(COUNTIFS('Quote Lines'!$P$3:$P$805,$A69&amp;"|"&amp;H$6&amp;"|1",'Quote Lines'!$M$3:$M$805,"Y")=0,"",SUMIFS('Quote Lines'!$L$3:$L$805,'Quote Lines'!$P$3:$P$805,$A69&amp;"|"&amp;H$6&amp;"|1",'Quote Lines'!$M$3:$M$805,"Y"))</f>
        <v>1</v>
      </c>
      <c r="Y69" s="81"/>
      <c r="Z69" s="81"/>
      <c r="AA69" s="82" t="n">
        <f aca="false">IF(ISNUMBER(G69),1+SUMPRODUCT(ISNUMBER($G69:$J69)*($G69:$J69&lt;G69)),"")</f>
        <v>2</v>
      </c>
      <c r="AB69" s="82" t="n">
        <f aca="false">IF(ISNUMBER(H69),1+SUMPRODUCT(ISNUMBER($G69:$J69)*($G69:$J69&lt;H69)),"")</f>
        <v>1</v>
      </c>
      <c r="AC69" s="82" t="str">
        <f aca="false">IF(ISNUMBER(I69),1+SUMPRODUCT(ISNUMBER($G69:$J69)*($G69:$J69&lt;I69)),"")</f>
        <v/>
      </c>
      <c r="AD69" s="82" t="str">
        <f aca="false">IF(ISNUMBER(J69),1+SUMPRODUCT(ISNUMBER($G69:$J69)*($G69:$J69&lt;J69)),"")</f>
        <v/>
      </c>
      <c r="AE69" s="82" t="n">
        <f aca="false">IF(NOT(ISNUMBER(G69)),0,IF($S69&lt;2,5,IF(AA69=1,1,IF(G69=MAX($G69:$J69),4,IF(AA69=2,2,3)))))</f>
        <v>4</v>
      </c>
      <c r="AF69" s="82" t="n">
        <f aca="false">IF(NOT(ISNUMBER(H69)),0,IF($S69&lt;2,5,IF(AB69=1,1,IF(H69=MAX($G69:$J69),4,IF(AB69=2,2,3)))))</f>
        <v>1</v>
      </c>
      <c r="AG69" s="82" t="n">
        <f aca="false">IF(NOT(ISNUMBER(I69)),0,IF($S69&lt;2,5,IF(AC69=1,1,IF(I69=MAX($G69:$J69),4,IF(AC69=2,2,3)))))</f>
        <v>0</v>
      </c>
      <c r="AH69" s="82" t="n">
        <f aca="false">IF(NOT(ISNUMBER(J69)),0,IF($S69&lt;2,5,IF(AD69=1,1,IF(J69=MAX($G69:$J69),4,IF(AD69=2,2,3)))))</f>
        <v>0</v>
      </c>
      <c r="AI69" s="83" t="n">
        <f aca="false">IF($S69&gt;=2,IF(ISNUMBER(G69),G69*$F69,MIN($G69:$J69)*$F69),0)</f>
        <v>264.52</v>
      </c>
      <c r="AJ69" s="83" t="n">
        <f aca="false">IF($S69&gt;=2,IF(ISNUMBER(H69),H69*$F69,MIN($G69:$J69)*$F69),0)</f>
        <v>91.62</v>
      </c>
      <c r="AK69" s="83" t="n">
        <f aca="false">IF($S69&gt;=2,IF(ISNUMBER(I69),I69*$F69,MIN($G69:$J69)*$F69),0)</f>
        <v>91.62</v>
      </c>
      <c r="AL69" s="83" t="n">
        <f aca="false">IF($S69&gt;=2,IF(ISNUMBER(J69),J69*$F69,MIN($G69:$J69)*$F69),0)</f>
        <v>91.62</v>
      </c>
      <c r="AM69" s="84" t="n">
        <f aca="false">IF($S69&gt;=2,$R69+ROW()/1000000,"")</f>
        <v>172.900069</v>
      </c>
      <c r="AN69" s="83" t="n">
        <f aca="false">IF($S69&gt;=2,MAX(G69:J69),"")</f>
        <v>132.26</v>
      </c>
      <c r="AO69" s="82" t="str">
        <f aca="false">IF($S69&gt;=2,INDEX($G$6:$J$6,MATCH(MAX(G69:J69),G69:J69,0)),"")</f>
        <v>Ferguson</v>
      </c>
      <c r="AP69" s="83" t="n">
        <f aca="false">IF($S69&gt;=2,MIN(G69:J69)*$F69,0)</f>
        <v>91.62</v>
      </c>
      <c r="AQ69" s="82" t="str">
        <f aca="false">IF($S69&gt;=2,INDEX($G$6:$J$6,MATCH(MIN(G69:J69),G69:J69,0)),"")</f>
        <v>HD Fowler</v>
      </c>
    </row>
    <row r="70" customFormat="false" ht="15" hidden="false" customHeight="true" outlineLevel="0" collapsed="false">
      <c r="A70" s="70" t="s">
        <v>274</v>
      </c>
      <c r="B70" s="71" t="s">
        <v>130</v>
      </c>
      <c r="C70" s="72" t="s">
        <v>240</v>
      </c>
      <c r="D70" s="73" t="s">
        <v>275</v>
      </c>
      <c r="E70" s="74" t="s">
        <v>133</v>
      </c>
      <c r="F70" s="75" t="n">
        <v>1</v>
      </c>
      <c r="G70" s="85" t="s">
        <v>138</v>
      </c>
      <c r="H70" s="85" t="s">
        <v>138</v>
      </c>
      <c r="I70" s="76" t="n">
        <f aca="false">IF(COUNTIF('Quote Lines'!$P$3:$P$805,$A70&amp;"|"&amp;I$6&amp;"|1")=0,"—",SUMIFS('Quote Lines'!$O$3:$O$805,'Quote Lines'!$P$3:$P$805,$A70&amp;"|"&amp;I$6&amp;"|1")/SUMIFS('Quote Lines'!$L$3:$L$805,'Quote Lines'!$P$3:$P$805,$A70&amp;"|"&amp;I$6&amp;"|1"))</f>
        <v>31.91</v>
      </c>
      <c r="J70" s="85" t="s">
        <v>138</v>
      </c>
      <c r="K70" s="14" t="str">
        <f aca="false">IF(ISNUMBER(G70),G70*$F70,"—")</f>
        <v>—</v>
      </c>
      <c r="L70" s="14" t="str">
        <f aca="false">IF(ISNUMBER(H70),H70*$F70,"—")</f>
        <v>—</v>
      </c>
      <c r="M70" s="14" t="n">
        <f aca="false">IF(ISNUMBER(I70),I70*$F70,"—")</f>
        <v>31.91</v>
      </c>
      <c r="N70" s="14" t="str">
        <f aca="false">IF(ISNUMBER(J70),J70*$F70,"—")</f>
        <v>—</v>
      </c>
      <c r="O70" s="77" t="n">
        <f aca="false">IF($S70=0,"—",MIN(G70:J70))</f>
        <v>31.91</v>
      </c>
      <c r="P70" s="42" t="str">
        <f aca="false">IF($S70=0,"—",IF(COUNTIF(G70:J70,O70)&gt;1,"Tie",INDEX($G$6:$J$6,MATCH(O70,G70:J70,0))))</f>
        <v>Mountainland</v>
      </c>
      <c r="Q70" s="48" t="str">
        <f aca="false">IF($S70&gt;=2,MAX(G70:J70)/MIN(G70:J70)-1,"—")</f>
        <v>—</v>
      </c>
      <c r="R70" s="78" t="str">
        <f aca="false">IF($S70&gt;=2,(MAX(G70:J70)-MIN(G70:J70))*$F70,"—")</f>
        <v>—</v>
      </c>
      <c r="S70" s="18" t="n">
        <f aca="false">COUNT(G70:J70)</f>
        <v>1</v>
      </c>
      <c r="T70" s="79" t="str">
        <f aca="false">IF($S70&lt;=1,IF($S70=1,"Single quote","—"),"Like-for-like")</f>
        <v>Single quote</v>
      </c>
      <c r="U70" s="79" t="str">
        <f aca="false">IF(COUNT(W70:Z70)&lt;2,"",IF(MAX(W70:Z70)=MIN(W70:Z70),"OK","Qty differs"))</f>
        <v/>
      </c>
      <c r="V70" s="80"/>
      <c r="W70" s="81"/>
      <c r="X70" s="81"/>
      <c r="Y70" s="81" t="n">
        <f aca="false">IF(COUNTIFS('Quote Lines'!$P$3:$P$805,$A70&amp;"|"&amp;I$6&amp;"|1",'Quote Lines'!$M$3:$M$805,"Y")=0,"",SUMIFS('Quote Lines'!$L$3:$L$805,'Quote Lines'!$P$3:$P$805,$A70&amp;"|"&amp;I$6&amp;"|1",'Quote Lines'!$M$3:$M$805,"Y"))</f>
        <v>1</v>
      </c>
      <c r="Z70" s="81"/>
      <c r="AA70" s="82" t="str">
        <f aca="false">IF(ISNUMBER(G70),1+SUMPRODUCT(ISNUMBER($G70:$J70)*($G70:$J70&lt;G70)),"")</f>
        <v/>
      </c>
      <c r="AB70" s="82" t="str">
        <f aca="false">IF(ISNUMBER(H70),1+SUMPRODUCT(ISNUMBER($G70:$J70)*($G70:$J70&lt;H70)),"")</f>
        <v/>
      </c>
      <c r="AC70" s="82" t="n">
        <f aca="false">IF(ISNUMBER(I70),1+SUMPRODUCT(ISNUMBER($G70:$J70)*($G70:$J70&lt;I70)),"")</f>
        <v>1</v>
      </c>
      <c r="AD70" s="82" t="str">
        <f aca="false">IF(ISNUMBER(J70),1+SUMPRODUCT(ISNUMBER($G70:$J70)*($G70:$J70&lt;J70)),"")</f>
        <v/>
      </c>
      <c r="AE70" s="82" t="n">
        <f aca="false">IF(NOT(ISNUMBER(G70)),0,IF($S70&lt;2,5,IF(AA70=1,1,IF(G70=MAX($G70:$J70),4,IF(AA70=2,2,3)))))</f>
        <v>0</v>
      </c>
      <c r="AF70" s="82" t="n">
        <f aca="false">IF(NOT(ISNUMBER(H70)),0,IF($S70&lt;2,5,IF(AB70=1,1,IF(H70=MAX($G70:$J70),4,IF(AB70=2,2,3)))))</f>
        <v>0</v>
      </c>
      <c r="AG70" s="82" t="n">
        <f aca="false">IF(NOT(ISNUMBER(I70)),0,IF($S70&lt;2,5,IF(AC70=1,1,IF(I70=MAX($G70:$J70),4,IF(AC70=2,2,3)))))</f>
        <v>5</v>
      </c>
      <c r="AH70" s="82" t="n">
        <f aca="false">IF(NOT(ISNUMBER(J70)),0,IF($S70&lt;2,5,IF(AD70=1,1,IF(J70=MAX($G70:$J70),4,IF(AD70=2,2,3)))))</f>
        <v>0</v>
      </c>
      <c r="AI70" s="83" t="n">
        <f aca="false">IF($S70&gt;=2,IF(ISNUMBER(G70),G70*$F70,MIN($G70:$J70)*$F70),0)</f>
        <v>0</v>
      </c>
      <c r="AJ70" s="83" t="n">
        <f aca="false">IF($S70&gt;=2,IF(ISNUMBER(H70),H70*$F70,MIN($G70:$J70)*$F70),0)</f>
        <v>0</v>
      </c>
      <c r="AK70" s="83" t="n">
        <f aca="false">IF($S70&gt;=2,IF(ISNUMBER(I70),I70*$F70,MIN($G70:$J70)*$F70),0)</f>
        <v>0</v>
      </c>
      <c r="AL70" s="83" t="n">
        <f aca="false">IF($S70&gt;=2,IF(ISNUMBER(J70),J70*$F70,MIN($G70:$J70)*$F70),0)</f>
        <v>0</v>
      </c>
      <c r="AM70" s="84" t="str">
        <f aca="false">IF($S70&gt;=2,$R70+ROW()/1000000,"")</f>
        <v/>
      </c>
      <c r="AN70" s="83" t="str">
        <f aca="false">IF($S70&gt;=2,MAX(G70:J70),"")</f>
        <v/>
      </c>
      <c r="AO70" s="82" t="str">
        <f aca="false">IF($S70&gt;=2,INDEX($G$6:$J$6,MATCH(MAX(G70:J70),G70:J70,0)),"")</f>
        <v/>
      </c>
      <c r="AP70" s="83" t="n">
        <f aca="false">IF($S70&gt;=2,MIN(G70:J70)*$F70,0)</f>
        <v>0</v>
      </c>
      <c r="AQ70" s="82" t="str">
        <f aca="false">IF($S70&gt;=2,INDEX($G$6:$J$6,MATCH(MIN(G70:J70),G70:J70,0)),"")</f>
        <v/>
      </c>
    </row>
    <row r="71" customFormat="false" ht="15" hidden="false" customHeight="true" outlineLevel="0" collapsed="false">
      <c r="A71" s="70" t="s">
        <v>276</v>
      </c>
      <c r="B71" s="71" t="s">
        <v>130</v>
      </c>
      <c r="C71" s="72" t="s">
        <v>240</v>
      </c>
      <c r="D71" s="73" t="s">
        <v>277</v>
      </c>
      <c r="E71" s="74" t="s">
        <v>133</v>
      </c>
      <c r="F71" s="75" t="n">
        <v>2</v>
      </c>
      <c r="G71" s="85" t="s">
        <v>138</v>
      </c>
      <c r="H71" s="85" t="s">
        <v>138</v>
      </c>
      <c r="I71" s="85" t="s">
        <v>138</v>
      </c>
      <c r="J71" s="76" t="n">
        <f aca="false">IF(COUNTIF('Quote Lines'!$P$3:$P$805,$A71&amp;"|"&amp;J$6&amp;"|1")=0,"—",SUMIFS('Quote Lines'!$O$3:$O$805,'Quote Lines'!$P$3:$P$805,$A71&amp;"|"&amp;J$6&amp;"|1")/SUMIFS('Quote Lines'!$L$3:$L$805,'Quote Lines'!$P$3:$P$805,$A71&amp;"|"&amp;J$6&amp;"|1"))</f>
        <v>9.97</v>
      </c>
      <c r="K71" s="14" t="str">
        <f aca="false">IF(ISNUMBER(G71),G71*$F71,"—")</f>
        <v>—</v>
      </c>
      <c r="L71" s="14" t="str">
        <f aca="false">IF(ISNUMBER(H71),H71*$F71,"—")</f>
        <v>—</v>
      </c>
      <c r="M71" s="14" t="str">
        <f aca="false">IF(ISNUMBER(I71),I71*$F71,"—")</f>
        <v>—</v>
      </c>
      <c r="N71" s="14" t="n">
        <f aca="false">IF(ISNUMBER(J71),J71*$F71,"—")</f>
        <v>19.94</v>
      </c>
      <c r="O71" s="77" t="n">
        <f aca="false">IF($S71=0,"—",MIN(G71:J71))</f>
        <v>9.97</v>
      </c>
      <c r="P71" s="42" t="str">
        <f aca="false">IF($S71=0,"—",IF(COUNTIF(G71:J71,O71)&gt;1,"Tie",INDEX($G$6:$J$6,MATCH(O71,G71:J71,0))))</f>
        <v>Scholzen</v>
      </c>
      <c r="Q71" s="48" t="str">
        <f aca="false">IF($S71&gt;=2,MAX(G71:J71)/MIN(G71:J71)-1,"—")</f>
        <v>—</v>
      </c>
      <c r="R71" s="78" t="str">
        <f aca="false">IF($S71&gt;=2,(MAX(G71:J71)-MIN(G71:J71))*$F71,"—")</f>
        <v>—</v>
      </c>
      <c r="S71" s="18" t="n">
        <f aca="false">COUNT(G71:J71)</f>
        <v>1</v>
      </c>
      <c r="T71" s="79" t="str">
        <f aca="false">IF($S71&lt;=1,IF($S71=1,"Single quote","—"),"Like-for-like")</f>
        <v>Single quote</v>
      </c>
      <c r="U71" s="79" t="str">
        <f aca="false">IF(COUNT(W71:Z71)&lt;2,"",IF(MAX(W71:Z71)=MIN(W71:Z71),"OK","Qty differs"))</f>
        <v/>
      </c>
      <c r="V71" s="80"/>
      <c r="W71" s="81"/>
      <c r="X71" s="81"/>
      <c r="Y71" s="81"/>
      <c r="Z71" s="81" t="n">
        <f aca="false">IF(COUNTIFS('Quote Lines'!$P$3:$P$805,$A71&amp;"|"&amp;J$6&amp;"|1",'Quote Lines'!$M$3:$M$805,"Y")=0,"",SUMIFS('Quote Lines'!$L$3:$L$805,'Quote Lines'!$P$3:$P$805,$A71&amp;"|"&amp;J$6&amp;"|1",'Quote Lines'!$M$3:$M$805,"Y"))</f>
        <v>2</v>
      </c>
      <c r="AA71" s="82" t="str">
        <f aca="false">IF(ISNUMBER(G71),1+SUMPRODUCT(ISNUMBER($G71:$J71)*($G71:$J71&lt;G71)),"")</f>
        <v/>
      </c>
      <c r="AB71" s="82" t="str">
        <f aca="false">IF(ISNUMBER(H71),1+SUMPRODUCT(ISNUMBER($G71:$J71)*($G71:$J71&lt;H71)),"")</f>
        <v/>
      </c>
      <c r="AC71" s="82" t="str">
        <f aca="false">IF(ISNUMBER(I71),1+SUMPRODUCT(ISNUMBER($G71:$J71)*($G71:$J71&lt;I71)),"")</f>
        <v/>
      </c>
      <c r="AD71" s="82" t="n">
        <f aca="false">IF(ISNUMBER(J71),1+SUMPRODUCT(ISNUMBER($G71:$J71)*($G71:$J71&lt;J71)),"")</f>
        <v>1</v>
      </c>
      <c r="AE71" s="82" t="n">
        <f aca="false">IF(NOT(ISNUMBER(G71)),0,IF($S71&lt;2,5,IF(AA71=1,1,IF(G71=MAX($G71:$J71),4,IF(AA71=2,2,3)))))</f>
        <v>0</v>
      </c>
      <c r="AF71" s="82" t="n">
        <f aca="false">IF(NOT(ISNUMBER(H71)),0,IF($S71&lt;2,5,IF(AB71=1,1,IF(H71=MAX($G71:$J71),4,IF(AB71=2,2,3)))))</f>
        <v>0</v>
      </c>
      <c r="AG71" s="82" t="n">
        <f aca="false">IF(NOT(ISNUMBER(I71)),0,IF($S71&lt;2,5,IF(AC71=1,1,IF(I71=MAX($G71:$J71),4,IF(AC71=2,2,3)))))</f>
        <v>0</v>
      </c>
      <c r="AH71" s="82" t="n">
        <f aca="false">IF(NOT(ISNUMBER(J71)),0,IF($S71&lt;2,5,IF(AD71=1,1,IF(J71=MAX($G71:$J71),4,IF(AD71=2,2,3)))))</f>
        <v>5</v>
      </c>
      <c r="AI71" s="83" t="n">
        <f aca="false">IF($S71&gt;=2,IF(ISNUMBER(G71),G71*$F71,MIN($G71:$J71)*$F71),0)</f>
        <v>0</v>
      </c>
      <c r="AJ71" s="83" t="n">
        <f aca="false">IF($S71&gt;=2,IF(ISNUMBER(H71),H71*$F71,MIN($G71:$J71)*$F71),0)</f>
        <v>0</v>
      </c>
      <c r="AK71" s="83" t="n">
        <f aca="false">IF($S71&gt;=2,IF(ISNUMBER(I71),I71*$F71,MIN($G71:$J71)*$F71),0)</f>
        <v>0</v>
      </c>
      <c r="AL71" s="83" t="n">
        <f aca="false">IF($S71&gt;=2,IF(ISNUMBER(J71),J71*$F71,MIN($G71:$J71)*$F71),0)</f>
        <v>0</v>
      </c>
      <c r="AM71" s="84" t="str">
        <f aca="false">IF($S71&gt;=2,$R71+ROW()/1000000,"")</f>
        <v/>
      </c>
      <c r="AN71" s="83" t="str">
        <f aca="false">IF($S71&gt;=2,MAX(G71:J71),"")</f>
        <v/>
      </c>
      <c r="AO71" s="82" t="str">
        <f aca="false">IF($S71&gt;=2,INDEX($G$6:$J$6,MATCH(MAX(G71:J71),G71:J71,0)),"")</f>
        <v/>
      </c>
      <c r="AP71" s="83" t="n">
        <f aca="false">IF($S71&gt;=2,MIN(G71:J71)*$F71,0)</f>
        <v>0</v>
      </c>
      <c r="AQ71" s="82" t="str">
        <f aca="false">IF($S71&gt;=2,INDEX($G$6:$J$6,MATCH(MIN(G71:J71),G71:J71,0)),"")</f>
        <v/>
      </c>
    </row>
    <row r="72" customFormat="false" ht="15" hidden="false" customHeight="true" outlineLevel="0" collapsed="false">
      <c r="A72" s="70" t="s">
        <v>278</v>
      </c>
      <c r="B72" s="71" t="s">
        <v>130</v>
      </c>
      <c r="C72" s="72" t="s">
        <v>240</v>
      </c>
      <c r="D72" s="73" t="s">
        <v>279</v>
      </c>
      <c r="E72" s="74" t="s">
        <v>133</v>
      </c>
      <c r="F72" s="75" t="n">
        <v>2</v>
      </c>
      <c r="G72" s="85" t="s">
        <v>138</v>
      </c>
      <c r="H72" s="85" t="s">
        <v>138</v>
      </c>
      <c r="I72" s="85" t="s">
        <v>138</v>
      </c>
      <c r="J72" s="76" t="n">
        <f aca="false">IF(COUNTIF('Quote Lines'!$P$3:$P$805,$A72&amp;"|"&amp;J$6&amp;"|1")=0,"—",SUMIFS('Quote Lines'!$O$3:$O$805,'Quote Lines'!$P$3:$P$805,$A72&amp;"|"&amp;J$6&amp;"|1")/SUMIFS('Quote Lines'!$L$3:$L$805,'Quote Lines'!$P$3:$P$805,$A72&amp;"|"&amp;J$6&amp;"|1"))</f>
        <v>250.5</v>
      </c>
      <c r="K72" s="14" t="str">
        <f aca="false">IF(ISNUMBER(G72),G72*$F72,"—")</f>
        <v>—</v>
      </c>
      <c r="L72" s="14" t="str">
        <f aca="false">IF(ISNUMBER(H72),H72*$F72,"—")</f>
        <v>—</v>
      </c>
      <c r="M72" s="14" t="str">
        <f aca="false">IF(ISNUMBER(I72),I72*$F72,"—")</f>
        <v>—</v>
      </c>
      <c r="N72" s="14" t="n">
        <f aca="false">IF(ISNUMBER(J72),J72*$F72,"—")</f>
        <v>501</v>
      </c>
      <c r="O72" s="77" t="n">
        <f aca="false">IF($S72=0,"—",MIN(G72:J72))</f>
        <v>250.5</v>
      </c>
      <c r="P72" s="42" t="str">
        <f aca="false">IF($S72=0,"—",IF(COUNTIF(G72:J72,O72)&gt;1,"Tie",INDEX($G$6:$J$6,MATCH(O72,G72:J72,0))))</f>
        <v>Scholzen</v>
      </c>
      <c r="Q72" s="48" t="str">
        <f aca="false">IF($S72&gt;=2,MAX(G72:J72)/MIN(G72:J72)-1,"—")</f>
        <v>—</v>
      </c>
      <c r="R72" s="78" t="str">
        <f aca="false">IF($S72&gt;=2,(MAX(G72:J72)-MIN(G72:J72))*$F72,"—")</f>
        <v>—</v>
      </c>
      <c r="S72" s="18" t="n">
        <f aca="false">COUNT(G72:J72)</f>
        <v>1</v>
      </c>
      <c r="T72" s="79" t="str">
        <f aca="false">IF($S72&lt;=1,IF($S72=1,"Single quote","—"),"Like-for-like")</f>
        <v>Single quote</v>
      </c>
      <c r="U72" s="79" t="str">
        <f aca="false">IF(COUNT(W72:Z72)&lt;2,"",IF(MAX(W72:Z72)=MIN(W72:Z72),"OK","Qty differs"))</f>
        <v/>
      </c>
      <c r="V72" s="80"/>
      <c r="W72" s="81"/>
      <c r="X72" s="81"/>
      <c r="Y72" s="81"/>
      <c r="Z72" s="81" t="n">
        <f aca="false">IF(COUNTIFS('Quote Lines'!$P$3:$P$805,$A72&amp;"|"&amp;J$6&amp;"|1",'Quote Lines'!$M$3:$M$805,"Y")=0,"",SUMIFS('Quote Lines'!$L$3:$L$805,'Quote Lines'!$P$3:$P$805,$A72&amp;"|"&amp;J$6&amp;"|1",'Quote Lines'!$M$3:$M$805,"Y"))</f>
        <v>2</v>
      </c>
      <c r="AA72" s="82" t="str">
        <f aca="false">IF(ISNUMBER(G72),1+SUMPRODUCT(ISNUMBER($G72:$J72)*($G72:$J72&lt;G72)),"")</f>
        <v/>
      </c>
      <c r="AB72" s="82" t="str">
        <f aca="false">IF(ISNUMBER(H72),1+SUMPRODUCT(ISNUMBER($G72:$J72)*($G72:$J72&lt;H72)),"")</f>
        <v/>
      </c>
      <c r="AC72" s="82" t="str">
        <f aca="false">IF(ISNUMBER(I72),1+SUMPRODUCT(ISNUMBER($G72:$J72)*($G72:$J72&lt;I72)),"")</f>
        <v/>
      </c>
      <c r="AD72" s="82" t="n">
        <f aca="false">IF(ISNUMBER(J72),1+SUMPRODUCT(ISNUMBER($G72:$J72)*($G72:$J72&lt;J72)),"")</f>
        <v>1</v>
      </c>
      <c r="AE72" s="82" t="n">
        <f aca="false">IF(NOT(ISNUMBER(G72)),0,IF($S72&lt;2,5,IF(AA72=1,1,IF(G72=MAX($G72:$J72),4,IF(AA72=2,2,3)))))</f>
        <v>0</v>
      </c>
      <c r="AF72" s="82" t="n">
        <f aca="false">IF(NOT(ISNUMBER(H72)),0,IF($S72&lt;2,5,IF(AB72=1,1,IF(H72=MAX($G72:$J72),4,IF(AB72=2,2,3)))))</f>
        <v>0</v>
      </c>
      <c r="AG72" s="82" t="n">
        <f aca="false">IF(NOT(ISNUMBER(I72)),0,IF($S72&lt;2,5,IF(AC72=1,1,IF(I72=MAX($G72:$J72),4,IF(AC72=2,2,3)))))</f>
        <v>0</v>
      </c>
      <c r="AH72" s="82" t="n">
        <f aca="false">IF(NOT(ISNUMBER(J72)),0,IF($S72&lt;2,5,IF(AD72=1,1,IF(J72=MAX($G72:$J72),4,IF(AD72=2,2,3)))))</f>
        <v>5</v>
      </c>
      <c r="AI72" s="83" t="n">
        <f aca="false">IF($S72&gt;=2,IF(ISNUMBER(G72),G72*$F72,MIN($G72:$J72)*$F72),0)</f>
        <v>0</v>
      </c>
      <c r="AJ72" s="83" t="n">
        <f aca="false">IF($S72&gt;=2,IF(ISNUMBER(H72),H72*$F72,MIN($G72:$J72)*$F72),0)</f>
        <v>0</v>
      </c>
      <c r="AK72" s="83" t="n">
        <f aca="false">IF($S72&gt;=2,IF(ISNUMBER(I72),I72*$F72,MIN($G72:$J72)*$F72),0)</f>
        <v>0</v>
      </c>
      <c r="AL72" s="83" t="n">
        <f aca="false">IF($S72&gt;=2,IF(ISNUMBER(J72),J72*$F72,MIN($G72:$J72)*$F72),0)</f>
        <v>0</v>
      </c>
      <c r="AM72" s="84" t="str">
        <f aca="false">IF($S72&gt;=2,$R72+ROW()/1000000,"")</f>
        <v/>
      </c>
      <c r="AN72" s="83" t="str">
        <f aca="false">IF($S72&gt;=2,MAX(G72:J72),"")</f>
        <v/>
      </c>
      <c r="AO72" s="82" t="str">
        <f aca="false">IF($S72&gt;=2,INDEX($G$6:$J$6,MATCH(MAX(G72:J72),G72:J72,0)),"")</f>
        <v/>
      </c>
      <c r="AP72" s="83" t="n">
        <f aca="false">IF($S72&gt;=2,MIN(G72:J72)*$F72,0)</f>
        <v>0</v>
      </c>
      <c r="AQ72" s="82" t="str">
        <f aca="false">IF($S72&gt;=2,INDEX($G$6:$J$6,MATCH(MIN(G72:J72),G72:J72,0)),"")</f>
        <v/>
      </c>
    </row>
    <row r="73" customFormat="false" ht="15" hidden="false" customHeight="true" outlineLevel="0" collapsed="false">
      <c r="A73" s="70" t="s">
        <v>280</v>
      </c>
      <c r="B73" s="71" t="s">
        <v>130</v>
      </c>
      <c r="C73" s="72" t="s">
        <v>240</v>
      </c>
      <c r="D73" s="73" t="s">
        <v>281</v>
      </c>
      <c r="E73" s="74" t="s">
        <v>133</v>
      </c>
      <c r="F73" s="75" t="n">
        <v>2</v>
      </c>
      <c r="G73" s="85" t="s">
        <v>138</v>
      </c>
      <c r="H73" s="85" t="s">
        <v>138</v>
      </c>
      <c r="I73" s="85" t="s">
        <v>138</v>
      </c>
      <c r="J73" s="76" t="n">
        <f aca="false">IF(COUNTIF('Quote Lines'!$P$3:$P$805,$A73&amp;"|"&amp;J$6&amp;"|1")=0,"—",SUMIFS('Quote Lines'!$O$3:$O$805,'Quote Lines'!$P$3:$P$805,$A73&amp;"|"&amp;J$6&amp;"|1")/SUMIFS('Quote Lines'!$L$3:$L$805,'Quote Lines'!$P$3:$P$805,$A73&amp;"|"&amp;J$6&amp;"|1"))</f>
        <v>24.96</v>
      </c>
      <c r="K73" s="14" t="str">
        <f aca="false">IF(ISNUMBER(G73),G73*$F73,"—")</f>
        <v>—</v>
      </c>
      <c r="L73" s="14" t="str">
        <f aca="false">IF(ISNUMBER(H73),H73*$F73,"—")</f>
        <v>—</v>
      </c>
      <c r="M73" s="14" t="str">
        <f aca="false">IF(ISNUMBER(I73),I73*$F73,"—")</f>
        <v>—</v>
      </c>
      <c r="N73" s="14" t="n">
        <f aca="false">IF(ISNUMBER(J73),J73*$F73,"—")</f>
        <v>49.92</v>
      </c>
      <c r="O73" s="77" t="n">
        <f aca="false">IF($S73=0,"—",MIN(G73:J73))</f>
        <v>24.96</v>
      </c>
      <c r="P73" s="42" t="str">
        <f aca="false">IF($S73=0,"—",IF(COUNTIF(G73:J73,O73)&gt;1,"Tie",INDEX($G$6:$J$6,MATCH(O73,G73:J73,0))))</f>
        <v>Scholzen</v>
      </c>
      <c r="Q73" s="48" t="str">
        <f aca="false">IF($S73&gt;=2,MAX(G73:J73)/MIN(G73:J73)-1,"—")</f>
        <v>—</v>
      </c>
      <c r="R73" s="78" t="str">
        <f aca="false">IF($S73&gt;=2,(MAX(G73:J73)-MIN(G73:J73))*$F73,"—")</f>
        <v>—</v>
      </c>
      <c r="S73" s="18" t="n">
        <f aca="false">COUNT(G73:J73)</f>
        <v>1</v>
      </c>
      <c r="T73" s="79" t="str">
        <f aca="false">IF($S73&lt;=1,IF($S73=1,"Single quote","—"),"Like-for-like")</f>
        <v>Single quote</v>
      </c>
      <c r="U73" s="79" t="str">
        <f aca="false">IF(COUNT(W73:Z73)&lt;2,"",IF(MAX(W73:Z73)=MIN(W73:Z73),"OK","Qty differs"))</f>
        <v/>
      </c>
      <c r="V73" s="80"/>
      <c r="W73" s="81"/>
      <c r="X73" s="81"/>
      <c r="Y73" s="81"/>
      <c r="Z73" s="81" t="n">
        <f aca="false">IF(COUNTIFS('Quote Lines'!$P$3:$P$805,$A73&amp;"|"&amp;J$6&amp;"|1",'Quote Lines'!$M$3:$M$805,"Y")=0,"",SUMIFS('Quote Lines'!$L$3:$L$805,'Quote Lines'!$P$3:$P$805,$A73&amp;"|"&amp;J$6&amp;"|1",'Quote Lines'!$M$3:$M$805,"Y"))</f>
        <v>2</v>
      </c>
      <c r="AA73" s="82" t="str">
        <f aca="false">IF(ISNUMBER(G73),1+SUMPRODUCT(ISNUMBER($G73:$J73)*($G73:$J73&lt;G73)),"")</f>
        <v/>
      </c>
      <c r="AB73" s="82" t="str">
        <f aca="false">IF(ISNUMBER(H73),1+SUMPRODUCT(ISNUMBER($G73:$J73)*($G73:$J73&lt;H73)),"")</f>
        <v/>
      </c>
      <c r="AC73" s="82" t="str">
        <f aca="false">IF(ISNUMBER(I73),1+SUMPRODUCT(ISNUMBER($G73:$J73)*($G73:$J73&lt;I73)),"")</f>
        <v/>
      </c>
      <c r="AD73" s="82" t="n">
        <f aca="false">IF(ISNUMBER(J73),1+SUMPRODUCT(ISNUMBER($G73:$J73)*($G73:$J73&lt;J73)),"")</f>
        <v>1</v>
      </c>
      <c r="AE73" s="82" t="n">
        <f aca="false">IF(NOT(ISNUMBER(G73)),0,IF($S73&lt;2,5,IF(AA73=1,1,IF(G73=MAX($G73:$J73),4,IF(AA73=2,2,3)))))</f>
        <v>0</v>
      </c>
      <c r="AF73" s="82" t="n">
        <f aca="false">IF(NOT(ISNUMBER(H73)),0,IF($S73&lt;2,5,IF(AB73=1,1,IF(H73=MAX($G73:$J73),4,IF(AB73=2,2,3)))))</f>
        <v>0</v>
      </c>
      <c r="AG73" s="82" t="n">
        <f aca="false">IF(NOT(ISNUMBER(I73)),0,IF($S73&lt;2,5,IF(AC73=1,1,IF(I73=MAX($G73:$J73),4,IF(AC73=2,2,3)))))</f>
        <v>0</v>
      </c>
      <c r="AH73" s="82" t="n">
        <f aca="false">IF(NOT(ISNUMBER(J73)),0,IF($S73&lt;2,5,IF(AD73=1,1,IF(J73=MAX($G73:$J73),4,IF(AD73=2,2,3)))))</f>
        <v>5</v>
      </c>
      <c r="AI73" s="83" t="n">
        <f aca="false">IF($S73&gt;=2,IF(ISNUMBER(G73),G73*$F73,MIN($G73:$J73)*$F73),0)</f>
        <v>0</v>
      </c>
      <c r="AJ73" s="83" t="n">
        <f aca="false">IF($S73&gt;=2,IF(ISNUMBER(H73),H73*$F73,MIN($G73:$J73)*$F73),0)</f>
        <v>0</v>
      </c>
      <c r="AK73" s="83" t="n">
        <f aca="false">IF($S73&gt;=2,IF(ISNUMBER(I73),I73*$F73,MIN($G73:$J73)*$F73),0)</f>
        <v>0</v>
      </c>
      <c r="AL73" s="83" t="n">
        <f aca="false">IF($S73&gt;=2,IF(ISNUMBER(J73),J73*$F73,MIN($G73:$J73)*$F73),0)</f>
        <v>0</v>
      </c>
      <c r="AM73" s="84" t="str">
        <f aca="false">IF($S73&gt;=2,$R73+ROW()/1000000,"")</f>
        <v/>
      </c>
      <c r="AN73" s="83" t="str">
        <f aca="false">IF($S73&gt;=2,MAX(G73:J73),"")</f>
        <v/>
      </c>
      <c r="AO73" s="82" t="str">
        <f aca="false">IF($S73&gt;=2,INDEX($G$6:$J$6,MATCH(MAX(G73:J73),G73:J73,0)),"")</f>
        <v/>
      </c>
      <c r="AP73" s="83" t="n">
        <f aca="false">IF($S73&gt;=2,MIN(G73:J73)*$F73,0)</f>
        <v>0</v>
      </c>
      <c r="AQ73" s="82" t="str">
        <f aca="false">IF($S73&gt;=2,INDEX($G$6:$J$6,MATCH(MIN(G73:J73),G73:J73,0)),"")</f>
        <v/>
      </c>
    </row>
    <row r="74" customFormat="false" ht="15" hidden="false" customHeight="true" outlineLevel="0" collapsed="false">
      <c r="A74" s="70" t="s">
        <v>282</v>
      </c>
      <c r="B74" s="71" t="s">
        <v>130</v>
      </c>
      <c r="C74" s="72" t="s">
        <v>240</v>
      </c>
      <c r="D74" s="73" t="s">
        <v>283</v>
      </c>
      <c r="E74" s="74" t="s">
        <v>133</v>
      </c>
      <c r="F74" s="75" t="n">
        <v>2</v>
      </c>
      <c r="G74" s="85" t="s">
        <v>138</v>
      </c>
      <c r="H74" s="85" t="s">
        <v>138</v>
      </c>
      <c r="I74" s="85" t="s">
        <v>138</v>
      </c>
      <c r="J74" s="76" t="n">
        <f aca="false">IF(COUNTIF('Quote Lines'!$P$3:$P$805,$A74&amp;"|"&amp;J$6&amp;"|1")=0,"—",SUMIFS('Quote Lines'!$O$3:$O$805,'Quote Lines'!$P$3:$P$805,$A74&amp;"|"&amp;J$6&amp;"|1")/SUMIFS('Quote Lines'!$L$3:$L$805,'Quote Lines'!$P$3:$P$805,$A74&amp;"|"&amp;J$6&amp;"|1"))</f>
        <v>18.99</v>
      </c>
      <c r="K74" s="14" t="str">
        <f aca="false">IF(ISNUMBER(G74),G74*$F74,"—")</f>
        <v>—</v>
      </c>
      <c r="L74" s="14" t="str">
        <f aca="false">IF(ISNUMBER(H74),H74*$F74,"—")</f>
        <v>—</v>
      </c>
      <c r="M74" s="14" t="str">
        <f aca="false">IF(ISNUMBER(I74),I74*$F74,"—")</f>
        <v>—</v>
      </c>
      <c r="N74" s="14" t="n">
        <f aca="false">IF(ISNUMBER(J74),J74*$F74,"—")</f>
        <v>37.98</v>
      </c>
      <c r="O74" s="77" t="n">
        <f aca="false">IF($S74=0,"—",MIN(G74:J74))</f>
        <v>18.99</v>
      </c>
      <c r="P74" s="42" t="str">
        <f aca="false">IF($S74=0,"—",IF(COUNTIF(G74:J74,O74)&gt;1,"Tie",INDEX($G$6:$J$6,MATCH(O74,G74:J74,0))))</f>
        <v>Scholzen</v>
      </c>
      <c r="Q74" s="48" t="str">
        <f aca="false">IF($S74&gt;=2,MAX(G74:J74)/MIN(G74:J74)-1,"—")</f>
        <v>—</v>
      </c>
      <c r="R74" s="78" t="str">
        <f aca="false">IF($S74&gt;=2,(MAX(G74:J74)-MIN(G74:J74))*$F74,"—")</f>
        <v>—</v>
      </c>
      <c r="S74" s="18" t="n">
        <f aca="false">COUNT(G74:J74)</f>
        <v>1</v>
      </c>
      <c r="T74" s="79" t="str">
        <f aca="false">IF($S74&lt;=1,IF($S74=1,"Single quote","—"),"Like-for-like")</f>
        <v>Single quote</v>
      </c>
      <c r="U74" s="79" t="str">
        <f aca="false">IF(COUNT(W74:Z74)&lt;2,"",IF(MAX(W74:Z74)=MIN(W74:Z74),"OK","Qty differs"))</f>
        <v/>
      </c>
      <c r="V74" s="80"/>
      <c r="W74" s="81"/>
      <c r="X74" s="81"/>
      <c r="Y74" s="81"/>
      <c r="Z74" s="81" t="n">
        <f aca="false">IF(COUNTIFS('Quote Lines'!$P$3:$P$805,$A74&amp;"|"&amp;J$6&amp;"|1",'Quote Lines'!$M$3:$M$805,"Y")=0,"",SUMIFS('Quote Lines'!$L$3:$L$805,'Quote Lines'!$P$3:$P$805,$A74&amp;"|"&amp;J$6&amp;"|1",'Quote Lines'!$M$3:$M$805,"Y"))</f>
        <v>2</v>
      </c>
      <c r="AA74" s="82" t="str">
        <f aca="false">IF(ISNUMBER(G74),1+SUMPRODUCT(ISNUMBER($G74:$J74)*($G74:$J74&lt;G74)),"")</f>
        <v/>
      </c>
      <c r="AB74" s="82" t="str">
        <f aca="false">IF(ISNUMBER(H74),1+SUMPRODUCT(ISNUMBER($G74:$J74)*($G74:$J74&lt;H74)),"")</f>
        <v/>
      </c>
      <c r="AC74" s="82" t="str">
        <f aca="false">IF(ISNUMBER(I74),1+SUMPRODUCT(ISNUMBER($G74:$J74)*($G74:$J74&lt;I74)),"")</f>
        <v/>
      </c>
      <c r="AD74" s="82" t="n">
        <f aca="false">IF(ISNUMBER(J74),1+SUMPRODUCT(ISNUMBER($G74:$J74)*($G74:$J74&lt;J74)),"")</f>
        <v>1</v>
      </c>
      <c r="AE74" s="82" t="n">
        <f aca="false">IF(NOT(ISNUMBER(G74)),0,IF($S74&lt;2,5,IF(AA74=1,1,IF(G74=MAX($G74:$J74),4,IF(AA74=2,2,3)))))</f>
        <v>0</v>
      </c>
      <c r="AF74" s="82" t="n">
        <f aca="false">IF(NOT(ISNUMBER(H74)),0,IF($S74&lt;2,5,IF(AB74=1,1,IF(H74=MAX($G74:$J74),4,IF(AB74=2,2,3)))))</f>
        <v>0</v>
      </c>
      <c r="AG74" s="82" t="n">
        <f aca="false">IF(NOT(ISNUMBER(I74)),0,IF($S74&lt;2,5,IF(AC74=1,1,IF(I74=MAX($G74:$J74),4,IF(AC74=2,2,3)))))</f>
        <v>0</v>
      </c>
      <c r="AH74" s="82" t="n">
        <f aca="false">IF(NOT(ISNUMBER(J74)),0,IF($S74&lt;2,5,IF(AD74=1,1,IF(J74=MAX($G74:$J74),4,IF(AD74=2,2,3)))))</f>
        <v>5</v>
      </c>
      <c r="AI74" s="83" t="n">
        <f aca="false">IF($S74&gt;=2,IF(ISNUMBER(G74),G74*$F74,MIN($G74:$J74)*$F74),0)</f>
        <v>0</v>
      </c>
      <c r="AJ74" s="83" t="n">
        <f aca="false">IF($S74&gt;=2,IF(ISNUMBER(H74),H74*$F74,MIN($G74:$J74)*$F74),0)</f>
        <v>0</v>
      </c>
      <c r="AK74" s="83" t="n">
        <f aca="false">IF($S74&gt;=2,IF(ISNUMBER(I74),I74*$F74,MIN($G74:$J74)*$F74),0)</f>
        <v>0</v>
      </c>
      <c r="AL74" s="83" t="n">
        <f aca="false">IF($S74&gt;=2,IF(ISNUMBER(J74),J74*$F74,MIN($G74:$J74)*$F74),0)</f>
        <v>0</v>
      </c>
      <c r="AM74" s="84" t="str">
        <f aca="false">IF($S74&gt;=2,$R74+ROW()/1000000,"")</f>
        <v/>
      </c>
      <c r="AN74" s="83" t="str">
        <f aca="false">IF($S74&gt;=2,MAX(G74:J74),"")</f>
        <v/>
      </c>
      <c r="AO74" s="82" t="str">
        <f aca="false">IF($S74&gt;=2,INDEX($G$6:$J$6,MATCH(MAX(G74:J74),G74:J74,0)),"")</f>
        <v/>
      </c>
      <c r="AP74" s="83" t="n">
        <f aca="false">IF($S74&gt;=2,MIN(G74:J74)*$F74,0)</f>
        <v>0</v>
      </c>
      <c r="AQ74" s="82" t="str">
        <f aca="false">IF($S74&gt;=2,INDEX($G$6:$J$6,MATCH(MIN(G74:J74),G74:J74,0)),"")</f>
        <v/>
      </c>
    </row>
    <row r="75" customFormat="false" ht="15" hidden="false" customHeight="true" outlineLevel="0" collapsed="false">
      <c r="A75" s="70" t="s">
        <v>284</v>
      </c>
      <c r="B75" s="71" t="s">
        <v>130</v>
      </c>
      <c r="C75" s="72" t="s">
        <v>240</v>
      </c>
      <c r="D75" s="73" t="s">
        <v>285</v>
      </c>
      <c r="E75" s="74" t="s">
        <v>133</v>
      </c>
      <c r="F75" s="75" t="n">
        <v>1</v>
      </c>
      <c r="G75" s="76" t="n">
        <f aca="false">IF(COUNTIF('Quote Lines'!$P$3:$P$805,$A75&amp;"|"&amp;G$6&amp;"|1")=0,"—",SUMIFS('Quote Lines'!$O$3:$O$805,'Quote Lines'!$P$3:$P$805,$A75&amp;"|"&amp;G$6&amp;"|1")/SUMIFS('Quote Lines'!$L$3:$L$805,'Quote Lines'!$P$3:$P$805,$A75&amp;"|"&amp;G$6&amp;"|1"))</f>
        <v>435.11</v>
      </c>
      <c r="H75" s="76" t="n">
        <f aca="false">IF(COUNTIF('Quote Lines'!$P$3:$P$805,$A75&amp;"|"&amp;H$6&amp;"|1")=0,"—",SUMIFS('Quote Lines'!$O$3:$O$805,'Quote Lines'!$P$3:$P$805,$A75&amp;"|"&amp;H$6&amp;"|1")/SUMIFS('Quote Lines'!$L$3:$L$805,'Quote Lines'!$P$3:$P$805,$A75&amp;"|"&amp;H$6&amp;"|1"))</f>
        <v>352.89</v>
      </c>
      <c r="I75" s="76" t="n">
        <f aca="false">IF(COUNTIF('Quote Lines'!$P$3:$P$805,$A75&amp;"|"&amp;I$6&amp;"|1")=0,"—",SUMIFS('Quote Lines'!$O$3:$O$805,'Quote Lines'!$P$3:$P$805,$A75&amp;"|"&amp;I$6&amp;"|1")/SUMIFS('Quote Lines'!$L$3:$L$805,'Quote Lines'!$P$3:$P$805,$A75&amp;"|"&amp;I$6&amp;"|1"))</f>
        <v>365.89</v>
      </c>
      <c r="J75" s="76" t="n">
        <f aca="false">IF(COUNTIF('Quote Lines'!$P$3:$P$805,$A75&amp;"|"&amp;J$6&amp;"|1")=0,"—",SUMIFS('Quote Lines'!$O$3:$O$805,'Quote Lines'!$P$3:$P$805,$A75&amp;"|"&amp;J$6&amp;"|1")/SUMIFS('Quote Lines'!$L$3:$L$805,'Quote Lines'!$P$3:$P$805,$A75&amp;"|"&amp;J$6&amp;"|1"))</f>
        <v>417.45</v>
      </c>
      <c r="K75" s="14" t="n">
        <f aca="false">IF(ISNUMBER(G75),G75*$F75,"—")</f>
        <v>435.11</v>
      </c>
      <c r="L75" s="14" t="n">
        <f aca="false">IF(ISNUMBER(H75),H75*$F75,"—")</f>
        <v>352.89</v>
      </c>
      <c r="M75" s="14" t="n">
        <f aca="false">IF(ISNUMBER(I75),I75*$F75,"—")</f>
        <v>365.89</v>
      </c>
      <c r="N75" s="14" t="n">
        <f aca="false">IF(ISNUMBER(J75),J75*$F75,"—")</f>
        <v>417.45</v>
      </c>
      <c r="O75" s="77" t="n">
        <f aca="false">IF($S75=0,"—",MIN(G75:J75))</f>
        <v>352.89</v>
      </c>
      <c r="P75" s="42" t="str">
        <f aca="false">IF($S75=0,"—",IF(COUNTIF(G75:J75,O75)&gt;1,"Tie",INDEX($G$6:$J$6,MATCH(O75,G75:J75,0))))</f>
        <v>HD Fowler</v>
      </c>
      <c r="Q75" s="48" t="n">
        <f aca="false">IF($S75&gt;=2,MAX(G75:J75)/MIN(G75:J75)-1,"—")</f>
        <v>0.232990450281958</v>
      </c>
      <c r="R75" s="78" t="n">
        <f aca="false">IF($S75&gt;=2,(MAX(G75:J75)-MIN(G75:J75))*$F75,"—")</f>
        <v>82.22</v>
      </c>
      <c r="S75" s="18" t="n">
        <f aca="false">COUNT(G75:J75)</f>
        <v>4</v>
      </c>
      <c r="T75" s="79" t="str">
        <f aca="false">IF($S75&lt;=1,IF($S75=1,"Single quote","—"),"Alt spec – verify")</f>
        <v>Alt spec – verify</v>
      </c>
      <c r="U75" s="79" t="str">
        <f aca="false">IF(COUNT(W75:Z75)&lt;2,"",IF(MAX(W75:Z75)=MIN(W75:Z75),"OK","Qty differs"))</f>
        <v>OK</v>
      </c>
      <c r="V75" s="80" t="s">
        <v>286</v>
      </c>
      <c r="W75" s="81" t="n">
        <f aca="false">IF(COUNTIFS('Quote Lines'!$P$3:$P$805,$A75&amp;"|"&amp;G$6&amp;"|1",'Quote Lines'!$M$3:$M$805,"Y")=0,"",SUMIFS('Quote Lines'!$L$3:$L$805,'Quote Lines'!$P$3:$P$805,$A75&amp;"|"&amp;G$6&amp;"|1",'Quote Lines'!$M$3:$M$805,"Y"))</f>
        <v>1</v>
      </c>
      <c r="X75" s="81" t="n">
        <f aca="false">IF(COUNTIFS('Quote Lines'!$P$3:$P$805,$A75&amp;"|"&amp;H$6&amp;"|1",'Quote Lines'!$M$3:$M$805,"Y")=0,"",SUMIFS('Quote Lines'!$L$3:$L$805,'Quote Lines'!$P$3:$P$805,$A75&amp;"|"&amp;H$6&amp;"|1",'Quote Lines'!$M$3:$M$805,"Y"))</f>
        <v>1</v>
      </c>
      <c r="Y75" s="81" t="n">
        <f aca="false">IF(COUNTIFS('Quote Lines'!$P$3:$P$805,$A75&amp;"|"&amp;I$6&amp;"|1",'Quote Lines'!$M$3:$M$805,"Y")=0,"",SUMIFS('Quote Lines'!$L$3:$L$805,'Quote Lines'!$P$3:$P$805,$A75&amp;"|"&amp;I$6&amp;"|1",'Quote Lines'!$M$3:$M$805,"Y"))</f>
        <v>1</v>
      </c>
      <c r="Z75" s="81" t="n">
        <f aca="false">IF(COUNTIFS('Quote Lines'!$P$3:$P$805,$A75&amp;"|"&amp;J$6&amp;"|1",'Quote Lines'!$M$3:$M$805,"Y")=0,"",SUMIFS('Quote Lines'!$L$3:$L$805,'Quote Lines'!$P$3:$P$805,$A75&amp;"|"&amp;J$6&amp;"|1",'Quote Lines'!$M$3:$M$805,"Y"))</f>
        <v>1</v>
      </c>
      <c r="AA75" s="82" t="n">
        <f aca="false">IF(ISNUMBER(G75),1+SUMPRODUCT(ISNUMBER($G75:$J75)*($G75:$J75&lt;G75)),"")</f>
        <v>4</v>
      </c>
      <c r="AB75" s="82" t="n">
        <f aca="false">IF(ISNUMBER(H75),1+SUMPRODUCT(ISNUMBER($G75:$J75)*($G75:$J75&lt;H75)),"")</f>
        <v>1</v>
      </c>
      <c r="AC75" s="82" t="n">
        <f aca="false">IF(ISNUMBER(I75),1+SUMPRODUCT(ISNUMBER($G75:$J75)*($G75:$J75&lt;I75)),"")</f>
        <v>2</v>
      </c>
      <c r="AD75" s="82" t="n">
        <f aca="false">IF(ISNUMBER(J75),1+SUMPRODUCT(ISNUMBER($G75:$J75)*($G75:$J75&lt;J75)),"")</f>
        <v>3</v>
      </c>
      <c r="AE75" s="82" t="n">
        <f aca="false">IF(NOT(ISNUMBER(G75)),0,IF($S75&lt;2,5,IF(AA75=1,1,IF(G75=MAX($G75:$J75),4,IF(AA75=2,2,3)))))</f>
        <v>4</v>
      </c>
      <c r="AF75" s="82" t="n">
        <f aca="false">IF(NOT(ISNUMBER(H75)),0,IF($S75&lt;2,5,IF(AB75=1,1,IF(H75=MAX($G75:$J75),4,IF(AB75=2,2,3)))))</f>
        <v>1</v>
      </c>
      <c r="AG75" s="82" t="n">
        <f aca="false">IF(NOT(ISNUMBER(I75)),0,IF($S75&lt;2,5,IF(AC75=1,1,IF(I75=MAX($G75:$J75),4,IF(AC75=2,2,3)))))</f>
        <v>2</v>
      </c>
      <c r="AH75" s="82" t="n">
        <f aca="false">IF(NOT(ISNUMBER(J75)),0,IF($S75&lt;2,5,IF(AD75=1,1,IF(J75=MAX($G75:$J75),4,IF(AD75=2,2,3)))))</f>
        <v>3</v>
      </c>
      <c r="AI75" s="83" t="n">
        <f aca="false">IF($S75&gt;=2,IF(ISNUMBER(G75),G75*$F75,MIN($G75:$J75)*$F75),0)</f>
        <v>435.11</v>
      </c>
      <c r="AJ75" s="83" t="n">
        <f aca="false">IF($S75&gt;=2,IF(ISNUMBER(H75),H75*$F75,MIN($G75:$J75)*$F75),0)</f>
        <v>352.89</v>
      </c>
      <c r="AK75" s="83" t="n">
        <f aca="false">IF($S75&gt;=2,IF(ISNUMBER(I75),I75*$F75,MIN($G75:$J75)*$F75),0)</f>
        <v>365.89</v>
      </c>
      <c r="AL75" s="83" t="n">
        <f aca="false">IF($S75&gt;=2,IF(ISNUMBER(J75),J75*$F75,MIN($G75:$J75)*$F75),0)</f>
        <v>417.45</v>
      </c>
      <c r="AM75" s="84" t="n">
        <f aca="false">IF($S75&gt;=2,$R75+ROW()/1000000,"")</f>
        <v>82.220075</v>
      </c>
      <c r="AN75" s="83" t="n">
        <f aca="false">IF($S75&gt;=2,MAX(G75:J75),"")</f>
        <v>435.11</v>
      </c>
      <c r="AO75" s="82" t="str">
        <f aca="false">IF($S75&gt;=2,INDEX($G$6:$J$6,MATCH(MAX(G75:J75),G75:J75,0)),"")</f>
        <v>Ferguson</v>
      </c>
      <c r="AP75" s="83" t="n">
        <f aca="false">IF($S75&gt;=2,MIN(G75:J75)*$F75,0)</f>
        <v>352.89</v>
      </c>
      <c r="AQ75" s="82" t="str">
        <f aca="false">IF($S75&gt;=2,INDEX($G$6:$J$6,MATCH(MIN(G75:J75),G75:J75,0)),"")</f>
        <v>HD Fowler</v>
      </c>
    </row>
    <row r="76" customFormat="false" ht="15" hidden="false" customHeight="true" outlineLevel="0" collapsed="false">
      <c r="A76" s="70" t="s">
        <v>287</v>
      </c>
      <c r="B76" s="71" t="s">
        <v>130</v>
      </c>
      <c r="C76" s="72" t="s">
        <v>240</v>
      </c>
      <c r="D76" s="73" t="s">
        <v>288</v>
      </c>
      <c r="E76" s="74" t="s">
        <v>133</v>
      </c>
      <c r="F76" s="75" t="n">
        <v>1</v>
      </c>
      <c r="G76" s="76" t="n">
        <f aca="false">IF(COUNTIF('Quote Lines'!$P$3:$P$805,$A76&amp;"|"&amp;G$6&amp;"|1")=0,"—",SUMIFS('Quote Lines'!$O$3:$O$805,'Quote Lines'!$P$3:$P$805,$A76&amp;"|"&amp;G$6&amp;"|1")/SUMIFS('Quote Lines'!$L$3:$L$805,'Quote Lines'!$P$3:$P$805,$A76&amp;"|"&amp;G$6&amp;"|1"))</f>
        <v>1871.76</v>
      </c>
      <c r="H76" s="85" t="s">
        <v>138</v>
      </c>
      <c r="I76" s="85" t="s">
        <v>138</v>
      </c>
      <c r="J76" s="76" t="n">
        <f aca="false">IF(COUNTIF('Quote Lines'!$P$3:$P$805,$A76&amp;"|"&amp;J$6&amp;"|1")=0,"—",SUMIFS('Quote Lines'!$O$3:$O$805,'Quote Lines'!$P$3:$P$805,$A76&amp;"|"&amp;J$6&amp;"|1")/SUMIFS('Quote Lines'!$L$3:$L$805,'Quote Lines'!$P$3:$P$805,$A76&amp;"|"&amp;J$6&amp;"|1"))</f>
        <v>40.02</v>
      </c>
      <c r="K76" s="14" t="n">
        <f aca="false">IF(ISNUMBER(G76),G76*$F76,"—")</f>
        <v>1871.76</v>
      </c>
      <c r="L76" s="14" t="str">
        <f aca="false">IF(ISNUMBER(H76),H76*$F76,"—")</f>
        <v>—</v>
      </c>
      <c r="M76" s="14" t="str">
        <f aca="false">IF(ISNUMBER(I76),I76*$F76,"—")</f>
        <v>—</v>
      </c>
      <c r="N76" s="14" t="n">
        <f aca="false">IF(ISNUMBER(J76),J76*$F76,"—")</f>
        <v>40.02</v>
      </c>
      <c r="O76" s="77" t="n">
        <f aca="false">IF($S76=0,"—",MIN(G76:J76))</f>
        <v>40.02</v>
      </c>
      <c r="P76" s="42" t="str">
        <f aca="false">IF($S76=0,"—",IF(COUNTIF(G76:J76,O76)&gt;1,"Tie",INDEX($G$6:$J$6,MATCH(O76,G76:J76,0))))</f>
        <v>Scholzen</v>
      </c>
      <c r="Q76" s="48" t="n">
        <f aca="false">IF($S76&gt;=2,MAX(G76:J76)/MIN(G76:J76)-1,"—")</f>
        <v>45.7706146926537</v>
      </c>
      <c r="R76" s="78" t="n">
        <f aca="false">IF($S76&gt;=2,(MAX(G76:J76)-MIN(G76:J76))*$F76,"—")</f>
        <v>1831.74</v>
      </c>
      <c r="S76" s="18" t="n">
        <f aca="false">COUNT(G76:J76)</f>
        <v>2</v>
      </c>
      <c r="T76" s="79" t="str">
        <f aca="false">IF($S76&lt;=1,IF($S76=1,"Single quote","—"),"Like-for-like")</f>
        <v>Like-for-like</v>
      </c>
      <c r="U76" s="79" t="str">
        <f aca="false">IF(COUNT(W76:Z76)&lt;2,"",IF(MAX(W76:Z76)=MIN(W76:Z76),"OK","Qty differs"))</f>
        <v>OK</v>
      </c>
      <c r="V76" s="80" t="s">
        <v>289</v>
      </c>
      <c r="W76" s="81" t="n">
        <f aca="false">IF(COUNTIFS('Quote Lines'!$P$3:$P$805,$A76&amp;"|"&amp;G$6&amp;"|1",'Quote Lines'!$M$3:$M$805,"Y")=0,"",SUMIFS('Quote Lines'!$L$3:$L$805,'Quote Lines'!$P$3:$P$805,$A76&amp;"|"&amp;G$6&amp;"|1",'Quote Lines'!$M$3:$M$805,"Y"))</f>
        <v>1</v>
      </c>
      <c r="X76" s="81"/>
      <c r="Y76" s="81"/>
      <c r="Z76" s="81" t="n">
        <f aca="false">IF(COUNTIFS('Quote Lines'!$P$3:$P$805,$A76&amp;"|"&amp;J$6&amp;"|1",'Quote Lines'!$M$3:$M$805,"Y")=0,"",SUMIFS('Quote Lines'!$L$3:$L$805,'Quote Lines'!$P$3:$P$805,$A76&amp;"|"&amp;J$6&amp;"|1",'Quote Lines'!$M$3:$M$805,"Y"))</f>
        <v>1</v>
      </c>
      <c r="AA76" s="82" t="n">
        <f aca="false">IF(ISNUMBER(G76),1+SUMPRODUCT(ISNUMBER($G76:$J76)*($G76:$J76&lt;G76)),"")</f>
        <v>2</v>
      </c>
      <c r="AB76" s="82" t="str">
        <f aca="false">IF(ISNUMBER(H76),1+SUMPRODUCT(ISNUMBER($G76:$J76)*($G76:$J76&lt;H76)),"")</f>
        <v/>
      </c>
      <c r="AC76" s="82" t="str">
        <f aca="false">IF(ISNUMBER(I76),1+SUMPRODUCT(ISNUMBER($G76:$J76)*($G76:$J76&lt;I76)),"")</f>
        <v/>
      </c>
      <c r="AD76" s="82" t="n">
        <f aca="false">IF(ISNUMBER(J76),1+SUMPRODUCT(ISNUMBER($G76:$J76)*($G76:$J76&lt;J76)),"")</f>
        <v>1</v>
      </c>
      <c r="AE76" s="82" t="n">
        <f aca="false">IF(NOT(ISNUMBER(G76)),0,IF($S76&lt;2,5,IF(AA76=1,1,IF(G76=MAX($G76:$J76),4,IF(AA76=2,2,3)))))</f>
        <v>4</v>
      </c>
      <c r="AF76" s="82" t="n">
        <f aca="false">IF(NOT(ISNUMBER(H76)),0,IF($S76&lt;2,5,IF(AB76=1,1,IF(H76=MAX($G76:$J76),4,IF(AB76=2,2,3)))))</f>
        <v>0</v>
      </c>
      <c r="AG76" s="82" t="n">
        <f aca="false">IF(NOT(ISNUMBER(I76)),0,IF($S76&lt;2,5,IF(AC76=1,1,IF(I76=MAX($G76:$J76),4,IF(AC76=2,2,3)))))</f>
        <v>0</v>
      </c>
      <c r="AH76" s="82" t="n">
        <f aca="false">IF(NOT(ISNUMBER(J76)),0,IF($S76&lt;2,5,IF(AD76=1,1,IF(J76=MAX($G76:$J76),4,IF(AD76=2,2,3)))))</f>
        <v>1</v>
      </c>
      <c r="AI76" s="83" t="n">
        <f aca="false">IF($S76&gt;=2,IF(ISNUMBER(G76),G76*$F76,MIN($G76:$J76)*$F76),0)</f>
        <v>1871.76</v>
      </c>
      <c r="AJ76" s="83" t="n">
        <f aca="false">IF($S76&gt;=2,IF(ISNUMBER(H76),H76*$F76,MIN($G76:$J76)*$F76),0)</f>
        <v>40.02</v>
      </c>
      <c r="AK76" s="83" t="n">
        <f aca="false">IF($S76&gt;=2,IF(ISNUMBER(I76),I76*$F76,MIN($G76:$J76)*$F76),0)</f>
        <v>40.02</v>
      </c>
      <c r="AL76" s="83" t="n">
        <f aca="false">IF($S76&gt;=2,IF(ISNUMBER(J76),J76*$F76,MIN($G76:$J76)*$F76),0)</f>
        <v>40.02</v>
      </c>
      <c r="AM76" s="84" t="n">
        <f aca="false">IF($S76&gt;=2,$R76+ROW()/1000000,"")</f>
        <v>1831.740076</v>
      </c>
      <c r="AN76" s="83" t="n">
        <f aca="false">IF($S76&gt;=2,MAX(G76:J76),"")</f>
        <v>1871.76</v>
      </c>
      <c r="AO76" s="82" t="str">
        <f aca="false">IF($S76&gt;=2,INDEX($G$6:$J$6,MATCH(MAX(G76:J76),G76:J76,0)),"")</f>
        <v>Ferguson</v>
      </c>
      <c r="AP76" s="83" t="n">
        <f aca="false">IF($S76&gt;=2,MIN(G76:J76)*$F76,0)</f>
        <v>40.02</v>
      </c>
      <c r="AQ76" s="82" t="str">
        <f aca="false">IF($S76&gt;=2,INDEX($G$6:$J$6,MATCH(MIN(G76:J76),G76:J76,0)),"")</f>
        <v>Scholzen</v>
      </c>
    </row>
    <row r="77" customFormat="false" ht="15" hidden="false" customHeight="true" outlineLevel="0" collapsed="false">
      <c r="A77" s="70" t="s">
        <v>290</v>
      </c>
      <c r="B77" s="71" t="s">
        <v>130</v>
      </c>
      <c r="C77" s="72" t="s">
        <v>240</v>
      </c>
      <c r="D77" s="73" t="s">
        <v>291</v>
      </c>
      <c r="E77" s="74" t="s">
        <v>133</v>
      </c>
      <c r="F77" s="75" t="n">
        <v>1</v>
      </c>
      <c r="G77" s="85" t="s">
        <v>138</v>
      </c>
      <c r="H77" s="85" t="s">
        <v>138</v>
      </c>
      <c r="I77" s="76" t="n">
        <f aca="false">IF(COUNTIF('Quote Lines'!$P$3:$P$805,$A77&amp;"|"&amp;I$6&amp;"|1")=0,"—",SUMIFS('Quote Lines'!$O$3:$O$805,'Quote Lines'!$P$3:$P$805,$A77&amp;"|"&amp;I$6&amp;"|1")/SUMIFS('Quote Lines'!$L$3:$L$805,'Quote Lines'!$P$3:$P$805,$A77&amp;"|"&amp;I$6&amp;"|1"))</f>
        <v>687.5</v>
      </c>
      <c r="J77" s="85" t="s">
        <v>138</v>
      </c>
      <c r="K77" s="14" t="str">
        <f aca="false">IF(ISNUMBER(G77),G77*$F77,"—")</f>
        <v>—</v>
      </c>
      <c r="L77" s="14" t="str">
        <f aca="false">IF(ISNUMBER(H77),H77*$F77,"—")</f>
        <v>—</v>
      </c>
      <c r="M77" s="14" t="n">
        <f aca="false">IF(ISNUMBER(I77),I77*$F77,"—")</f>
        <v>687.5</v>
      </c>
      <c r="N77" s="14" t="str">
        <f aca="false">IF(ISNUMBER(J77),J77*$F77,"—")</f>
        <v>—</v>
      </c>
      <c r="O77" s="77" t="n">
        <f aca="false">IF($S77=0,"—",MIN(G77:J77))</f>
        <v>687.5</v>
      </c>
      <c r="P77" s="42" t="str">
        <f aca="false">IF($S77=0,"—",IF(COUNTIF(G77:J77,O77)&gt;1,"Tie",INDEX($G$6:$J$6,MATCH(O77,G77:J77,0))))</f>
        <v>Mountainland</v>
      </c>
      <c r="Q77" s="48" t="str">
        <f aca="false">IF($S77&gt;=2,MAX(G77:J77)/MIN(G77:J77)-1,"—")</f>
        <v>—</v>
      </c>
      <c r="R77" s="78" t="str">
        <f aca="false">IF($S77&gt;=2,(MAX(G77:J77)-MIN(G77:J77))*$F77,"—")</f>
        <v>—</v>
      </c>
      <c r="S77" s="18" t="n">
        <f aca="false">COUNT(G77:J77)</f>
        <v>1</v>
      </c>
      <c r="T77" s="79" t="str">
        <f aca="false">IF($S77&lt;=1,IF($S77=1,"Single quote","—"),"Like-for-like")</f>
        <v>Single quote</v>
      </c>
      <c r="U77" s="79" t="str">
        <f aca="false">IF(COUNT(W77:Z77)&lt;2,"",IF(MAX(W77:Z77)=MIN(W77:Z77),"OK","Qty differs"))</f>
        <v/>
      </c>
      <c r="V77" s="80" t="s">
        <v>292</v>
      </c>
      <c r="W77" s="81"/>
      <c r="X77" s="81"/>
      <c r="Y77" s="81" t="n">
        <f aca="false">IF(COUNTIFS('Quote Lines'!$P$3:$P$805,$A77&amp;"|"&amp;I$6&amp;"|1",'Quote Lines'!$M$3:$M$805,"Y")=0,"",SUMIFS('Quote Lines'!$L$3:$L$805,'Quote Lines'!$P$3:$P$805,$A77&amp;"|"&amp;I$6&amp;"|1",'Quote Lines'!$M$3:$M$805,"Y"))</f>
        <v>1</v>
      </c>
      <c r="Z77" s="81"/>
      <c r="AA77" s="82" t="str">
        <f aca="false">IF(ISNUMBER(G77),1+SUMPRODUCT(ISNUMBER($G77:$J77)*($G77:$J77&lt;G77)),"")</f>
        <v/>
      </c>
      <c r="AB77" s="82" t="str">
        <f aca="false">IF(ISNUMBER(H77),1+SUMPRODUCT(ISNUMBER($G77:$J77)*($G77:$J77&lt;H77)),"")</f>
        <v/>
      </c>
      <c r="AC77" s="82" t="n">
        <f aca="false">IF(ISNUMBER(I77),1+SUMPRODUCT(ISNUMBER($G77:$J77)*($G77:$J77&lt;I77)),"")</f>
        <v>1</v>
      </c>
      <c r="AD77" s="82" t="str">
        <f aca="false">IF(ISNUMBER(J77),1+SUMPRODUCT(ISNUMBER($G77:$J77)*($G77:$J77&lt;J77)),"")</f>
        <v/>
      </c>
      <c r="AE77" s="82" t="n">
        <f aca="false">IF(NOT(ISNUMBER(G77)),0,IF($S77&lt;2,5,IF(AA77=1,1,IF(G77=MAX($G77:$J77),4,IF(AA77=2,2,3)))))</f>
        <v>0</v>
      </c>
      <c r="AF77" s="82" t="n">
        <f aca="false">IF(NOT(ISNUMBER(H77)),0,IF($S77&lt;2,5,IF(AB77=1,1,IF(H77=MAX($G77:$J77),4,IF(AB77=2,2,3)))))</f>
        <v>0</v>
      </c>
      <c r="AG77" s="82" t="n">
        <f aca="false">IF(NOT(ISNUMBER(I77)),0,IF($S77&lt;2,5,IF(AC77=1,1,IF(I77=MAX($G77:$J77),4,IF(AC77=2,2,3)))))</f>
        <v>5</v>
      </c>
      <c r="AH77" s="82" t="n">
        <f aca="false">IF(NOT(ISNUMBER(J77)),0,IF($S77&lt;2,5,IF(AD77=1,1,IF(J77=MAX($G77:$J77),4,IF(AD77=2,2,3)))))</f>
        <v>0</v>
      </c>
      <c r="AI77" s="83" t="n">
        <f aca="false">IF($S77&gt;=2,IF(ISNUMBER(G77),G77*$F77,MIN($G77:$J77)*$F77),0)</f>
        <v>0</v>
      </c>
      <c r="AJ77" s="83" t="n">
        <f aca="false">IF($S77&gt;=2,IF(ISNUMBER(H77),H77*$F77,MIN($G77:$J77)*$F77),0)</f>
        <v>0</v>
      </c>
      <c r="AK77" s="83" t="n">
        <f aca="false">IF($S77&gt;=2,IF(ISNUMBER(I77),I77*$F77,MIN($G77:$J77)*$F77),0)</f>
        <v>0</v>
      </c>
      <c r="AL77" s="83" t="n">
        <f aca="false">IF($S77&gt;=2,IF(ISNUMBER(J77),J77*$F77,MIN($G77:$J77)*$F77),0)</f>
        <v>0</v>
      </c>
      <c r="AM77" s="84" t="str">
        <f aca="false">IF($S77&gt;=2,$R77+ROW()/1000000,"")</f>
        <v/>
      </c>
      <c r="AN77" s="83" t="str">
        <f aca="false">IF($S77&gt;=2,MAX(G77:J77),"")</f>
        <v/>
      </c>
      <c r="AO77" s="82" t="str">
        <f aca="false">IF($S77&gt;=2,INDEX($G$6:$J$6,MATCH(MAX(G77:J77),G77:J77,0)),"")</f>
        <v/>
      </c>
      <c r="AP77" s="83" t="n">
        <f aca="false">IF($S77&gt;=2,MIN(G77:J77)*$F77,0)</f>
        <v>0</v>
      </c>
      <c r="AQ77" s="82" t="str">
        <f aca="false">IF($S77&gt;=2,INDEX($G$6:$J$6,MATCH(MIN(G77:J77),G77:J77,0)),"")</f>
        <v/>
      </c>
    </row>
    <row r="78" customFormat="false" ht="15" hidden="false" customHeight="true" outlineLevel="0" collapsed="false">
      <c r="A78" s="70" t="s">
        <v>293</v>
      </c>
      <c r="B78" s="71" t="s">
        <v>130</v>
      </c>
      <c r="C78" s="72" t="s">
        <v>294</v>
      </c>
      <c r="D78" s="73" t="s">
        <v>295</v>
      </c>
      <c r="E78" s="74" t="s">
        <v>133</v>
      </c>
      <c r="F78" s="75" t="n">
        <v>2</v>
      </c>
      <c r="G78" s="76" t="n">
        <f aca="false">IF(COUNTIF('Quote Lines'!$P$3:$P$805,$A78&amp;"|"&amp;G$6&amp;"|1")=0,"—",SUMIFS('Quote Lines'!$O$3:$O$805,'Quote Lines'!$P$3:$P$805,$A78&amp;"|"&amp;G$6&amp;"|1")/SUMIFS('Quote Lines'!$L$3:$L$805,'Quote Lines'!$P$3:$P$805,$A78&amp;"|"&amp;G$6&amp;"|1"))</f>
        <v>232.95</v>
      </c>
      <c r="H78" s="76" t="n">
        <f aca="false">IF(COUNTIF('Quote Lines'!$P$3:$P$805,$A78&amp;"|"&amp;H$6&amp;"|1")=0,"—",SUMIFS('Quote Lines'!$O$3:$O$805,'Quote Lines'!$P$3:$P$805,$A78&amp;"|"&amp;H$6&amp;"|1")/SUMIFS('Quote Lines'!$L$3:$L$805,'Quote Lines'!$P$3:$P$805,$A78&amp;"|"&amp;H$6&amp;"|1"))</f>
        <v>345.91</v>
      </c>
      <c r="I78" s="76" t="n">
        <f aca="false">IF(COUNTIF('Quote Lines'!$P$3:$P$805,$A78&amp;"|"&amp;I$6&amp;"|1")=0,"—",SUMIFS('Quote Lines'!$O$3:$O$805,'Quote Lines'!$P$3:$P$805,$A78&amp;"|"&amp;I$6&amp;"|1")/SUMIFS('Quote Lines'!$L$3:$L$805,'Quote Lines'!$P$3:$P$805,$A78&amp;"|"&amp;I$6&amp;"|1"))</f>
        <v>241.18</v>
      </c>
      <c r="J78" s="76" t="n">
        <f aca="false">IF(COUNTIF('Quote Lines'!$P$3:$P$805,$A78&amp;"|"&amp;J$6&amp;"|1")=0,"—",SUMIFS('Quote Lines'!$O$3:$O$805,'Quote Lines'!$P$3:$P$805,$A78&amp;"|"&amp;J$6&amp;"|1")/SUMIFS('Quote Lines'!$L$3:$L$805,'Quote Lines'!$P$3:$P$805,$A78&amp;"|"&amp;J$6&amp;"|1"))</f>
        <v>399.53</v>
      </c>
      <c r="K78" s="14" t="n">
        <f aca="false">IF(ISNUMBER(G78),G78*$F78,"—")</f>
        <v>465.9</v>
      </c>
      <c r="L78" s="14" t="n">
        <f aca="false">IF(ISNUMBER(H78),H78*$F78,"—")</f>
        <v>691.82</v>
      </c>
      <c r="M78" s="14" t="n">
        <f aca="false">IF(ISNUMBER(I78),I78*$F78,"—")</f>
        <v>482.36</v>
      </c>
      <c r="N78" s="14" t="n">
        <f aca="false">IF(ISNUMBER(J78),J78*$F78,"—")</f>
        <v>799.06</v>
      </c>
      <c r="O78" s="77" t="n">
        <f aca="false">IF($S78=0,"—",MIN(G78:J78))</f>
        <v>232.95</v>
      </c>
      <c r="P78" s="42" t="str">
        <f aca="false">IF($S78=0,"—",IF(COUNTIF(G78:J78,O78)&gt;1,"Tie",INDEX($G$6:$J$6,MATCH(O78,G78:J78,0))))</f>
        <v>Ferguson</v>
      </c>
      <c r="Q78" s="48" t="n">
        <f aca="false">IF($S78&gt;=2,MAX(G78:J78)/MIN(G78:J78)-1,"—")</f>
        <v>0.715089074908779</v>
      </c>
      <c r="R78" s="78" t="n">
        <f aca="false">IF($S78&gt;=2,(MAX(G78:J78)-MIN(G78:J78))*$F78,"—")</f>
        <v>333.16</v>
      </c>
      <c r="S78" s="18" t="n">
        <f aca="false">COUNT(G78:J78)</f>
        <v>4</v>
      </c>
      <c r="T78" s="79" t="str">
        <f aca="false">IF($S78&lt;=1,IF($S78=1,"Single quote","—"),"Alt spec – verify")</f>
        <v>Alt spec – verify</v>
      </c>
      <c r="U78" s="79" t="str">
        <f aca="false">IF(COUNT(W78:Z78)&lt;2,"",IF(MAX(W78:Z78)=MIN(W78:Z78),"OK","Qty differs"))</f>
        <v>Qty differs</v>
      </c>
      <c r="V78" s="80" t="s">
        <v>296</v>
      </c>
      <c r="W78" s="81" t="n">
        <f aca="false">IF(COUNTIFS('Quote Lines'!$P$3:$P$805,$A78&amp;"|"&amp;G$6&amp;"|1",'Quote Lines'!$M$3:$M$805,"Y")=0,"",SUMIFS('Quote Lines'!$L$3:$L$805,'Quote Lines'!$P$3:$P$805,$A78&amp;"|"&amp;G$6&amp;"|1",'Quote Lines'!$M$3:$M$805,"Y"))</f>
        <v>1</v>
      </c>
      <c r="X78" s="81" t="n">
        <f aca="false">IF(COUNTIFS('Quote Lines'!$P$3:$P$805,$A78&amp;"|"&amp;H$6&amp;"|1",'Quote Lines'!$M$3:$M$805,"Y")=0,"",SUMIFS('Quote Lines'!$L$3:$L$805,'Quote Lines'!$P$3:$P$805,$A78&amp;"|"&amp;H$6&amp;"|1",'Quote Lines'!$M$3:$M$805,"Y"))</f>
        <v>2</v>
      </c>
      <c r="Y78" s="81" t="n">
        <f aca="false">IF(COUNTIFS('Quote Lines'!$P$3:$P$805,$A78&amp;"|"&amp;I$6&amp;"|1",'Quote Lines'!$M$3:$M$805,"Y")=0,"",SUMIFS('Quote Lines'!$L$3:$L$805,'Quote Lines'!$P$3:$P$805,$A78&amp;"|"&amp;I$6&amp;"|1",'Quote Lines'!$M$3:$M$805,"Y"))</f>
        <v>1</v>
      </c>
      <c r="Z78" s="81" t="n">
        <f aca="false">IF(COUNTIFS('Quote Lines'!$P$3:$P$805,$A78&amp;"|"&amp;J$6&amp;"|1",'Quote Lines'!$M$3:$M$805,"Y")=0,"",SUMIFS('Quote Lines'!$L$3:$L$805,'Quote Lines'!$P$3:$P$805,$A78&amp;"|"&amp;J$6&amp;"|1",'Quote Lines'!$M$3:$M$805,"Y"))</f>
        <v>2</v>
      </c>
      <c r="AA78" s="82" t="n">
        <f aca="false">IF(ISNUMBER(G78),1+SUMPRODUCT(ISNUMBER($G78:$J78)*($G78:$J78&lt;G78)),"")</f>
        <v>1</v>
      </c>
      <c r="AB78" s="82" t="n">
        <f aca="false">IF(ISNUMBER(H78),1+SUMPRODUCT(ISNUMBER($G78:$J78)*($G78:$J78&lt;H78)),"")</f>
        <v>3</v>
      </c>
      <c r="AC78" s="82" t="n">
        <f aca="false">IF(ISNUMBER(I78),1+SUMPRODUCT(ISNUMBER($G78:$J78)*($G78:$J78&lt;I78)),"")</f>
        <v>2</v>
      </c>
      <c r="AD78" s="82" t="n">
        <f aca="false">IF(ISNUMBER(J78),1+SUMPRODUCT(ISNUMBER($G78:$J78)*($G78:$J78&lt;J78)),"")</f>
        <v>4</v>
      </c>
      <c r="AE78" s="82" t="n">
        <f aca="false">IF(NOT(ISNUMBER(G78)),0,IF($S78&lt;2,5,IF(AA78=1,1,IF(G78=MAX($G78:$J78),4,IF(AA78=2,2,3)))))</f>
        <v>1</v>
      </c>
      <c r="AF78" s="82" t="n">
        <f aca="false">IF(NOT(ISNUMBER(H78)),0,IF($S78&lt;2,5,IF(AB78=1,1,IF(H78=MAX($G78:$J78),4,IF(AB78=2,2,3)))))</f>
        <v>3</v>
      </c>
      <c r="AG78" s="82" t="n">
        <f aca="false">IF(NOT(ISNUMBER(I78)),0,IF($S78&lt;2,5,IF(AC78=1,1,IF(I78=MAX($G78:$J78),4,IF(AC78=2,2,3)))))</f>
        <v>2</v>
      </c>
      <c r="AH78" s="82" t="n">
        <f aca="false">IF(NOT(ISNUMBER(J78)),0,IF($S78&lt;2,5,IF(AD78=1,1,IF(J78=MAX($G78:$J78),4,IF(AD78=2,2,3)))))</f>
        <v>4</v>
      </c>
      <c r="AI78" s="83" t="n">
        <f aca="false">IF($S78&gt;=2,IF(ISNUMBER(G78),G78*$F78,MIN($G78:$J78)*$F78),0)</f>
        <v>465.9</v>
      </c>
      <c r="AJ78" s="83" t="n">
        <f aca="false">IF($S78&gt;=2,IF(ISNUMBER(H78),H78*$F78,MIN($G78:$J78)*$F78),0)</f>
        <v>691.82</v>
      </c>
      <c r="AK78" s="83" t="n">
        <f aca="false">IF($S78&gt;=2,IF(ISNUMBER(I78),I78*$F78,MIN($G78:$J78)*$F78),0)</f>
        <v>482.36</v>
      </c>
      <c r="AL78" s="83" t="n">
        <f aca="false">IF($S78&gt;=2,IF(ISNUMBER(J78),J78*$F78,MIN($G78:$J78)*$F78),0)</f>
        <v>799.06</v>
      </c>
      <c r="AM78" s="84" t="n">
        <f aca="false">IF($S78&gt;=2,$R78+ROW()/1000000,"")</f>
        <v>333.160078</v>
      </c>
      <c r="AN78" s="83" t="n">
        <f aca="false">IF($S78&gt;=2,MAX(G78:J78),"")</f>
        <v>399.53</v>
      </c>
      <c r="AO78" s="82" t="str">
        <f aca="false">IF($S78&gt;=2,INDEX($G$6:$J$6,MATCH(MAX(G78:J78),G78:J78,0)),"")</f>
        <v>Scholzen</v>
      </c>
      <c r="AP78" s="83" t="n">
        <f aca="false">IF($S78&gt;=2,MIN(G78:J78)*$F78,0)</f>
        <v>465.9</v>
      </c>
      <c r="AQ78" s="82" t="str">
        <f aca="false">IF($S78&gt;=2,INDEX($G$6:$J$6,MATCH(MIN(G78:J78),G78:J78,0)),"")</f>
        <v>Ferguson</v>
      </c>
    </row>
    <row r="79" customFormat="false" ht="15" hidden="false" customHeight="true" outlineLevel="0" collapsed="false">
      <c r="A79" s="70" t="s">
        <v>297</v>
      </c>
      <c r="B79" s="71" t="s">
        <v>130</v>
      </c>
      <c r="C79" s="72" t="s">
        <v>294</v>
      </c>
      <c r="D79" s="73" t="s">
        <v>298</v>
      </c>
      <c r="E79" s="74" t="s">
        <v>133</v>
      </c>
      <c r="F79" s="75" t="n">
        <v>2</v>
      </c>
      <c r="G79" s="76" t="n">
        <f aca="false">IF(COUNTIF('Quote Lines'!$P$3:$P$805,$A79&amp;"|"&amp;G$6&amp;"|1")=0,"—",SUMIFS('Quote Lines'!$O$3:$O$805,'Quote Lines'!$P$3:$P$805,$A79&amp;"|"&amp;G$6&amp;"|1")/SUMIFS('Quote Lines'!$L$3:$L$805,'Quote Lines'!$P$3:$P$805,$A79&amp;"|"&amp;G$6&amp;"|1"))</f>
        <v>276.46</v>
      </c>
      <c r="H79" s="85" t="s">
        <v>138</v>
      </c>
      <c r="I79" s="76" t="n">
        <f aca="false">IF(COUNTIF('Quote Lines'!$P$3:$P$805,$A79&amp;"|"&amp;I$6&amp;"|1")=0,"—",SUMIFS('Quote Lines'!$O$3:$O$805,'Quote Lines'!$P$3:$P$805,$A79&amp;"|"&amp;I$6&amp;"|1")/SUMIFS('Quote Lines'!$L$3:$L$805,'Quote Lines'!$P$3:$P$805,$A79&amp;"|"&amp;I$6&amp;"|1"))</f>
        <v>234.95</v>
      </c>
      <c r="J79" s="76" t="n">
        <f aca="false">IF(COUNTIF('Quote Lines'!$P$3:$P$805,$A79&amp;"|"&amp;J$6&amp;"|1")=0,"—",SUMIFS('Quote Lines'!$O$3:$O$805,'Quote Lines'!$P$3:$P$805,$A79&amp;"|"&amp;J$6&amp;"|1")/SUMIFS('Quote Lines'!$L$3:$L$805,'Quote Lines'!$P$3:$P$805,$A79&amp;"|"&amp;J$6&amp;"|1"))</f>
        <v>315.53</v>
      </c>
      <c r="K79" s="14" t="n">
        <f aca="false">IF(ISNUMBER(G79),G79*$F79,"—")</f>
        <v>552.92</v>
      </c>
      <c r="L79" s="14" t="str">
        <f aca="false">IF(ISNUMBER(H79),H79*$F79,"—")</f>
        <v>—</v>
      </c>
      <c r="M79" s="14" t="n">
        <f aca="false">IF(ISNUMBER(I79),I79*$F79,"—")</f>
        <v>469.9</v>
      </c>
      <c r="N79" s="14" t="n">
        <f aca="false">IF(ISNUMBER(J79),J79*$F79,"—")</f>
        <v>631.06</v>
      </c>
      <c r="O79" s="77" t="n">
        <f aca="false">IF($S79=0,"—",MIN(G79:J79))</f>
        <v>234.95</v>
      </c>
      <c r="P79" s="42" t="str">
        <f aca="false">IF($S79=0,"—",IF(COUNTIF(G79:J79,O79)&gt;1,"Tie",INDEX($G$6:$J$6,MATCH(O79,G79:J79,0))))</f>
        <v>Mountainland</v>
      </c>
      <c r="Q79" s="48" t="n">
        <f aca="false">IF($S79&gt;=2,MAX(G79:J79)/MIN(G79:J79)-1,"—")</f>
        <v>0.34296658863588</v>
      </c>
      <c r="R79" s="78" t="n">
        <f aca="false">IF($S79&gt;=2,(MAX(G79:J79)-MIN(G79:J79))*$F79,"—")</f>
        <v>161.16</v>
      </c>
      <c r="S79" s="18" t="n">
        <f aca="false">COUNT(G79:J79)</f>
        <v>3</v>
      </c>
      <c r="T79" s="79" t="str">
        <f aca="false">IF($S79&lt;=1,IF($S79=1,"Single quote","—"),"Like-for-like")</f>
        <v>Like-for-like</v>
      </c>
      <c r="U79" s="79" t="str">
        <f aca="false">IF(COUNT(W79:Z79)&lt;2,"",IF(MAX(W79:Z79)=MIN(W79:Z79),"OK","Qty differs"))</f>
        <v>Qty differs</v>
      </c>
      <c r="V79" s="80"/>
      <c r="W79" s="81" t="n">
        <f aca="false">IF(COUNTIFS('Quote Lines'!$P$3:$P$805,$A79&amp;"|"&amp;G$6&amp;"|1",'Quote Lines'!$M$3:$M$805,"Y")=0,"",SUMIFS('Quote Lines'!$L$3:$L$805,'Quote Lines'!$P$3:$P$805,$A79&amp;"|"&amp;G$6&amp;"|1",'Quote Lines'!$M$3:$M$805,"Y"))</f>
        <v>1</v>
      </c>
      <c r="X79" s="81"/>
      <c r="Y79" s="81" t="n">
        <f aca="false">IF(COUNTIFS('Quote Lines'!$P$3:$P$805,$A79&amp;"|"&amp;I$6&amp;"|1",'Quote Lines'!$M$3:$M$805,"Y")=0,"",SUMIFS('Quote Lines'!$L$3:$L$805,'Quote Lines'!$P$3:$P$805,$A79&amp;"|"&amp;I$6&amp;"|1",'Quote Lines'!$M$3:$M$805,"Y"))</f>
        <v>2</v>
      </c>
      <c r="Z79" s="81" t="n">
        <f aca="false">IF(COUNTIFS('Quote Lines'!$P$3:$P$805,$A79&amp;"|"&amp;J$6&amp;"|1",'Quote Lines'!$M$3:$M$805,"Y")=0,"",SUMIFS('Quote Lines'!$L$3:$L$805,'Quote Lines'!$P$3:$P$805,$A79&amp;"|"&amp;J$6&amp;"|1",'Quote Lines'!$M$3:$M$805,"Y"))</f>
        <v>2</v>
      </c>
      <c r="AA79" s="82" t="n">
        <f aca="false">IF(ISNUMBER(G79),1+SUMPRODUCT(ISNUMBER($G79:$J79)*($G79:$J79&lt;G79)),"")</f>
        <v>2</v>
      </c>
      <c r="AB79" s="82" t="str">
        <f aca="false">IF(ISNUMBER(H79),1+SUMPRODUCT(ISNUMBER($G79:$J79)*($G79:$J79&lt;H79)),"")</f>
        <v/>
      </c>
      <c r="AC79" s="82" t="n">
        <f aca="false">IF(ISNUMBER(I79),1+SUMPRODUCT(ISNUMBER($G79:$J79)*($G79:$J79&lt;I79)),"")</f>
        <v>1</v>
      </c>
      <c r="AD79" s="82" t="n">
        <f aca="false">IF(ISNUMBER(J79),1+SUMPRODUCT(ISNUMBER($G79:$J79)*($G79:$J79&lt;J79)),"")</f>
        <v>3</v>
      </c>
      <c r="AE79" s="82" t="n">
        <f aca="false">IF(NOT(ISNUMBER(G79)),0,IF($S79&lt;2,5,IF(AA79=1,1,IF(G79=MAX($G79:$J79),4,IF(AA79=2,2,3)))))</f>
        <v>2</v>
      </c>
      <c r="AF79" s="82" t="n">
        <f aca="false">IF(NOT(ISNUMBER(H79)),0,IF($S79&lt;2,5,IF(AB79=1,1,IF(H79=MAX($G79:$J79),4,IF(AB79=2,2,3)))))</f>
        <v>0</v>
      </c>
      <c r="AG79" s="82" t="n">
        <f aca="false">IF(NOT(ISNUMBER(I79)),0,IF($S79&lt;2,5,IF(AC79=1,1,IF(I79=MAX($G79:$J79),4,IF(AC79=2,2,3)))))</f>
        <v>1</v>
      </c>
      <c r="AH79" s="82" t="n">
        <f aca="false">IF(NOT(ISNUMBER(J79)),0,IF($S79&lt;2,5,IF(AD79=1,1,IF(J79=MAX($G79:$J79),4,IF(AD79=2,2,3)))))</f>
        <v>4</v>
      </c>
      <c r="AI79" s="83" t="n">
        <f aca="false">IF($S79&gt;=2,IF(ISNUMBER(G79),G79*$F79,MIN($G79:$J79)*$F79),0)</f>
        <v>552.92</v>
      </c>
      <c r="AJ79" s="83" t="n">
        <f aca="false">IF($S79&gt;=2,IF(ISNUMBER(H79),H79*$F79,MIN($G79:$J79)*$F79),0)</f>
        <v>469.9</v>
      </c>
      <c r="AK79" s="83" t="n">
        <f aca="false">IF($S79&gt;=2,IF(ISNUMBER(I79),I79*$F79,MIN($G79:$J79)*$F79),0)</f>
        <v>469.9</v>
      </c>
      <c r="AL79" s="83" t="n">
        <f aca="false">IF($S79&gt;=2,IF(ISNUMBER(J79),J79*$F79,MIN($G79:$J79)*$F79),0)</f>
        <v>631.06</v>
      </c>
      <c r="AM79" s="84" t="n">
        <f aca="false">IF($S79&gt;=2,$R79+ROW()/1000000,"")</f>
        <v>161.160079</v>
      </c>
      <c r="AN79" s="83" t="n">
        <f aca="false">IF($S79&gt;=2,MAX(G79:J79),"")</f>
        <v>315.53</v>
      </c>
      <c r="AO79" s="82" t="str">
        <f aca="false">IF($S79&gt;=2,INDEX($G$6:$J$6,MATCH(MAX(G79:J79),G79:J79,0)),"")</f>
        <v>Scholzen</v>
      </c>
      <c r="AP79" s="83" t="n">
        <f aca="false">IF($S79&gt;=2,MIN(G79:J79)*$F79,0)</f>
        <v>469.9</v>
      </c>
      <c r="AQ79" s="82" t="str">
        <f aca="false">IF($S79&gt;=2,INDEX($G$6:$J$6,MATCH(MIN(G79:J79),G79:J79,0)),"")</f>
        <v>Mountainland</v>
      </c>
    </row>
    <row r="80" customFormat="false" ht="15" hidden="false" customHeight="true" outlineLevel="0" collapsed="false">
      <c r="A80" s="70" t="s">
        <v>299</v>
      </c>
      <c r="B80" s="71" t="s">
        <v>130</v>
      </c>
      <c r="C80" s="72" t="s">
        <v>294</v>
      </c>
      <c r="D80" s="73" t="s">
        <v>300</v>
      </c>
      <c r="E80" s="74" t="s">
        <v>133</v>
      </c>
      <c r="F80" s="75" t="n">
        <v>6</v>
      </c>
      <c r="G80" s="76" t="n">
        <f aca="false">IF(COUNTIF('Quote Lines'!$P$3:$P$805,$A80&amp;"|"&amp;G$6&amp;"|1")=0,"—",SUMIFS('Quote Lines'!$O$3:$O$805,'Quote Lines'!$P$3:$P$805,$A80&amp;"|"&amp;G$6&amp;"|1")/SUMIFS('Quote Lines'!$L$3:$L$805,'Quote Lines'!$P$3:$P$805,$A80&amp;"|"&amp;G$6&amp;"|1"))</f>
        <v>169.74</v>
      </c>
      <c r="H80" s="76" t="n">
        <f aca="false">IF(COUNTIF('Quote Lines'!$P$3:$P$805,$A80&amp;"|"&amp;H$6&amp;"|1")=0,"—",SUMIFS('Quote Lines'!$O$3:$O$805,'Quote Lines'!$P$3:$P$805,$A80&amp;"|"&amp;H$6&amp;"|1")/SUMIFS('Quote Lines'!$L$3:$L$805,'Quote Lines'!$P$3:$P$805,$A80&amp;"|"&amp;H$6&amp;"|1"))</f>
        <v>167.73</v>
      </c>
      <c r="I80" s="76" t="n">
        <f aca="false">IF(COUNTIF('Quote Lines'!$P$3:$P$805,$A80&amp;"|"&amp;I$6&amp;"|1")=0,"—",SUMIFS('Quote Lines'!$O$3:$O$805,'Quote Lines'!$P$3:$P$805,$A80&amp;"|"&amp;I$6&amp;"|1")/SUMIFS('Quote Lines'!$L$3:$L$805,'Quote Lines'!$P$3:$P$805,$A80&amp;"|"&amp;I$6&amp;"|1"))</f>
        <v>136.47</v>
      </c>
      <c r="J80" s="76" t="n">
        <f aca="false">IF(COUNTIF('Quote Lines'!$P$3:$P$805,$A80&amp;"|"&amp;J$6&amp;"|1")=0,"—",SUMIFS('Quote Lines'!$O$3:$O$805,'Quote Lines'!$P$3:$P$805,$A80&amp;"|"&amp;J$6&amp;"|1")/SUMIFS('Quote Lines'!$L$3:$L$805,'Quote Lines'!$P$3:$P$805,$A80&amp;"|"&amp;J$6&amp;"|1"))</f>
        <v>193.73</v>
      </c>
      <c r="K80" s="14" t="n">
        <f aca="false">IF(ISNUMBER(G80),G80*$F80,"—")</f>
        <v>1018.44</v>
      </c>
      <c r="L80" s="14" t="n">
        <f aca="false">IF(ISNUMBER(H80),H80*$F80,"—")</f>
        <v>1006.38</v>
      </c>
      <c r="M80" s="14" t="n">
        <f aca="false">IF(ISNUMBER(I80),I80*$F80,"—")</f>
        <v>818.82</v>
      </c>
      <c r="N80" s="14" t="n">
        <f aca="false">IF(ISNUMBER(J80),J80*$F80,"—")</f>
        <v>1162.38</v>
      </c>
      <c r="O80" s="77" t="n">
        <f aca="false">IF($S80=0,"—",MIN(G80:J80))</f>
        <v>136.47</v>
      </c>
      <c r="P80" s="42" t="str">
        <f aca="false">IF($S80=0,"—",IF(COUNTIF(G80:J80,O80)&gt;1,"Tie",INDEX($G$6:$J$6,MATCH(O80,G80:J80,0))))</f>
        <v>Mountainland</v>
      </c>
      <c r="Q80" s="48" t="n">
        <f aca="false">IF($S80&gt;=2,MAX(G80:J80)/MIN(G80:J80)-1,"—")</f>
        <v>0.41957939473877</v>
      </c>
      <c r="R80" s="78" t="n">
        <f aca="false">IF($S80&gt;=2,(MAX(G80:J80)-MIN(G80:J80))*$F80,"—")</f>
        <v>343.56</v>
      </c>
      <c r="S80" s="18" t="n">
        <f aca="false">COUNT(G80:J80)</f>
        <v>4</v>
      </c>
      <c r="T80" s="79" t="str">
        <f aca="false">IF($S80&lt;=1,IF($S80=1,"Single quote","—"),"Like-for-like")</f>
        <v>Like-for-like</v>
      </c>
      <c r="U80" s="79" t="str">
        <f aca="false">IF(COUNT(W80:Z80)&lt;2,"",IF(MAX(W80:Z80)=MIN(W80:Z80),"OK","Qty differs"))</f>
        <v>Qty differs</v>
      </c>
      <c r="V80" s="80"/>
      <c r="W80" s="81" t="n">
        <f aca="false">IF(COUNTIFS('Quote Lines'!$P$3:$P$805,$A80&amp;"|"&amp;G$6&amp;"|1",'Quote Lines'!$M$3:$M$805,"Y")=0,"",SUMIFS('Quote Lines'!$L$3:$L$805,'Quote Lines'!$P$3:$P$805,$A80&amp;"|"&amp;G$6&amp;"|1",'Quote Lines'!$M$3:$M$805,"Y"))</f>
        <v>2</v>
      </c>
      <c r="X80" s="81" t="n">
        <f aca="false">IF(COUNTIFS('Quote Lines'!$P$3:$P$805,$A80&amp;"|"&amp;H$6&amp;"|1",'Quote Lines'!$M$3:$M$805,"Y")=0,"",SUMIFS('Quote Lines'!$L$3:$L$805,'Quote Lines'!$P$3:$P$805,$A80&amp;"|"&amp;H$6&amp;"|1",'Quote Lines'!$M$3:$M$805,"Y"))</f>
        <v>10</v>
      </c>
      <c r="Y80" s="81" t="n">
        <f aca="false">IF(COUNTIFS('Quote Lines'!$P$3:$P$805,$A80&amp;"|"&amp;I$6&amp;"|1",'Quote Lines'!$M$3:$M$805,"Y")=0,"",SUMIFS('Quote Lines'!$L$3:$L$805,'Quote Lines'!$P$3:$P$805,$A80&amp;"|"&amp;I$6&amp;"|1",'Quote Lines'!$M$3:$M$805,"Y"))</f>
        <v>1</v>
      </c>
      <c r="Z80" s="81" t="n">
        <f aca="false">IF(COUNTIFS('Quote Lines'!$P$3:$P$805,$A80&amp;"|"&amp;J$6&amp;"|1",'Quote Lines'!$M$3:$M$805,"Y")=0,"",SUMIFS('Quote Lines'!$L$3:$L$805,'Quote Lines'!$P$3:$P$805,$A80&amp;"|"&amp;J$6&amp;"|1",'Quote Lines'!$M$3:$M$805,"Y"))</f>
        <v>6</v>
      </c>
      <c r="AA80" s="82" t="n">
        <f aca="false">IF(ISNUMBER(G80),1+SUMPRODUCT(ISNUMBER($G80:$J80)*($G80:$J80&lt;G80)),"")</f>
        <v>3</v>
      </c>
      <c r="AB80" s="82" t="n">
        <f aca="false">IF(ISNUMBER(H80),1+SUMPRODUCT(ISNUMBER($G80:$J80)*($G80:$J80&lt;H80)),"")</f>
        <v>2</v>
      </c>
      <c r="AC80" s="82" t="n">
        <f aca="false">IF(ISNUMBER(I80),1+SUMPRODUCT(ISNUMBER($G80:$J80)*($G80:$J80&lt;I80)),"")</f>
        <v>1</v>
      </c>
      <c r="AD80" s="82" t="n">
        <f aca="false">IF(ISNUMBER(J80),1+SUMPRODUCT(ISNUMBER($G80:$J80)*($G80:$J80&lt;J80)),"")</f>
        <v>4</v>
      </c>
      <c r="AE80" s="82" t="n">
        <f aca="false">IF(NOT(ISNUMBER(G80)),0,IF($S80&lt;2,5,IF(AA80=1,1,IF(G80=MAX($G80:$J80),4,IF(AA80=2,2,3)))))</f>
        <v>3</v>
      </c>
      <c r="AF80" s="82" t="n">
        <f aca="false">IF(NOT(ISNUMBER(H80)),0,IF($S80&lt;2,5,IF(AB80=1,1,IF(H80=MAX($G80:$J80),4,IF(AB80=2,2,3)))))</f>
        <v>2</v>
      </c>
      <c r="AG80" s="82" t="n">
        <f aca="false">IF(NOT(ISNUMBER(I80)),0,IF($S80&lt;2,5,IF(AC80=1,1,IF(I80=MAX($G80:$J80),4,IF(AC80=2,2,3)))))</f>
        <v>1</v>
      </c>
      <c r="AH80" s="82" t="n">
        <f aca="false">IF(NOT(ISNUMBER(J80)),0,IF($S80&lt;2,5,IF(AD80=1,1,IF(J80=MAX($G80:$J80),4,IF(AD80=2,2,3)))))</f>
        <v>4</v>
      </c>
      <c r="AI80" s="83" t="n">
        <f aca="false">IF($S80&gt;=2,IF(ISNUMBER(G80),G80*$F80,MIN($G80:$J80)*$F80),0)</f>
        <v>1018.44</v>
      </c>
      <c r="AJ80" s="83" t="n">
        <f aca="false">IF($S80&gt;=2,IF(ISNUMBER(H80),H80*$F80,MIN($G80:$J80)*$F80),0)</f>
        <v>1006.38</v>
      </c>
      <c r="AK80" s="83" t="n">
        <f aca="false">IF($S80&gt;=2,IF(ISNUMBER(I80),I80*$F80,MIN($G80:$J80)*$F80),0)</f>
        <v>818.82</v>
      </c>
      <c r="AL80" s="83" t="n">
        <f aca="false">IF($S80&gt;=2,IF(ISNUMBER(J80),J80*$F80,MIN($G80:$J80)*$F80),0)</f>
        <v>1162.38</v>
      </c>
      <c r="AM80" s="84" t="n">
        <f aca="false">IF($S80&gt;=2,$R80+ROW()/1000000,"")</f>
        <v>343.56008</v>
      </c>
      <c r="AN80" s="83" t="n">
        <f aca="false">IF($S80&gt;=2,MAX(G80:J80),"")</f>
        <v>193.73</v>
      </c>
      <c r="AO80" s="82" t="str">
        <f aca="false">IF($S80&gt;=2,INDEX($G$6:$J$6,MATCH(MAX(G80:J80),G80:J80,0)),"")</f>
        <v>Scholzen</v>
      </c>
      <c r="AP80" s="83" t="n">
        <f aca="false">IF($S80&gt;=2,MIN(G80:J80)*$F80,0)</f>
        <v>818.82</v>
      </c>
      <c r="AQ80" s="82" t="str">
        <f aca="false">IF($S80&gt;=2,INDEX($G$6:$J$6,MATCH(MIN(G80:J80),G80:J80,0)),"")</f>
        <v>Mountainland</v>
      </c>
    </row>
    <row r="81" customFormat="false" ht="15" hidden="false" customHeight="true" outlineLevel="0" collapsed="false">
      <c r="A81" s="70" t="s">
        <v>301</v>
      </c>
      <c r="B81" s="71" t="s">
        <v>130</v>
      </c>
      <c r="C81" s="72" t="s">
        <v>294</v>
      </c>
      <c r="D81" s="73" t="s">
        <v>302</v>
      </c>
      <c r="E81" s="74" t="s">
        <v>133</v>
      </c>
      <c r="F81" s="75" t="n">
        <v>6</v>
      </c>
      <c r="G81" s="76" t="n">
        <f aca="false">IF(COUNTIF('Quote Lines'!$P$3:$P$805,$A81&amp;"|"&amp;G$6&amp;"|1")=0,"—",SUMIFS('Quote Lines'!$O$3:$O$805,'Quote Lines'!$P$3:$P$805,$A81&amp;"|"&amp;G$6&amp;"|1")/SUMIFS('Quote Lines'!$L$3:$L$805,'Quote Lines'!$P$3:$P$805,$A81&amp;"|"&amp;G$6&amp;"|1"))</f>
        <v>154.1</v>
      </c>
      <c r="H81" s="85" t="s">
        <v>138</v>
      </c>
      <c r="I81" s="76" t="n">
        <f aca="false">IF(COUNTIF('Quote Lines'!$P$3:$P$805,$A81&amp;"|"&amp;I$6&amp;"|1")=0,"—",SUMIFS('Quote Lines'!$O$3:$O$805,'Quote Lines'!$P$3:$P$805,$A81&amp;"|"&amp;I$6&amp;"|1")/SUMIFS('Quote Lines'!$L$3:$L$805,'Quote Lines'!$P$3:$P$805,$A81&amp;"|"&amp;I$6&amp;"|1"))</f>
        <v>134.1175</v>
      </c>
      <c r="J81" s="76" t="n">
        <f aca="false">IF(COUNTIF('Quote Lines'!$P$3:$P$805,$A81&amp;"|"&amp;J$6&amp;"|1")=0,"—",SUMIFS('Quote Lines'!$O$3:$O$805,'Quote Lines'!$P$3:$P$805,$A81&amp;"|"&amp;J$6&amp;"|1")/SUMIFS('Quote Lines'!$L$3:$L$805,'Quote Lines'!$P$3:$P$805,$A81&amp;"|"&amp;J$6&amp;"|1"))</f>
        <v>175.88</v>
      </c>
      <c r="K81" s="14" t="n">
        <f aca="false">IF(ISNUMBER(G81),G81*$F81,"—")</f>
        <v>924.6</v>
      </c>
      <c r="L81" s="14" t="str">
        <f aca="false">IF(ISNUMBER(H81),H81*$F81,"—")</f>
        <v>—</v>
      </c>
      <c r="M81" s="14" t="n">
        <f aca="false">IF(ISNUMBER(I81),I81*$F81,"—")</f>
        <v>804.705</v>
      </c>
      <c r="N81" s="14" t="n">
        <f aca="false">IF(ISNUMBER(J81),J81*$F81,"—")</f>
        <v>1055.28</v>
      </c>
      <c r="O81" s="77" t="n">
        <f aca="false">IF($S81=0,"—",MIN(G81:J81))</f>
        <v>134.1175</v>
      </c>
      <c r="P81" s="42" t="str">
        <f aca="false">IF($S81=0,"—",IF(COUNTIF(G81:J81,O81)&gt;1,"Tie",INDEX($G$6:$J$6,MATCH(O81,G81:J81,0))))</f>
        <v>Mountainland</v>
      </c>
      <c r="Q81" s="48" t="n">
        <f aca="false">IF($S81&gt;=2,MAX(G81:J81)/MIN(G81:J81)-1,"—")</f>
        <v>0.311387402837064</v>
      </c>
      <c r="R81" s="78" t="n">
        <f aca="false">IF($S81&gt;=2,(MAX(G81:J81)-MIN(G81:J81))*$F81,"—")</f>
        <v>250.575</v>
      </c>
      <c r="S81" s="18" t="n">
        <f aca="false">COUNT(G81:J81)</f>
        <v>3</v>
      </c>
      <c r="T81" s="79" t="str">
        <f aca="false">IF($S81&lt;=1,IF($S81=1,"Single quote","—"),"Like-for-like")</f>
        <v>Like-for-like</v>
      </c>
      <c r="U81" s="79" t="str">
        <f aca="false">IF(COUNT(W81:Z81)&lt;2,"",IF(MAX(W81:Z81)=MIN(W81:Z81),"OK","Qty differs"))</f>
        <v>Qty differs</v>
      </c>
      <c r="V81" s="80"/>
      <c r="W81" s="81" t="n">
        <f aca="false">IF(COUNTIFS('Quote Lines'!$P$3:$P$805,$A81&amp;"|"&amp;G$6&amp;"|1",'Quote Lines'!$M$3:$M$805,"Y")=0,"",SUMIFS('Quote Lines'!$L$3:$L$805,'Quote Lines'!$P$3:$P$805,$A81&amp;"|"&amp;G$6&amp;"|1",'Quote Lines'!$M$3:$M$805,"Y"))</f>
        <v>13</v>
      </c>
      <c r="X81" s="81"/>
      <c r="Y81" s="81" t="n">
        <f aca="false">IF(COUNTIFS('Quote Lines'!$P$3:$P$805,$A81&amp;"|"&amp;I$6&amp;"|1",'Quote Lines'!$M$3:$M$805,"Y")=0,"",SUMIFS('Quote Lines'!$L$3:$L$805,'Quote Lines'!$P$3:$P$805,$A81&amp;"|"&amp;I$6&amp;"|1",'Quote Lines'!$M$3:$M$805,"Y"))</f>
        <v>4</v>
      </c>
      <c r="Z81" s="81" t="n">
        <f aca="false">IF(COUNTIFS('Quote Lines'!$P$3:$P$805,$A81&amp;"|"&amp;J$6&amp;"|1",'Quote Lines'!$M$3:$M$805,"Y")=0,"",SUMIFS('Quote Lines'!$L$3:$L$805,'Quote Lines'!$P$3:$P$805,$A81&amp;"|"&amp;J$6&amp;"|1",'Quote Lines'!$M$3:$M$805,"Y"))</f>
        <v>6</v>
      </c>
      <c r="AA81" s="82" t="n">
        <f aca="false">IF(ISNUMBER(G81),1+SUMPRODUCT(ISNUMBER($G81:$J81)*($G81:$J81&lt;G81)),"")</f>
        <v>2</v>
      </c>
      <c r="AB81" s="82" t="str">
        <f aca="false">IF(ISNUMBER(H81),1+SUMPRODUCT(ISNUMBER($G81:$J81)*($G81:$J81&lt;H81)),"")</f>
        <v/>
      </c>
      <c r="AC81" s="82" t="n">
        <f aca="false">IF(ISNUMBER(I81),1+SUMPRODUCT(ISNUMBER($G81:$J81)*($G81:$J81&lt;I81)),"")</f>
        <v>1</v>
      </c>
      <c r="AD81" s="82" t="n">
        <f aca="false">IF(ISNUMBER(J81),1+SUMPRODUCT(ISNUMBER($G81:$J81)*($G81:$J81&lt;J81)),"")</f>
        <v>3</v>
      </c>
      <c r="AE81" s="82" t="n">
        <f aca="false">IF(NOT(ISNUMBER(G81)),0,IF($S81&lt;2,5,IF(AA81=1,1,IF(G81=MAX($G81:$J81),4,IF(AA81=2,2,3)))))</f>
        <v>2</v>
      </c>
      <c r="AF81" s="82" t="n">
        <f aca="false">IF(NOT(ISNUMBER(H81)),0,IF($S81&lt;2,5,IF(AB81=1,1,IF(H81=MAX($G81:$J81),4,IF(AB81=2,2,3)))))</f>
        <v>0</v>
      </c>
      <c r="AG81" s="82" t="n">
        <f aca="false">IF(NOT(ISNUMBER(I81)),0,IF($S81&lt;2,5,IF(AC81=1,1,IF(I81=MAX($G81:$J81),4,IF(AC81=2,2,3)))))</f>
        <v>1</v>
      </c>
      <c r="AH81" s="82" t="n">
        <f aca="false">IF(NOT(ISNUMBER(J81)),0,IF($S81&lt;2,5,IF(AD81=1,1,IF(J81=MAX($G81:$J81),4,IF(AD81=2,2,3)))))</f>
        <v>4</v>
      </c>
      <c r="AI81" s="83" t="n">
        <f aca="false">IF($S81&gt;=2,IF(ISNUMBER(G81),G81*$F81,MIN($G81:$J81)*$F81),0)</f>
        <v>924.6</v>
      </c>
      <c r="AJ81" s="83" t="n">
        <f aca="false">IF($S81&gt;=2,IF(ISNUMBER(H81),H81*$F81,MIN($G81:$J81)*$F81),0)</f>
        <v>804.705</v>
      </c>
      <c r="AK81" s="83" t="n">
        <f aca="false">IF($S81&gt;=2,IF(ISNUMBER(I81),I81*$F81,MIN($G81:$J81)*$F81),0)</f>
        <v>804.705</v>
      </c>
      <c r="AL81" s="83" t="n">
        <f aca="false">IF($S81&gt;=2,IF(ISNUMBER(J81),J81*$F81,MIN($G81:$J81)*$F81),0)</f>
        <v>1055.28</v>
      </c>
      <c r="AM81" s="84" t="n">
        <f aca="false">IF($S81&gt;=2,$R81+ROW()/1000000,"")</f>
        <v>250.575081</v>
      </c>
      <c r="AN81" s="83" t="n">
        <f aca="false">IF($S81&gt;=2,MAX(G81:J81),"")</f>
        <v>175.88</v>
      </c>
      <c r="AO81" s="82" t="str">
        <f aca="false">IF($S81&gt;=2,INDEX($G$6:$J$6,MATCH(MAX(G81:J81),G81:J81,0)),"")</f>
        <v>Scholzen</v>
      </c>
      <c r="AP81" s="83" t="n">
        <f aca="false">IF($S81&gt;=2,MIN(G81:J81)*$F81,0)</f>
        <v>804.705</v>
      </c>
      <c r="AQ81" s="82" t="str">
        <f aca="false">IF($S81&gt;=2,INDEX($G$6:$J$6,MATCH(MIN(G81:J81),G81:J81,0)),"")</f>
        <v>Mountainland</v>
      </c>
    </row>
    <row r="82" customFormat="false" ht="15" hidden="false" customHeight="true" outlineLevel="0" collapsed="false">
      <c r="A82" s="70" t="s">
        <v>303</v>
      </c>
      <c r="B82" s="71" t="s">
        <v>130</v>
      </c>
      <c r="C82" s="72" t="s">
        <v>294</v>
      </c>
      <c r="D82" s="73" t="s">
        <v>304</v>
      </c>
      <c r="E82" s="74" t="s">
        <v>133</v>
      </c>
      <c r="F82" s="75" t="n">
        <v>1</v>
      </c>
      <c r="G82" s="76" t="n">
        <f aca="false">IF(COUNTIF('Quote Lines'!$P$3:$P$805,$A82&amp;"|"&amp;G$6&amp;"|1")=0,"—",SUMIFS('Quote Lines'!$O$3:$O$805,'Quote Lines'!$P$3:$P$805,$A82&amp;"|"&amp;G$6&amp;"|1")/SUMIFS('Quote Lines'!$L$3:$L$805,'Quote Lines'!$P$3:$P$805,$A82&amp;"|"&amp;G$6&amp;"|1"))</f>
        <v>57.6</v>
      </c>
      <c r="H82" s="85" t="s">
        <v>138</v>
      </c>
      <c r="I82" s="76" t="n">
        <f aca="false">IF(COUNTIF('Quote Lines'!$P$3:$P$805,$A82&amp;"|"&amp;I$6&amp;"|1")=0,"—",SUMIFS('Quote Lines'!$O$3:$O$805,'Quote Lines'!$P$3:$P$805,$A82&amp;"|"&amp;I$6&amp;"|1")/SUMIFS('Quote Lines'!$L$3:$L$805,'Quote Lines'!$P$3:$P$805,$A82&amp;"|"&amp;I$6&amp;"|1"))</f>
        <v>65.54</v>
      </c>
      <c r="J82" s="76" t="n">
        <f aca="false">IF(COUNTIF('Quote Lines'!$P$3:$P$805,$A82&amp;"|"&amp;J$6&amp;"|1")=0,"—",SUMIFS('Quote Lines'!$O$3:$O$805,'Quote Lines'!$P$3:$P$805,$A82&amp;"|"&amp;J$6&amp;"|1")/SUMIFS('Quote Lines'!$L$3:$L$805,'Quote Lines'!$P$3:$P$805,$A82&amp;"|"&amp;J$6&amp;"|1"))</f>
        <v>63</v>
      </c>
      <c r="K82" s="14" t="n">
        <f aca="false">IF(ISNUMBER(G82),G82*$F82,"—")</f>
        <v>57.6</v>
      </c>
      <c r="L82" s="14" t="str">
        <f aca="false">IF(ISNUMBER(H82),H82*$F82,"—")</f>
        <v>—</v>
      </c>
      <c r="M82" s="14" t="n">
        <f aca="false">IF(ISNUMBER(I82),I82*$F82,"—")</f>
        <v>65.54</v>
      </c>
      <c r="N82" s="14" t="n">
        <f aca="false">IF(ISNUMBER(J82),J82*$F82,"—")</f>
        <v>63</v>
      </c>
      <c r="O82" s="77" t="n">
        <f aca="false">IF($S82=0,"—",MIN(G82:J82))</f>
        <v>57.6</v>
      </c>
      <c r="P82" s="42" t="str">
        <f aca="false">IF($S82=0,"—",IF(COUNTIF(G82:J82,O82)&gt;1,"Tie",INDEX($G$6:$J$6,MATCH(O82,G82:J82,0))))</f>
        <v>Ferguson</v>
      </c>
      <c r="Q82" s="48" t="n">
        <f aca="false">IF($S82&gt;=2,MAX(G82:J82)/MIN(G82:J82)-1,"—")</f>
        <v>0.137847222222222</v>
      </c>
      <c r="R82" s="78" t="n">
        <f aca="false">IF($S82&gt;=2,(MAX(G82:J82)-MIN(G82:J82))*$F82,"—")</f>
        <v>7.94000000000001</v>
      </c>
      <c r="S82" s="18" t="n">
        <f aca="false">COUNT(G82:J82)</f>
        <v>3</v>
      </c>
      <c r="T82" s="79" t="str">
        <f aca="false">IF($S82&lt;=1,IF($S82=1,"Single quote","—"),"Like-for-like")</f>
        <v>Like-for-like</v>
      </c>
      <c r="U82" s="79" t="str">
        <f aca="false">IF(COUNT(W82:Z82)&lt;2,"",IF(MAX(W82:Z82)=MIN(W82:Z82),"OK","Qty differs"))</f>
        <v>Qty differs</v>
      </c>
      <c r="V82" s="80"/>
      <c r="W82" s="81" t="n">
        <f aca="false">IF(COUNTIFS('Quote Lines'!$P$3:$P$805,$A82&amp;"|"&amp;G$6&amp;"|1",'Quote Lines'!$M$3:$M$805,"Y")=0,"",SUMIFS('Quote Lines'!$L$3:$L$805,'Quote Lines'!$P$3:$P$805,$A82&amp;"|"&amp;G$6&amp;"|1",'Quote Lines'!$M$3:$M$805,"Y"))</f>
        <v>2</v>
      </c>
      <c r="X82" s="81"/>
      <c r="Y82" s="81" t="n">
        <f aca="false">IF(COUNTIFS('Quote Lines'!$P$3:$P$805,$A82&amp;"|"&amp;I$6&amp;"|1",'Quote Lines'!$M$3:$M$805,"Y")=0,"",SUMIFS('Quote Lines'!$L$3:$L$805,'Quote Lines'!$P$3:$P$805,$A82&amp;"|"&amp;I$6&amp;"|1",'Quote Lines'!$M$3:$M$805,"Y"))</f>
        <v>1</v>
      </c>
      <c r="Z82" s="81" t="n">
        <f aca="false">IF(COUNTIFS('Quote Lines'!$P$3:$P$805,$A82&amp;"|"&amp;J$6&amp;"|1",'Quote Lines'!$M$3:$M$805,"Y")=0,"",SUMIFS('Quote Lines'!$L$3:$L$805,'Quote Lines'!$P$3:$P$805,$A82&amp;"|"&amp;J$6&amp;"|1",'Quote Lines'!$M$3:$M$805,"Y"))</f>
        <v>1</v>
      </c>
      <c r="AA82" s="82" t="n">
        <f aca="false">IF(ISNUMBER(G82),1+SUMPRODUCT(ISNUMBER($G82:$J82)*($G82:$J82&lt;G82)),"")</f>
        <v>1</v>
      </c>
      <c r="AB82" s="82" t="str">
        <f aca="false">IF(ISNUMBER(H82),1+SUMPRODUCT(ISNUMBER($G82:$J82)*($G82:$J82&lt;H82)),"")</f>
        <v/>
      </c>
      <c r="AC82" s="82" t="n">
        <f aca="false">IF(ISNUMBER(I82),1+SUMPRODUCT(ISNUMBER($G82:$J82)*($G82:$J82&lt;I82)),"")</f>
        <v>3</v>
      </c>
      <c r="AD82" s="82" t="n">
        <f aca="false">IF(ISNUMBER(J82),1+SUMPRODUCT(ISNUMBER($G82:$J82)*($G82:$J82&lt;J82)),"")</f>
        <v>2</v>
      </c>
      <c r="AE82" s="82" t="n">
        <f aca="false">IF(NOT(ISNUMBER(G82)),0,IF($S82&lt;2,5,IF(AA82=1,1,IF(G82=MAX($G82:$J82),4,IF(AA82=2,2,3)))))</f>
        <v>1</v>
      </c>
      <c r="AF82" s="82" t="n">
        <f aca="false">IF(NOT(ISNUMBER(H82)),0,IF($S82&lt;2,5,IF(AB82=1,1,IF(H82=MAX($G82:$J82),4,IF(AB82=2,2,3)))))</f>
        <v>0</v>
      </c>
      <c r="AG82" s="82" t="n">
        <f aca="false">IF(NOT(ISNUMBER(I82)),0,IF($S82&lt;2,5,IF(AC82=1,1,IF(I82=MAX($G82:$J82),4,IF(AC82=2,2,3)))))</f>
        <v>4</v>
      </c>
      <c r="AH82" s="82" t="n">
        <f aca="false">IF(NOT(ISNUMBER(J82)),0,IF($S82&lt;2,5,IF(AD82=1,1,IF(J82=MAX($G82:$J82),4,IF(AD82=2,2,3)))))</f>
        <v>2</v>
      </c>
      <c r="AI82" s="83" t="n">
        <f aca="false">IF($S82&gt;=2,IF(ISNUMBER(G82),G82*$F82,MIN($G82:$J82)*$F82),0)</f>
        <v>57.6</v>
      </c>
      <c r="AJ82" s="83" t="n">
        <f aca="false">IF($S82&gt;=2,IF(ISNUMBER(H82),H82*$F82,MIN($G82:$J82)*$F82),0)</f>
        <v>57.6</v>
      </c>
      <c r="AK82" s="83" t="n">
        <f aca="false">IF($S82&gt;=2,IF(ISNUMBER(I82),I82*$F82,MIN($G82:$J82)*$F82),0)</f>
        <v>65.54</v>
      </c>
      <c r="AL82" s="83" t="n">
        <f aca="false">IF($S82&gt;=2,IF(ISNUMBER(J82),J82*$F82,MIN($G82:$J82)*$F82),0)</f>
        <v>63</v>
      </c>
      <c r="AM82" s="84" t="n">
        <f aca="false">IF($S82&gt;=2,$R82+ROW()/1000000,"")</f>
        <v>7.94008200000001</v>
      </c>
      <c r="AN82" s="83" t="n">
        <f aca="false">IF($S82&gt;=2,MAX(G82:J82),"")</f>
        <v>65.54</v>
      </c>
      <c r="AO82" s="82" t="str">
        <f aca="false">IF($S82&gt;=2,INDEX($G$6:$J$6,MATCH(MAX(G82:J82),G82:J82,0)),"")</f>
        <v>Mountainland</v>
      </c>
      <c r="AP82" s="83" t="n">
        <f aca="false">IF($S82&gt;=2,MIN(G82:J82)*$F82,0)</f>
        <v>57.6</v>
      </c>
      <c r="AQ82" s="82" t="str">
        <f aca="false">IF($S82&gt;=2,INDEX($G$6:$J$6,MATCH(MIN(G82:J82),G82:J82,0)),"")</f>
        <v>Ferguson</v>
      </c>
    </row>
    <row r="83" customFormat="false" ht="15" hidden="false" customHeight="true" outlineLevel="0" collapsed="false">
      <c r="A83" s="70" t="s">
        <v>305</v>
      </c>
      <c r="B83" s="71" t="s">
        <v>130</v>
      </c>
      <c r="C83" s="72" t="s">
        <v>294</v>
      </c>
      <c r="D83" s="73" t="s">
        <v>306</v>
      </c>
      <c r="E83" s="74" t="s">
        <v>133</v>
      </c>
      <c r="F83" s="75" t="n">
        <v>1</v>
      </c>
      <c r="G83" s="85" t="s">
        <v>138</v>
      </c>
      <c r="H83" s="85" t="s">
        <v>138</v>
      </c>
      <c r="I83" s="85" t="s">
        <v>138</v>
      </c>
      <c r="J83" s="76" t="n">
        <f aca="false">IF(COUNTIF('Quote Lines'!$P$3:$P$805,$A83&amp;"|"&amp;J$6&amp;"|1")=0,"—",SUMIFS('Quote Lines'!$O$3:$O$805,'Quote Lines'!$P$3:$P$805,$A83&amp;"|"&amp;J$6&amp;"|1")/SUMIFS('Quote Lines'!$L$3:$L$805,'Quote Lines'!$P$3:$P$805,$A83&amp;"|"&amp;J$6&amp;"|1"))</f>
        <v>54.6</v>
      </c>
      <c r="K83" s="14" t="str">
        <f aca="false">IF(ISNUMBER(G83),G83*$F83,"—")</f>
        <v>—</v>
      </c>
      <c r="L83" s="14" t="str">
        <f aca="false">IF(ISNUMBER(H83),H83*$F83,"—")</f>
        <v>—</v>
      </c>
      <c r="M83" s="14" t="str">
        <f aca="false">IF(ISNUMBER(I83),I83*$F83,"—")</f>
        <v>—</v>
      </c>
      <c r="N83" s="14" t="n">
        <f aca="false">IF(ISNUMBER(J83),J83*$F83,"—")</f>
        <v>54.6</v>
      </c>
      <c r="O83" s="77" t="n">
        <f aca="false">IF($S83=0,"—",MIN(G83:J83))</f>
        <v>54.6</v>
      </c>
      <c r="P83" s="42" t="str">
        <f aca="false">IF($S83=0,"—",IF(COUNTIF(G83:J83,O83)&gt;1,"Tie",INDEX($G$6:$J$6,MATCH(O83,G83:J83,0))))</f>
        <v>Scholzen</v>
      </c>
      <c r="Q83" s="48" t="str">
        <f aca="false">IF($S83&gt;=2,MAX(G83:J83)/MIN(G83:J83)-1,"—")</f>
        <v>—</v>
      </c>
      <c r="R83" s="78" t="str">
        <f aca="false">IF($S83&gt;=2,(MAX(G83:J83)-MIN(G83:J83))*$F83,"—")</f>
        <v>—</v>
      </c>
      <c r="S83" s="18" t="n">
        <f aca="false">COUNT(G83:J83)</f>
        <v>1</v>
      </c>
      <c r="T83" s="79" t="str">
        <f aca="false">IF($S83&lt;=1,IF($S83=1,"Single quote","—"),"Like-for-like")</f>
        <v>Single quote</v>
      </c>
      <c r="U83" s="79" t="str">
        <f aca="false">IF(COUNT(W83:Z83)&lt;2,"",IF(MAX(W83:Z83)=MIN(W83:Z83),"OK","Qty differs"))</f>
        <v/>
      </c>
      <c r="V83" s="80"/>
      <c r="W83" s="81"/>
      <c r="X83" s="81"/>
      <c r="Y83" s="81"/>
      <c r="Z83" s="81" t="n">
        <f aca="false">IF(COUNTIFS('Quote Lines'!$P$3:$P$805,$A83&amp;"|"&amp;J$6&amp;"|1",'Quote Lines'!$M$3:$M$805,"Y")=0,"",SUMIFS('Quote Lines'!$L$3:$L$805,'Quote Lines'!$P$3:$P$805,$A83&amp;"|"&amp;J$6&amp;"|1",'Quote Lines'!$M$3:$M$805,"Y"))</f>
        <v>1</v>
      </c>
      <c r="AA83" s="82" t="str">
        <f aca="false">IF(ISNUMBER(G83),1+SUMPRODUCT(ISNUMBER($G83:$J83)*($G83:$J83&lt;G83)),"")</f>
        <v/>
      </c>
      <c r="AB83" s="82" t="str">
        <f aca="false">IF(ISNUMBER(H83),1+SUMPRODUCT(ISNUMBER($G83:$J83)*($G83:$J83&lt;H83)),"")</f>
        <v/>
      </c>
      <c r="AC83" s="82" t="str">
        <f aca="false">IF(ISNUMBER(I83),1+SUMPRODUCT(ISNUMBER($G83:$J83)*($G83:$J83&lt;I83)),"")</f>
        <v/>
      </c>
      <c r="AD83" s="82" t="n">
        <f aca="false">IF(ISNUMBER(J83),1+SUMPRODUCT(ISNUMBER($G83:$J83)*($G83:$J83&lt;J83)),"")</f>
        <v>1</v>
      </c>
      <c r="AE83" s="82" t="n">
        <f aca="false">IF(NOT(ISNUMBER(G83)),0,IF($S83&lt;2,5,IF(AA83=1,1,IF(G83=MAX($G83:$J83),4,IF(AA83=2,2,3)))))</f>
        <v>0</v>
      </c>
      <c r="AF83" s="82" t="n">
        <f aca="false">IF(NOT(ISNUMBER(H83)),0,IF($S83&lt;2,5,IF(AB83=1,1,IF(H83=MAX($G83:$J83),4,IF(AB83=2,2,3)))))</f>
        <v>0</v>
      </c>
      <c r="AG83" s="82" t="n">
        <f aca="false">IF(NOT(ISNUMBER(I83)),0,IF($S83&lt;2,5,IF(AC83=1,1,IF(I83=MAX($G83:$J83),4,IF(AC83=2,2,3)))))</f>
        <v>0</v>
      </c>
      <c r="AH83" s="82" t="n">
        <f aca="false">IF(NOT(ISNUMBER(J83)),0,IF($S83&lt;2,5,IF(AD83=1,1,IF(J83=MAX($G83:$J83),4,IF(AD83=2,2,3)))))</f>
        <v>5</v>
      </c>
      <c r="AI83" s="83" t="n">
        <f aca="false">IF($S83&gt;=2,IF(ISNUMBER(G83),G83*$F83,MIN($G83:$J83)*$F83),0)</f>
        <v>0</v>
      </c>
      <c r="AJ83" s="83" t="n">
        <f aca="false">IF($S83&gt;=2,IF(ISNUMBER(H83),H83*$F83,MIN($G83:$J83)*$F83),0)</f>
        <v>0</v>
      </c>
      <c r="AK83" s="83" t="n">
        <f aca="false">IF($S83&gt;=2,IF(ISNUMBER(I83),I83*$F83,MIN($G83:$J83)*$F83),0)</f>
        <v>0</v>
      </c>
      <c r="AL83" s="83" t="n">
        <f aca="false">IF($S83&gt;=2,IF(ISNUMBER(J83),J83*$F83,MIN($G83:$J83)*$F83),0)</f>
        <v>0</v>
      </c>
      <c r="AM83" s="84" t="str">
        <f aca="false">IF($S83&gt;=2,$R83+ROW()/1000000,"")</f>
        <v/>
      </c>
      <c r="AN83" s="83" t="str">
        <f aca="false">IF($S83&gt;=2,MAX(G83:J83),"")</f>
        <v/>
      </c>
      <c r="AO83" s="82" t="str">
        <f aca="false">IF($S83&gt;=2,INDEX($G$6:$J$6,MATCH(MAX(G83:J83),G83:J83,0)),"")</f>
        <v/>
      </c>
      <c r="AP83" s="83" t="n">
        <f aca="false">IF($S83&gt;=2,MIN(G83:J83)*$F83,0)</f>
        <v>0</v>
      </c>
      <c r="AQ83" s="82" t="str">
        <f aca="false">IF($S83&gt;=2,INDEX($G$6:$J$6,MATCH(MIN(G83:J83),G83:J83,0)),"")</f>
        <v/>
      </c>
    </row>
    <row r="84" customFormat="false" ht="27.75" hidden="false" customHeight="true" outlineLevel="0" collapsed="false">
      <c r="A84" s="70" t="s">
        <v>307</v>
      </c>
      <c r="B84" s="71" t="s">
        <v>130</v>
      </c>
      <c r="C84" s="72" t="s">
        <v>308</v>
      </c>
      <c r="D84" s="73" t="s">
        <v>309</v>
      </c>
      <c r="E84" s="74" t="s">
        <v>310</v>
      </c>
      <c r="F84" s="75" t="n">
        <v>7</v>
      </c>
      <c r="G84" s="76" t="n">
        <f aca="false">IF(COUNTIF('Quote Lines'!$P$3:$P$805,$A84&amp;"|"&amp;G$6&amp;"|1")=0,"—",SUMIFS('Quote Lines'!$O$3:$O$805,'Quote Lines'!$P$3:$P$805,$A84&amp;"|"&amp;G$6&amp;"|1")/SUMIFS('Quote Lines'!$L$3:$L$805,'Quote Lines'!$P$3:$P$805,$A84&amp;"|"&amp;G$6&amp;"|1")+IFERROR(SUMIFS('Quote Lines'!$O$3:$O$805,'Quote Lines'!$P$3:$P$805,$A84&amp;"|"&amp;G$6&amp;"|2")/SUMIFS('Quote Lines'!$L$3:$L$805,'Quote Lines'!$P$3:$P$805,$A84&amp;"|"&amp;G$6&amp;"|2"),0))</f>
        <v>138.15</v>
      </c>
      <c r="H84" s="76" t="n">
        <f aca="false">IF(COUNTIF('Quote Lines'!$P$3:$P$805,$A84&amp;"|"&amp;H$6&amp;"|1")=0,"—",SUMIFS('Quote Lines'!$O$3:$O$805,'Quote Lines'!$P$3:$P$805,$A84&amp;"|"&amp;H$6&amp;"|1")/SUMIFS('Quote Lines'!$L$3:$L$805,'Quote Lines'!$P$3:$P$805,$A84&amp;"|"&amp;H$6&amp;"|1")+IFERROR(SUMIFS('Quote Lines'!$O$3:$O$805,'Quote Lines'!$P$3:$P$805,$A84&amp;"|"&amp;H$6&amp;"|2")/SUMIFS('Quote Lines'!$L$3:$L$805,'Quote Lines'!$P$3:$P$805,$A84&amp;"|"&amp;H$6&amp;"|2"),0))</f>
        <v>153.53</v>
      </c>
      <c r="I84" s="76" t="n">
        <f aca="false">IF(COUNTIF('Quote Lines'!$P$3:$P$805,$A84&amp;"|"&amp;I$6&amp;"|1")=0,"—",SUMIFS('Quote Lines'!$O$3:$O$805,'Quote Lines'!$P$3:$P$805,$A84&amp;"|"&amp;I$6&amp;"|1")/SUMIFS('Quote Lines'!$L$3:$L$805,'Quote Lines'!$P$3:$P$805,$A84&amp;"|"&amp;I$6&amp;"|1"))</f>
        <v>64.2833333333333</v>
      </c>
      <c r="J84" s="76" t="n">
        <f aca="false">IF(COUNTIF('Quote Lines'!$P$3:$P$805,$A84&amp;"|"&amp;J$6&amp;"|1")=0,"—",SUMIFS('Quote Lines'!$O$3:$O$805,'Quote Lines'!$P$3:$P$805,$A84&amp;"|"&amp;J$6&amp;"|1")/SUMIFS('Quote Lines'!$L$3:$L$805,'Quote Lines'!$P$3:$P$805,$A84&amp;"|"&amp;J$6&amp;"|1"))</f>
        <v>124</v>
      </c>
      <c r="K84" s="14" t="n">
        <f aca="false">IF(ISNUMBER(G84),G84*$F84,"—")</f>
        <v>967.05</v>
      </c>
      <c r="L84" s="14" t="n">
        <f aca="false">IF(ISNUMBER(H84),H84*$F84,"—")</f>
        <v>1074.71</v>
      </c>
      <c r="M84" s="14" t="n">
        <f aca="false">IF(ISNUMBER(I84),I84*$F84,"—")</f>
        <v>449.983333333333</v>
      </c>
      <c r="N84" s="14" t="n">
        <f aca="false">IF(ISNUMBER(J84),J84*$F84,"—")</f>
        <v>868</v>
      </c>
      <c r="O84" s="77" t="n">
        <f aca="false">IF($S84=0,"—",MIN(G84:J84))</f>
        <v>64.2833333333333</v>
      </c>
      <c r="P84" s="42" t="str">
        <f aca="false">IF($S84=0,"—",IF(COUNTIF(G84:J84,O84)&gt;1,"Tie",INDEX($G$6:$J$6,MATCH(O84,G84:J84,0))))</f>
        <v>Mountainland</v>
      </c>
      <c r="Q84" s="48" t="n">
        <f aca="false">IF($S84&gt;=2,MAX(G84:J84)/MIN(G84:J84)-1,"—")</f>
        <v>1.38833290121856</v>
      </c>
      <c r="R84" s="78" t="n">
        <f aca="false">IF($S84&gt;=2,(MAX(G84:J84)-MIN(G84:J84))*$F84,"—")</f>
        <v>624.726666666667</v>
      </c>
      <c r="S84" s="18" t="n">
        <f aca="false">COUNT(G84:J84)</f>
        <v>4</v>
      </c>
      <c r="T84" s="79" t="str">
        <f aca="false">IF($S84&lt;=1,IF($S84=1,"Single quote","—"),"Alt spec – verify")</f>
        <v>Alt spec – verify</v>
      </c>
      <c r="U84" s="79" t="str">
        <f aca="false">IF(COUNT(W84:Z84)&lt;2,"",IF(MAX(W84:Z84)=MIN(W84:Z84),"OK","Qty differs"))</f>
        <v>Qty differs</v>
      </c>
      <c r="V84" s="80" t="s">
        <v>311</v>
      </c>
      <c r="W84" s="81" t="n">
        <f aca="false">IF(COUNTIFS('Quote Lines'!$P$3:$P$805,$A84&amp;"|"&amp;G$6&amp;"|1",'Quote Lines'!$M$3:$M$805,"Y")=0,"",SUMIFS('Quote Lines'!$L$3:$L$805,'Quote Lines'!$P$3:$P$805,$A84&amp;"|"&amp;G$6&amp;"|1",'Quote Lines'!$M$3:$M$805,"Y"))</f>
        <v>6</v>
      </c>
      <c r="X84" s="81" t="n">
        <f aca="false">IF(COUNTIFS('Quote Lines'!$P$3:$P$805,$A84&amp;"|"&amp;H$6&amp;"|1",'Quote Lines'!$M$3:$M$805,"Y")=0,"",SUMIFS('Quote Lines'!$L$3:$L$805,'Quote Lines'!$P$3:$P$805,$A84&amp;"|"&amp;H$6&amp;"|1",'Quote Lines'!$M$3:$M$805,"Y"))</f>
        <v>7</v>
      </c>
      <c r="Y84" s="81" t="n">
        <f aca="false">IF(COUNTIFS('Quote Lines'!$P$3:$P$805,$A84&amp;"|"&amp;I$6&amp;"|1",'Quote Lines'!$M$3:$M$805,"Y")=0,"",SUMIFS('Quote Lines'!$L$3:$L$805,'Quote Lines'!$P$3:$P$805,$A84&amp;"|"&amp;I$6&amp;"|1",'Quote Lines'!$M$3:$M$805,"Y"))</f>
        <v>6</v>
      </c>
      <c r="Z84" s="81" t="n">
        <f aca="false">IF(COUNTIFS('Quote Lines'!$P$3:$P$805,$A84&amp;"|"&amp;J$6&amp;"|1",'Quote Lines'!$M$3:$M$805,"Y")=0,"",SUMIFS('Quote Lines'!$L$3:$L$805,'Quote Lines'!$P$3:$P$805,$A84&amp;"|"&amp;J$6&amp;"|1",'Quote Lines'!$M$3:$M$805,"Y"))</f>
        <v>7</v>
      </c>
      <c r="AA84" s="82" t="n">
        <f aca="false">IF(ISNUMBER(G84),1+SUMPRODUCT(ISNUMBER($G84:$J84)*($G84:$J84&lt;G84)),"")</f>
        <v>3</v>
      </c>
      <c r="AB84" s="82" t="n">
        <f aca="false">IF(ISNUMBER(H84),1+SUMPRODUCT(ISNUMBER($G84:$J84)*($G84:$J84&lt;H84)),"")</f>
        <v>4</v>
      </c>
      <c r="AC84" s="82" t="n">
        <f aca="false">IF(ISNUMBER(I84),1+SUMPRODUCT(ISNUMBER($G84:$J84)*($G84:$J84&lt;I84)),"")</f>
        <v>1</v>
      </c>
      <c r="AD84" s="82" t="n">
        <f aca="false">IF(ISNUMBER(J84),1+SUMPRODUCT(ISNUMBER($G84:$J84)*($G84:$J84&lt;J84)),"")</f>
        <v>2</v>
      </c>
      <c r="AE84" s="82" t="n">
        <f aca="false">IF(NOT(ISNUMBER(G84)),0,IF($S84&lt;2,5,IF(AA84=1,1,IF(G84=MAX($G84:$J84),4,IF(AA84=2,2,3)))))</f>
        <v>3</v>
      </c>
      <c r="AF84" s="82" t="n">
        <f aca="false">IF(NOT(ISNUMBER(H84)),0,IF($S84&lt;2,5,IF(AB84=1,1,IF(H84=MAX($G84:$J84),4,IF(AB84=2,2,3)))))</f>
        <v>4</v>
      </c>
      <c r="AG84" s="82" t="n">
        <f aca="false">IF(NOT(ISNUMBER(I84)),0,IF($S84&lt;2,5,IF(AC84=1,1,IF(I84=MAX($G84:$J84),4,IF(AC84=2,2,3)))))</f>
        <v>1</v>
      </c>
      <c r="AH84" s="82" t="n">
        <f aca="false">IF(NOT(ISNUMBER(J84)),0,IF($S84&lt;2,5,IF(AD84=1,1,IF(J84=MAX($G84:$J84),4,IF(AD84=2,2,3)))))</f>
        <v>2</v>
      </c>
      <c r="AI84" s="83" t="n">
        <f aca="false">IF($S84&gt;=2,IF(ISNUMBER(G84),G84*$F84,MIN($G84:$J84)*$F84),0)</f>
        <v>967.05</v>
      </c>
      <c r="AJ84" s="83" t="n">
        <f aca="false">IF($S84&gt;=2,IF(ISNUMBER(H84),H84*$F84,MIN($G84:$J84)*$F84),0)</f>
        <v>1074.71</v>
      </c>
      <c r="AK84" s="83" t="n">
        <f aca="false">IF($S84&gt;=2,IF(ISNUMBER(I84),I84*$F84,MIN($G84:$J84)*$F84),0)</f>
        <v>449.983333333333</v>
      </c>
      <c r="AL84" s="83" t="n">
        <f aca="false">IF($S84&gt;=2,IF(ISNUMBER(J84),J84*$F84,MIN($G84:$J84)*$F84),0)</f>
        <v>868</v>
      </c>
      <c r="AM84" s="84" t="n">
        <f aca="false">IF($S84&gt;=2,$R84+ROW()/1000000,"")</f>
        <v>624.726750666667</v>
      </c>
      <c r="AN84" s="83" t="n">
        <f aca="false">IF($S84&gt;=2,MAX(G84:J84),"")</f>
        <v>153.53</v>
      </c>
      <c r="AO84" s="82" t="str">
        <f aca="false">IF($S84&gt;=2,INDEX($G$6:$J$6,MATCH(MAX(G84:J84),G84:J84,0)),"")</f>
        <v>HD Fowler</v>
      </c>
      <c r="AP84" s="83" t="n">
        <f aca="false">IF($S84&gt;=2,MIN(G84:J84)*$F84,0)</f>
        <v>449.983333333333</v>
      </c>
      <c r="AQ84" s="82" t="str">
        <f aca="false">IF($S84&gt;=2,INDEX($G$6:$J$6,MATCH(MIN(G84:J84),G84:J84,0)),"")</f>
        <v>Mountainland</v>
      </c>
    </row>
    <row r="85" customFormat="false" ht="15" hidden="false" customHeight="true" outlineLevel="0" collapsed="false">
      <c r="A85" s="70" t="s">
        <v>312</v>
      </c>
      <c r="B85" s="71" t="s">
        <v>130</v>
      </c>
      <c r="C85" s="72" t="s">
        <v>308</v>
      </c>
      <c r="D85" s="73" t="s">
        <v>313</v>
      </c>
      <c r="E85" s="74" t="s">
        <v>310</v>
      </c>
      <c r="F85" s="75" t="n">
        <v>8</v>
      </c>
      <c r="G85" s="76" t="n">
        <f aca="false">IF(COUNTIF('Quote Lines'!$P$3:$P$805,$A85&amp;"|"&amp;G$6&amp;"|1")=0,"—",SUMIFS('Quote Lines'!$O$3:$O$805,'Quote Lines'!$P$3:$P$805,$A85&amp;"|"&amp;G$6&amp;"|1")/SUMIFS('Quote Lines'!$L$3:$L$805,'Quote Lines'!$P$3:$P$805,$A85&amp;"|"&amp;G$6&amp;"|1")+IFERROR(SUMIFS('Quote Lines'!$O$3:$O$805,'Quote Lines'!$P$3:$P$805,$A85&amp;"|"&amp;G$6&amp;"|2")/SUMIFS('Quote Lines'!$L$3:$L$805,'Quote Lines'!$P$3:$P$805,$A85&amp;"|"&amp;G$6&amp;"|2"),0))</f>
        <v>71.29</v>
      </c>
      <c r="H85" s="76" t="n">
        <f aca="false">IF(COUNTIF('Quote Lines'!$P$3:$P$805,$A85&amp;"|"&amp;H$6&amp;"|1")=0,"—",SUMIFS('Quote Lines'!$O$3:$O$805,'Quote Lines'!$P$3:$P$805,$A85&amp;"|"&amp;H$6&amp;"|1")/SUMIFS('Quote Lines'!$L$3:$L$805,'Quote Lines'!$P$3:$P$805,$A85&amp;"|"&amp;H$6&amp;"|1")+IFERROR(SUMIFS('Quote Lines'!$O$3:$O$805,'Quote Lines'!$P$3:$P$805,$A85&amp;"|"&amp;H$6&amp;"|2")/SUMIFS('Quote Lines'!$L$3:$L$805,'Quote Lines'!$P$3:$P$805,$A85&amp;"|"&amp;H$6&amp;"|2"),0))</f>
        <v>59.98</v>
      </c>
      <c r="I85" s="76" t="n">
        <f aca="false">IF(COUNTIF('Quote Lines'!$P$3:$P$805,$A85&amp;"|"&amp;I$6&amp;"|1")=0,"—",SUMIFS('Quote Lines'!$O$3:$O$805,'Quote Lines'!$P$3:$P$805,$A85&amp;"|"&amp;I$6&amp;"|1")/SUMIFS('Quote Lines'!$L$3:$L$805,'Quote Lines'!$P$3:$P$805,$A85&amp;"|"&amp;I$6&amp;"|1"))</f>
        <v>35.06</v>
      </c>
      <c r="J85" s="76" t="n">
        <f aca="false">IF(COUNTIF('Quote Lines'!$P$3:$P$805,$A85&amp;"|"&amp;J$6&amp;"|1")=0,"—",SUMIFS('Quote Lines'!$O$3:$O$805,'Quote Lines'!$P$3:$P$805,$A85&amp;"|"&amp;J$6&amp;"|1")/SUMIFS('Quote Lines'!$L$3:$L$805,'Quote Lines'!$P$3:$P$805,$A85&amp;"|"&amp;J$6&amp;"|1"))</f>
        <v>58.13</v>
      </c>
      <c r="K85" s="14" t="n">
        <f aca="false">IF(ISNUMBER(G85),G85*$F85,"—")</f>
        <v>570.32</v>
      </c>
      <c r="L85" s="14" t="n">
        <f aca="false">IF(ISNUMBER(H85),H85*$F85,"—")</f>
        <v>479.84</v>
      </c>
      <c r="M85" s="14" t="n">
        <f aca="false">IF(ISNUMBER(I85),I85*$F85,"—")</f>
        <v>280.48</v>
      </c>
      <c r="N85" s="14" t="n">
        <f aca="false">IF(ISNUMBER(J85),J85*$F85,"—")</f>
        <v>465.04</v>
      </c>
      <c r="O85" s="77" t="n">
        <f aca="false">IF($S85=0,"—",MIN(G85:J85))</f>
        <v>35.06</v>
      </c>
      <c r="P85" s="42" t="str">
        <f aca="false">IF($S85=0,"—",IF(COUNTIF(G85:J85,O85)&gt;1,"Tie",INDEX($G$6:$J$6,MATCH(O85,G85:J85,0))))</f>
        <v>Mountainland</v>
      </c>
      <c r="Q85" s="48" t="n">
        <f aca="false">IF($S85&gt;=2,MAX(G85:J85)/MIN(G85:J85)-1,"—")</f>
        <v>1.03337136337707</v>
      </c>
      <c r="R85" s="78" t="n">
        <f aca="false">IF($S85&gt;=2,(MAX(G85:J85)-MIN(G85:J85))*$F85,"—")</f>
        <v>289.84</v>
      </c>
      <c r="S85" s="18" t="n">
        <f aca="false">COUNT(G85:J85)</f>
        <v>4</v>
      </c>
      <c r="T85" s="79" t="str">
        <f aca="false">IF($S85&lt;=1,IF($S85=1,"Single quote","—"),"Alt spec – verify")</f>
        <v>Alt spec – verify</v>
      </c>
      <c r="U85" s="79" t="str">
        <f aca="false">IF(COUNT(W85:Z85)&lt;2,"",IF(MAX(W85:Z85)=MIN(W85:Z85),"OK","Qty differs"))</f>
        <v>Qty differs</v>
      </c>
      <c r="V85" s="80" t="s">
        <v>314</v>
      </c>
      <c r="W85" s="81" t="n">
        <f aca="false">IF(COUNTIFS('Quote Lines'!$P$3:$P$805,$A85&amp;"|"&amp;G$6&amp;"|1",'Quote Lines'!$M$3:$M$805,"Y")=0,"",SUMIFS('Quote Lines'!$L$3:$L$805,'Quote Lines'!$P$3:$P$805,$A85&amp;"|"&amp;G$6&amp;"|1",'Quote Lines'!$M$3:$M$805,"Y"))</f>
        <v>8</v>
      </c>
      <c r="X85" s="81" t="n">
        <f aca="false">IF(COUNTIFS('Quote Lines'!$P$3:$P$805,$A85&amp;"|"&amp;H$6&amp;"|1",'Quote Lines'!$M$3:$M$805,"Y")=0,"",SUMIFS('Quote Lines'!$L$3:$L$805,'Quote Lines'!$P$3:$P$805,$A85&amp;"|"&amp;H$6&amp;"|1",'Quote Lines'!$M$3:$M$805,"Y"))</f>
        <v>10</v>
      </c>
      <c r="Y85" s="81" t="n">
        <f aca="false">IF(COUNTIFS('Quote Lines'!$P$3:$P$805,$A85&amp;"|"&amp;I$6&amp;"|1",'Quote Lines'!$M$3:$M$805,"Y")=0,"",SUMIFS('Quote Lines'!$L$3:$L$805,'Quote Lines'!$P$3:$P$805,$A85&amp;"|"&amp;I$6&amp;"|1",'Quote Lines'!$M$3:$M$805,"Y"))</f>
        <v>3</v>
      </c>
      <c r="Z85" s="81" t="n">
        <f aca="false">IF(COUNTIFS('Quote Lines'!$P$3:$P$805,$A85&amp;"|"&amp;J$6&amp;"|1",'Quote Lines'!$M$3:$M$805,"Y")=0,"",SUMIFS('Quote Lines'!$L$3:$L$805,'Quote Lines'!$P$3:$P$805,$A85&amp;"|"&amp;J$6&amp;"|1",'Quote Lines'!$M$3:$M$805,"Y"))</f>
        <v>8</v>
      </c>
      <c r="AA85" s="82" t="n">
        <f aca="false">IF(ISNUMBER(G85),1+SUMPRODUCT(ISNUMBER($G85:$J85)*($G85:$J85&lt;G85)),"")</f>
        <v>4</v>
      </c>
      <c r="AB85" s="82" t="n">
        <f aca="false">IF(ISNUMBER(H85),1+SUMPRODUCT(ISNUMBER($G85:$J85)*($G85:$J85&lt;H85)),"")</f>
        <v>3</v>
      </c>
      <c r="AC85" s="82" t="n">
        <f aca="false">IF(ISNUMBER(I85),1+SUMPRODUCT(ISNUMBER($G85:$J85)*($G85:$J85&lt;I85)),"")</f>
        <v>1</v>
      </c>
      <c r="AD85" s="82" t="n">
        <f aca="false">IF(ISNUMBER(J85),1+SUMPRODUCT(ISNUMBER($G85:$J85)*($G85:$J85&lt;J85)),"")</f>
        <v>2</v>
      </c>
      <c r="AE85" s="82" t="n">
        <f aca="false">IF(NOT(ISNUMBER(G85)),0,IF($S85&lt;2,5,IF(AA85=1,1,IF(G85=MAX($G85:$J85),4,IF(AA85=2,2,3)))))</f>
        <v>4</v>
      </c>
      <c r="AF85" s="82" t="n">
        <f aca="false">IF(NOT(ISNUMBER(H85)),0,IF($S85&lt;2,5,IF(AB85=1,1,IF(H85=MAX($G85:$J85),4,IF(AB85=2,2,3)))))</f>
        <v>3</v>
      </c>
      <c r="AG85" s="82" t="n">
        <f aca="false">IF(NOT(ISNUMBER(I85)),0,IF($S85&lt;2,5,IF(AC85=1,1,IF(I85=MAX($G85:$J85),4,IF(AC85=2,2,3)))))</f>
        <v>1</v>
      </c>
      <c r="AH85" s="82" t="n">
        <f aca="false">IF(NOT(ISNUMBER(J85)),0,IF($S85&lt;2,5,IF(AD85=1,1,IF(J85=MAX($G85:$J85),4,IF(AD85=2,2,3)))))</f>
        <v>2</v>
      </c>
      <c r="AI85" s="83" t="n">
        <f aca="false">IF($S85&gt;=2,IF(ISNUMBER(G85),G85*$F85,MIN($G85:$J85)*$F85),0)</f>
        <v>570.32</v>
      </c>
      <c r="AJ85" s="83" t="n">
        <f aca="false">IF($S85&gt;=2,IF(ISNUMBER(H85),H85*$F85,MIN($G85:$J85)*$F85),0)</f>
        <v>479.84</v>
      </c>
      <c r="AK85" s="83" t="n">
        <f aca="false">IF($S85&gt;=2,IF(ISNUMBER(I85),I85*$F85,MIN($G85:$J85)*$F85),0)</f>
        <v>280.48</v>
      </c>
      <c r="AL85" s="83" t="n">
        <f aca="false">IF($S85&gt;=2,IF(ISNUMBER(J85),J85*$F85,MIN($G85:$J85)*$F85),0)</f>
        <v>465.04</v>
      </c>
      <c r="AM85" s="84" t="n">
        <f aca="false">IF($S85&gt;=2,$R85+ROW()/1000000,"")</f>
        <v>289.840085</v>
      </c>
      <c r="AN85" s="83" t="n">
        <f aca="false">IF($S85&gt;=2,MAX(G85:J85),"")</f>
        <v>71.29</v>
      </c>
      <c r="AO85" s="82" t="str">
        <f aca="false">IF($S85&gt;=2,INDEX($G$6:$J$6,MATCH(MAX(G85:J85),G85:J85,0)),"")</f>
        <v>Ferguson</v>
      </c>
      <c r="AP85" s="83" t="n">
        <f aca="false">IF($S85&gt;=2,MIN(G85:J85)*$F85,0)</f>
        <v>280.48</v>
      </c>
      <c r="AQ85" s="82" t="str">
        <f aca="false">IF($S85&gt;=2,INDEX($G$6:$J$6,MATCH(MIN(G85:J85),G85:J85,0)),"")</f>
        <v>Mountainland</v>
      </c>
    </row>
    <row r="86" customFormat="false" ht="15" hidden="false" customHeight="true" outlineLevel="0" collapsed="false">
      <c r="A86" s="70" t="s">
        <v>315</v>
      </c>
      <c r="B86" s="71" t="s">
        <v>130</v>
      </c>
      <c r="C86" s="72" t="s">
        <v>308</v>
      </c>
      <c r="D86" s="73" t="s">
        <v>316</v>
      </c>
      <c r="E86" s="74" t="s">
        <v>310</v>
      </c>
      <c r="F86" s="75" t="n">
        <v>12</v>
      </c>
      <c r="G86" s="76" t="n">
        <f aca="false">IF(COUNTIF('Quote Lines'!$P$3:$P$805,$A86&amp;"|"&amp;G$6&amp;"|1")=0,"—",SUMIFS('Quote Lines'!$O$3:$O$805,'Quote Lines'!$P$3:$P$805,$A86&amp;"|"&amp;G$6&amp;"|1")/SUMIFS('Quote Lines'!$L$3:$L$805,'Quote Lines'!$P$3:$P$805,$A86&amp;"|"&amp;G$6&amp;"|1")+IFERROR(SUMIFS('Quote Lines'!$O$3:$O$805,'Quote Lines'!$P$3:$P$805,$A86&amp;"|"&amp;G$6&amp;"|2")/SUMIFS('Quote Lines'!$L$3:$L$805,'Quote Lines'!$P$3:$P$805,$A86&amp;"|"&amp;G$6&amp;"|2"),0))</f>
        <v>65.74</v>
      </c>
      <c r="H86" s="76" t="n">
        <f aca="false">IF(COUNTIF('Quote Lines'!$P$3:$P$805,$A86&amp;"|"&amp;H$6&amp;"|1")=0,"—",SUMIFS('Quote Lines'!$O$3:$O$805,'Quote Lines'!$P$3:$P$805,$A86&amp;"|"&amp;H$6&amp;"|1")/SUMIFS('Quote Lines'!$L$3:$L$805,'Quote Lines'!$P$3:$P$805,$A86&amp;"|"&amp;H$6&amp;"|1")+IFERROR(SUMIFS('Quote Lines'!$O$3:$O$805,'Quote Lines'!$P$3:$P$805,$A86&amp;"|"&amp;H$6&amp;"|2")/SUMIFS('Quote Lines'!$L$3:$L$805,'Quote Lines'!$P$3:$P$805,$A86&amp;"|"&amp;H$6&amp;"|2"),0))</f>
        <v>58.44</v>
      </c>
      <c r="I86" s="76" t="n">
        <f aca="false">IF(COUNTIF('Quote Lines'!$P$3:$P$805,$A86&amp;"|"&amp;I$6&amp;"|1")=0,"—",SUMIFS('Quote Lines'!$O$3:$O$805,'Quote Lines'!$P$3:$P$805,$A86&amp;"|"&amp;I$6&amp;"|1")/SUMIFS('Quote Lines'!$L$3:$L$805,'Quote Lines'!$P$3:$P$805,$A86&amp;"|"&amp;I$6&amp;"|1"))</f>
        <v>29.925</v>
      </c>
      <c r="J86" s="76" t="n">
        <f aca="false">IF(COUNTIF('Quote Lines'!$P$3:$P$805,$A86&amp;"|"&amp;J$6&amp;"|1")=0,"—",SUMIFS('Quote Lines'!$O$3:$O$805,'Quote Lines'!$P$3:$P$805,$A86&amp;"|"&amp;J$6&amp;"|1")/SUMIFS('Quote Lines'!$L$3:$L$805,'Quote Lines'!$P$3:$P$805,$A86&amp;"|"&amp;J$6&amp;"|1"))</f>
        <v>46.5</v>
      </c>
      <c r="K86" s="14" t="n">
        <f aca="false">IF(ISNUMBER(G86),G86*$F86,"—")</f>
        <v>788.88</v>
      </c>
      <c r="L86" s="14" t="n">
        <f aca="false">IF(ISNUMBER(H86),H86*$F86,"—")</f>
        <v>701.28</v>
      </c>
      <c r="M86" s="14" t="n">
        <f aca="false">IF(ISNUMBER(I86),I86*$F86,"—")</f>
        <v>359.1</v>
      </c>
      <c r="N86" s="14" t="n">
        <f aca="false">IF(ISNUMBER(J86),J86*$F86,"—")</f>
        <v>558</v>
      </c>
      <c r="O86" s="77" t="n">
        <f aca="false">IF($S86=0,"—",MIN(G86:J86))</f>
        <v>29.925</v>
      </c>
      <c r="P86" s="42" t="str">
        <f aca="false">IF($S86=0,"—",IF(COUNTIF(G86:J86,O86)&gt;1,"Tie",INDEX($G$6:$J$6,MATCH(O86,G86:J86,0))))</f>
        <v>Mountainland</v>
      </c>
      <c r="Q86" s="48" t="n">
        <f aca="false">IF($S86&gt;=2,MAX(G86:J86)/MIN(G86:J86)-1,"—")</f>
        <v>1.1968253968254</v>
      </c>
      <c r="R86" s="78" t="n">
        <f aca="false">IF($S86&gt;=2,(MAX(G86:J86)-MIN(G86:J86))*$F86,"—")</f>
        <v>429.78</v>
      </c>
      <c r="S86" s="18" t="n">
        <f aca="false">COUNT(G86:J86)</f>
        <v>4</v>
      </c>
      <c r="T86" s="79" t="str">
        <f aca="false">IF($S86&lt;=1,IF($S86=1,"Single quote","—"),"Alt spec – verify")</f>
        <v>Alt spec – verify</v>
      </c>
      <c r="U86" s="79" t="str">
        <f aca="false">IF(COUNT(W86:Z86)&lt;2,"",IF(MAX(W86:Z86)=MIN(W86:Z86),"OK","Qty differs"))</f>
        <v>Qty differs</v>
      </c>
      <c r="V86" s="80"/>
      <c r="W86" s="81" t="n">
        <f aca="false">IF(COUNTIFS('Quote Lines'!$P$3:$P$805,$A86&amp;"|"&amp;G$6&amp;"|1",'Quote Lines'!$M$3:$M$805,"Y")=0,"",SUMIFS('Quote Lines'!$L$3:$L$805,'Quote Lines'!$P$3:$P$805,$A86&amp;"|"&amp;G$6&amp;"|1",'Quote Lines'!$M$3:$M$805,"Y"))</f>
        <v>14</v>
      </c>
      <c r="X86" s="81" t="n">
        <f aca="false">IF(COUNTIFS('Quote Lines'!$P$3:$P$805,$A86&amp;"|"&amp;H$6&amp;"|1",'Quote Lines'!$M$3:$M$805,"Y")=0,"",SUMIFS('Quote Lines'!$L$3:$L$805,'Quote Lines'!$P$3:$P$805,$A86&amp;"|"&amp;H$6&amp;"|1",'Quote Lines'!$M$3:$M$805,"Y"))</f>
        <v>12</v>
      </c>
      <c r="Y86" s="81" t="n">
        <f aca="false">IF(COUNTIFS('Quote Lines'!$P$3:$P$805,$A86&amp;"|"&amp;I$6&amp;"|1",'Quote Lines'!$M$3:$M$805,"Y")=0,"",SUMIFS('Quote Lines'!$L$3:$L$805,'Quote Lines'!$P$3:$P$805,$A86&amp;"|"&amp;I$6&amp;"|1",'Quote Lines'!$M$3:$M$805,"Y"))</f>
        <v>12</v>
      </c>
      <c r="Z86" s="81" t="n">
        <f aca="false">IF(COUNTIFS('Quote Lines'!$P$3:$P$805,$A86&amp;"|"&amp;J$6&amp;"|1",'Quote Lines'!$M$3:$M$805,"Y")=0,"",SUMIFS('Quote Lines'!$L$3:$L$805,'Quote Lines'!$P$3:$P$805,$A86&amp;"|"&amp;J$6&amp;"|1",'Quote Lines'!$M$3:$M$805,"Y"))</f>
        <v>12</v>
      </c>
      <c r="AA86" s="82" t="n">
        <f aca="false">IF(ISNUMBER(G86),1+SUMPRODUCT(ISNUMBER($G86:$J86)*($G86:$J86&lt;G86)),"")</f>
        <v>4</v>
      </c>
      <c r="AB86" s="82" t="n">
        <f aca="false">IF(ISNUMBER(H86),1+SUMPRODUCT(ISNUMBER($G86:$J86)*($G86:$J86&lt;H86)),"")</f>
        <v>3</v>
      </c>
      <c r="AC86" s="82" t="n">
        <f aca="false">IF(ISNUMBER(I86),1+SUMPRODUCT(ISNUMBER($G86:$J86)*($G86:$J86&lt;I86)),"")</f>
        <v>1</v>
      </c>
      <c r="AD86" s="82" t="n">
        <f aca="false">IF(ISNUMBER(J86),1+SUMPRODUCT(ISNUMBER($G86:$J86)*($G86:$J86&lt;J86)),"")</f>
        <v>2</v>
      </c>
      <c r="AE86" s="82" t="n">
        <f aca="false">IF(NOT(ISNUMBER(G86)),0,IF($S86&lt;2,5,IF(AA86=1,1,IF(G86=MAX($G86:$J86),4,IF(AA86=2,2,3)))))</f>
        <v>4</v>
      </c>
      <c r="AF86" s="82" t="n">
        <f aca="false">IF(NOT(ISNUMBER(H86)),0,IF($S86&lt;2,5,IF(AB86=1,1,IF(H86=MAX($G86:$J86),4,IF(AB86=2,2,3)))))</f>
        <v>3</v>
      </c>
      <c r="AG86" s="82" t="n">
        <f aca="false">IF(NOT(ISNUMBER(I86)),0,IF($S86&lt;2,5,IF(AC86=1,1,IF(I86=MAX($G86:$J86),4,IF(AC86=2,2,3)))))</f>
        <v>1</v>
      </c>
      <c r="AH86" s="82" t="n">
        <f aca="false">IF(NOT(ISNUMBER(J86)),0,IF($S86&lt;2,5,IF(AD86=1,1,IF(J86=MAX($G86:$J86),4,IF(AD86=2,2,3)))))</f>
        <v>2</v>
      </c>
      <c r="AI86" s="83" t="n">
        <f aca="false">IF($S86&gt;=2,IF(ISNUMBER(G86),G86*$F86,MIN($G86:$J86)*$F86),0)</f>
        <v>788.88</v>
      </c>
      <c r="AJ86" s="83" t="n">
        <f aca="false">IF($S86&gt;=2,IF(ISNUMBER(H86),H86*$F86,MIN($G86:$J86)*$F86),0)</f>
        <v>701.28</v>
      </c>
      <c r="AK86" s="83" t="n">
        <f aca="false">IF($S86&gt;=2,IF(ISNUMBER(I86),I86*$F86,MIN($G86:$J86)*$F86),0)</f>
        <v>359.1</v>
      </c>
      <c r="AL86" s="83" t="n">
        <f aca="false">IF($S86&gt;=2,IF(ISNUMBER(J86),J86*$F86,MIN($G86:$J86)*$F86),0)</f>
        <v>558</v>
      </c>
      <c r="AM86" s="84" t="n">
        <f aca="false">IF($S86&gt;=2,$R86+ROW()/1000000,"")</f>
        <v>429.780086</v>
      </c>
      <c r="AN86" s="83" t="n">
        <f aca="false">IF($S86&gt;=2,MAX(G86:J86),"")</f>
        <v>65.74</v>
      </c>
      <c r="AO86" s="82" t="str">
        <f aca="false">IF($S86&gt;=2,INDEX($G$6:$J$6,MATCH(MAX(G86:J86),G86:J86,0)),"")</f>
        <v>Ferguson</v>
      </c>
      <c r="AP86" s="83" t="n">
        <f aca="false">IF($S86&gt;=2,MIN(G86:J86)*$F86,0)</f>
        <v>359.1</v>
      </c>
      <c r="AQ86" s="82" t="str">
        <f aca="false">IF($S86&gt;=2,INDEX($G$6:$J$6,MATCH(MIN(G86:J86),G86:J86,0)),"")</f>
        <v>Mountainland</v>
      </c>
    </row>
    <row r="87" customFormat="false" ht="15" hidden="false" customHeight="true" outlineLevel="0" collapsed="false">
      <c r="A87" s="70" t="s">
        <v>317</v>
      </c>
      <c r="B87" s="71" t="s">
        <v>130</v>
      </c>
      <c r="C87" s="72" t="s">
        <v>308</v>
      </c>
      <c r="D87" s="73" t="s">
        <v>318</v>
      </c>
      <c r="E87" s="74" t="s">
        <v>310</v>
      </c>
      <c r="F87" s="75" t="n">
        <v>7</v>
      </c>
      <c r="G87" s="76" t="n">
        <f aca="false">IF(COUNTIF('Quote Lines'!$P$3:$P$805,$A87&amp;"|"&amp;G$6&amp;"|1")=0,"—",SUMIFS('Quote Lines'!$O$3:$O$805,'Quote Lines'!$P$3:$P$805,$A87&amp;"|"&amp;G$6&amp;"|1")/SUMIFS('Quote Lines'!$L$3:$L$805,'Quote Lines'!$P$3:$P$805,$A87&amp;"|"&amp;G$6&amp;"|1")+IFERROR(SUMIFS('Quote Lines'!$O$3:$O$805,'Quote Lines'!$P$3:$P$805,$A87&amp;"|"&amp;G$6&amp;"|2")/SUMIFS('Quote Lines'!$L$3:$L$805,'Quote Lines'!$P$3:$P$805,$A87&amp;"|"&amp;G$6&amp;"|2"),0))</f>
        <v>39.21</v>
      </c>
      <c r="H87" s="76" t="n">
        <f aca="false">IF(COUNTIF('Quote Lines'!$P$3:$P$805,$A87&amp;"|"&amp;H$6&amp;"|1")=0,"—",SUMIFS('Quote Lines'!$O$3:$O$805,'Quote Lines'!$P$3:$P$805,$A87&amp;"|"&amp;H$6&amp;"|1")/SUMIFS('Quote Lines'!$L$3:$L$805,'Quote Lines'!$P$3:$P$805,$A87&amp;"|"&amp;H$6&amp;"|1")+IFERROR(SUMIFS('Quote Lines'!$O$3:$O$805,'Quote Lines'!$P$3:$P$805,$A87&amp;"|"&amp;H$6&amp;"|2")/SUMIFS('Quote Lines'!$L$3:$L$805,'Quote Lines'!$P$3:$P$805,$A87&amp;"|"&amp;H$6&amp;"|2"),0))</f>
        <v>31.43</v>
      </c>
      <c r="I87" s="76" t="n">
        <f aca="false">IF(COUNTIF('Quote Lines'!$P$3:$P$805,$A87&amp;"|"&amp;I$6&amp;"|1")=0,"—",SUMIFS('Quote Lines'!$O$3:$O$805,'Quote Lines'!$P$3:$P$805,$A87&amp;"|"&amp;I$6&amp;"|1")/SUMIFS('Quote Lines'!$L$3:$L$805,'Quote Lines'!$P$3:$P$805,$A87&amp;"|"&amp;I$6&amp;"|1"))</f>
        <v>15.3133333333333</v>
      </c>
      <c r="J87" s="76" t="n">
        <f aca="false">IF(COUNTIF('Quote Lines'!$P$3:$P$805,$A87&amp;"|"&amp;J$6&amp;"|1")=0,"—",SUMIFS('Quote Lines'!$O$3:$O$805,'Quote Lines'!$P$3:$P$805,$A87&amp;"|"&amp;J$6&amp;"|1")/SUMIFS('Quote Lines'!$L$3:$L$805,'Quote Lines'!$P$3:$P$805,$A87&amp;"|"&amp;J$6&amp;"|1"))</f>
        <v>39.38</v>
      </c>
      <c r="K87" s="14" t="n">
        <f aca="false">IF(ISNUMBER(G87),G87*$F87,"—")</f>
        <v>274.47</v>
      </c>
      <c r="L87" s="14" t="n">
        <f aca="false">IF(ISNUMBER(H87),H87*$F87,"—")</f>
        <v>220.01</v>
      </c>
      <c r="M87" s="14" t="n">
        <f aca="false">IF(ISNUMBER(I87),I87*$F87,"—")</f>
        <v>107.193333333333</v>
      </c>
      <c r="N87" s="14" t="n">
        <f aca="false">IF(ISNUMBER(J87),J87*$F87,"—")</f>
        <v>275.66</v>
      </c>
      <c r="O87" s="77" t="n">
        <f aca="false">IF($S87=0,"—",MIN(G87:J87))</f>
        <v>15.3133333333333</v>
      </c>
      <c r="P87" s="42" t="str">
        <f aca="false">IF($S87=0,"—",IF(COUNTIF(G87:J87,O87)&gt;1,"Tie",INDEX($G$6:$J$6,MATCH(O87,G87:J87,0))))</f>
        <v>Mountainland</v>
      </c>
      <c r="Q87" s="48" t="n">
        <f aca="false">IF($S87&gt;=2,MAX(G87:J87)/MIN(G87:J87)-1,"—")</f>
        <v>1.57161515019591</v>
      </c>
      <c r="R87" s="78" t="n">
        <f aca="false">IF($S87&gt;=2,(MAX(G87:J87)-MIN(G87:J87))*$F87,"—")</f>
        <v>168.466666666667</v>
      </c>
      <c r="S87" s="18" t="n">
        <f aca="false">COUNT(G87:J87)</f>
        <v>4</v>
      </c>
      <c r="T87" s="79" t="str">
        <f aca="false">IF($S87&lt;=1,IF($S87=1,"Single quote","—"),"Alt spec – verify")</f>
        <v>Alt spec – verify</v>
      </c>
      <c r="U87" s="79" t="str">
        <f aca="false">IF(COUNT(W87:Z87)&lt;2,"",IF(MAX(W87:Z87)=MIN(W87:Z87),"OK","Qty differs"))</f>
        <v>Qty differs</v>
      </c>
      <c r="V87" s="80" t="s">
        <v>319</v>
      </c>
      <c r="W87" s="81" t="n">
        <f aca="false">IF(COUNTIFS('Quote Lines'!$P$3:$P$805,$A87&amp;"|"&amp;G$6&amp;"|1",'Quote Lines'!$M$3:$M$805,"Y")=0,"",SUMIFS('Quote Lines'!$L$3:$L$805,'Quote Lines'!$P$3:$P$805,$A87&amp;"|"&amp;G$6&amp;"|1",'Quote Lines'!$M$3:$M$805,"Y"))</f>
        <v>7</v>
      </c>
      <c r="X87" s="81" t="n">
        <f aca="false">IF(COUNTIFS('Quote Lines'!$P$3:$P$805,$A87&amp;"|"&amp;H$6&amp;"|1",'Quote Lines'!$M$3:$M$805,"Y")=0,"",SUMIFS('Quote Lines'!$L$3:$L$805,'Quote Lines'!$P$3:$P$805,$A87&amp;"|"&amp;H$6&amp;"|1",'Quote Lines'!$M$3:$M$805,"Y"))</f>
        <v>7</v>
      </c>
      <c r="Y87" s="81" t="n">
        <f aca="false">IF(COUNTIFS('Quote Lines'!$P$3:$P$805,$A87&amp;"|"&amp;I$6&amp;"|1",'Quote Lines'!$M$3:$M$805,"Y")=0,"",SUMIFS('Quote Lines'!$L$3:$L$805,'Quote Lines'!$P$3:$P$805,$A87&amp;"|"&amp;I$6&amp;"|1",'Quote Lines'!$M$3:$M$805,"Y"))</f>
        <v>6</v>
      </c>
      <c r="Z87" s="81" t="n">
        <f aca="false">IF(COUNTIFS('Quote Lines'!$P$3:$P$805,$A87&amp;"|"&amp;J$6&amp;"|1",'Quote Lines'!$M$3:$M$805,"Y")=0,"",SUMIFS('Quote Lines'!$L$3:$L$805,'Quote Lines'!$P$3:$P$805,$A87&amp;"|"&amp;J$6&amp;"|1",'Quote Lines'!$M$3:$M$805,"Y"))</f>
        <v>5</v>
      </c>
      <c r="AA87" s="82" t="n">
        <f aca="false">IF(ISNUMBER(G87),1+SUMPRODUCT(ISNUMBER($G87:$J87)*($G87:$J87&lt;G87)),"")</f>
        <v>3</v>
      </c>
      <c r="AB87" s="82" t="n">
        <f aca="false">IF(ISNUMBER(H87),1+SUMPRODUCT(ISNUMBER($G87:$J87)*($G87:$J87&lt;H87)),"")</f>
        <v>2</v>
      </c>
      <c r="AC87" s="82" t="n">
        <f aca="false">IF(ISNUMBER(I87),1+SUMPRODUCT(ISNUMBER($G87:$J87)*($G87:$J87&lt;I87)),"")</f>
        <v>1</v>
      </c>
      <c r="AD87" s="82" t="n">
        <f aca="false">IF(ISNUMBER(J87),1+SUMPRODUCT(ISNUMBER($G87:$J87)*($G87:$J87&lt;J87)),"")</f>
        <v>4</v>
      </c>
      <c r="AE87" s="82" t="n">
        <f aca="false">IF(NOT(ISNUMBER(G87)),0,IF($S87&lt;2,5,IF(AA87=1,1,IF(G87=MAX($G87:$J87),4,IF(AA87=2,2,3)))))</f>
        <v>3</v>
      </c>
      <c r="AF87" s="82" t="n">
        <f aca="false">IF(NOT(ISNUMBER(H87)),0,IF($S87&lt;2,5,IF(AB87=1,1,IF(H87=MAX($G87:$J87),4,IF(AB87=2,2,3)))))</f>
        <v>2</v>
      </c>
      <c r="AG87" s="82" t="n">
        <f aca="false">IF(NOT(ISNUMBER(I87)),0,IF($S87&lt;2,5,IF(AC87=1,1,IF(I87=MAX($G87:$J87),4,IF(AC87=2,2,3)))))</f>
        <v>1</v>
      </c>
      <c r="AH87" s="82" t="n">
        <f aca="false">IF(NOT(ISNUMBER(J87)),0,IF($S87&lt;2,5,IF(AD87=1,1,IF(J87=MAX($G87:$J87),4,IF(AD87=2,2,3)))))</f>
        <v>4</v>
      </c>
      <c r="AI87" s="83" t="n">
        <f aca="false">IF($S87&gt;=2,IF(ISNUMBER(G87),G87*$F87,MIN($G87:$J87)*$F87),0)</f>
        <v>274.47</v>
      </c>
      <c r="AJ87" s="83" t="n">
        <f aca="false">IF($S87&gt;=2,IF(ISNUMBER(H87),H87*$F87,MIN($G87:$J87)*$F87),0)</f>
        <v>220.01</v>
      </c>
      <c r="AK87" s="83" t="n">
        <f aca="false">IF($S87&gt;=2,IF(ISNUMBER(I87),I87*$F87,MIN($G87:$J87)*$F87),0)</f>
        <v>107.193333333333</v>
      </c>
      <c r="AL87" s="83" t="n">
        <f aca="false">IF($S87&gt;=2,IF(ISNUMBER(J87),J87*$F87,MIN($G87:$J87)*$F87),0)</f>
        <v>275.66</v>
      </c>
      <c r="AM87" s="84" t="n">
        <f aca="false">IF($S87&gt;=2,$R87+ROW()/1000000,"")</f>
        <v>168.466753666667</v>
      </c>
      <c r="AN87" s="83" t="n">
        <f aca="false">IF($S87&gt;=2,MAX(G87:J87),"")</f>
        <v>39.38</v>
      </c>
      <c r="AO87" s="82" t="str">
        <f aca="false">IF($S87&gt;=2,INDEX($G$6:$J$6,MATCH(MAX(G87:J87),G87:J87,0)),"")</f>
        <v>Scholzen</v>
      </c>
      <c r="AP87" s="83" t="n">
        <f aca="false">IF($S87&gt;=2,MIN(G87:J87)*$F87,0)</f>
        <v>107.193333333333</v>
      </c>
      <c r="AQ87" s="82" t="str">
        <f aca="false">IF($S87&gt;=2,INDEX($G$6:$J$6,MATCH(MIN(G87:J87),G87:J87,0)),"")</f>
        <v>Mountainland</v>
      </c>
    </row>
    <row r="88" customFormat="false" ht="15" hidden="false" customHeight="true" outlineLevel="0" collapsed="false">
      <c r="A88" s="70" t="s">
        <v>320</v>
      </c>
      <c r="B88" s="71" t="s">
        <v>130</v>
      </c>
      <c r="C88" s="72" t="s">
        <v>308</v>
      </c>
      <c r="D88" s="73" t="s">
        <v>321</v>
      </c>
      <c r="E88" s="74" t="s">
        <v>310</v>
      </c>
      <c r="F88" s="75" t="n">
        <v>2</v>
      </c>
      <c r="G88" s="76" t="n">
        <f aca="false">IF(COUNTIF('Quote Lines'!$P$3:$P$805,$A88&amp;"|"&amp;G$6&amp;"|1")=0,"—",SUMIFS('Quote Lines'!$O$3:$O$805,'Quote Lines'!$P$3:$P$805,$A88&amp;"|"&amp;G$6&amp;"|1")/SUMIFS('Quote Lines'!$L$3:$L$805,'Quote Lines'!$P$3:$P$805,$A88&amp;"|"&amp;G$6&amp;"|1"))</f>
        <v>34.57</v>
      </c>
      <c r="H88" s="76" t="n">
        <f aca="false">IF(COUNTIF('Quote Lines'!$P$3:$P$805,$A88&amp;"|"&amp;H$6&amp;"|1")=0,"—",SUMIFS('Quote Lines'!$O$3:$O$805,'Quote Lines'!$P$3:$P$805,$A88&amp;"|"&amp;H$6&amp;"|1")/SUMIFS('Quote Lines'!$L$3:$L$805,'Quote Lines'!$P$3:$P$805,$A88&amp;"|"&amp;H$6&amp;"|1"))</f>
        <v>33.27</v>
      </c>
      <c r="I88" s="85" t="s">
        <v>138</v>
      </c>
      <c r="J88" s="85" t="s">
        <v>138</v>
      </c>
      <c r="K88" s="14" t="n">
        <f aca="false">IF(ISNUMBER(G88),G88*$F88,"—")</f>
        <v>69.14</v>
      </c>
      <c r="L88" s="14" t="n">
        <f aca="false">IF(ISNUMBER(H88),H88*$F88,"—")</f>
        <v>66.54</v>
      </c>
      <c r="M88" s="14" t="str">
        <f aca="false">IF(ISNUMBER(I88),I88*$F88,"—")</f>
        <v>—</v>
      </c>
      <c r="N88" s="14" t="str">
        <f aca="false">IF(ISNUMBER(J88),J88*$F88,"—")</f>
        <v>—</v>
      </c>
      <c r="O88" s="77" t="n">
        <f aca="false">IF($S88=0,"—",MIN(G88:J88))</f>
        <v>33.27</v>
      </c>
      <c r="P88" s="42" t="str">
        <f aca="false">IF($S88=0,"—",IF(COUNTIF(G88:J88,O88)&gt;1,"Tie",INDEX($G$6:$J$6,MATCH(O88,G88:J88,0))))</f>
        <v>HD Fowler</v>
      </c>
      <c r="Q88" s="48" t="n">
        <f aca="false">IF($S88&gt;=2,MAX(G88:J88)/MIN(G88:J88)-1,"—")</f>
        <v>0.0390742410580101</v>
      </c>
      <c r="R88" s="78" t="n">
        <f aca="false">IF($S88&gt;=2,(MAX(G88:J88)-MIN(G88:J88))*$F88,"—")</f>
        <v>2.59999999999999</v>
      </c>
      <c r="S88" s="18" t="n">
        <f aca="false">COUNT(G88:J88)</f>
        <v>2</v>
      </c>
      <c r="T88" s="79" t="str">
        <f aca="false">IF($S88&lt;=1,IF($S88=1,"Single quote","—"),"Like-for-like")</f>
        <v>Like-for-like</v>
      </c>
      <c r="U88" s="79" t="str">
        <f aca="false">IF(COUNT(W88:Z88)&lt;2,"",IF(MAX(W88:Z88)=MIN(W88:Z88),"OK","Qty differs"))</f>
        <v>OK</v>
      </c>
      <c r="V88" s="80"/>
      <c r="W88" s="81" t="n">
        <f aca="false">IF(COUNTIFS('Quote Lines'!$P$3:$P$805,$A88&amp;"|"&amp;G$6&amp;"|1",'Quote Lines'!$M$3:$M$805,"Y")=0,"",SUMIFS('Quote Lines'!$L$3:$L$805,'Quote Lines'!$P$3:$P$805,$A88&amp;"|"&amp;G$6&amp;"|1",'Quote Lines'!$M$3:$M$805,"Y"))</f>
        <v>2</v>
      </c>
      <c r="X88" s="81" t="n">
        <f aca="false">IF(COUNTIFS('Quote Lines'!$P$3:$P$805,$A88&amp;"|"&amp;H$6&amp;"|1",'Quote Lines'!$M$3:$M$805,"Y")=0,"",SUMIFS('Quote Lines'!$L$3:$L$805,'Quote Lines'!$P$3:$P$805,$A88&amp;"|"&amp;H$6&amp;"|1",'Quote Lines'!$M$3:$M$805,"Y"))</f>
        <v>2</v>
      </c>
      <c r="Y88" s="81"/>
      <c r="Z88" s="81"/>
      <c r="AA88" s="82" t="n">
        <f aca="false">IF(ISNUMBER(G88),1+SUMPRODUCT(ISNUMBER($G88:$J88)*($G88:$J88&lt;G88)),"")</f>
        <v>2</v>
      </c>
      <c r="AB88" s="82" t="n">
        <f aca="false">IF(ISNUMBER(H88),1+SUMPRODUCT(ISNUMBER($G88:$J88)*($G88:$J88&lt;H88)),"")</f>
        <v>1</v>
      </c>
      <c r="AC88" s="82" t="str">
        <f aca="false">IF(ISNUMBER(I88),1+SUMPRODUCT(ISNUMBER($G88:$J88)*($G88:$J88&lt;I88)),"")</f>
        <v/>
      </c>
      <c r="AD88" s="82" t="str">
        <f aca="false">IF(ISNUMBER(J88),1+SUMPRODUCT(ISNUMBER($G88:$J88)*($G88:$J88&lt;J88)),"")</f>
        <v/>
      </c>
      <c r="AE88" s="82" t="n">
        <f aca="false">IF(NOT(ISNUMBER(G88)),0,IF($S88&lt;2,5,IF(AA88=1,1,IF(G88=MAX($G88:$J88),4,IF(AA88=2,2,3)))))</f>
        <v>4</v>
      </c>
      <c r="AF88" s="82" t="n">
        <f aca="false">IF(NOT(ISNUMBER(H88)),0,IF($S88&lt;2,5,IF(AB88=1,1,IF(H88=MAX($G88:$J88),4,IF(AB88=2,2,3)))))</f>
        <v>1</v>
      </c>
      <c r="AG88" s="82" t="n">
        <f aca="false">IF(NOT(ISNUMBER(I88)),0,IF($S88&lt;2,5,IF(AC88=1,1,IF(I88=MAX($G88:$J88),4,IF(AC88=2,2,3)))))</f>
        <v>0</v>
      </c>
      <c r="AH88" s="82" t="n">
        <f aca="false">IF(NOT(ISNUMBER(J88)),0,IF($S88&lt;2,5,IF(AD88=1,1,IF(J88=MAX($G88:$J88),4,IF(AD88=2,2,3)))))</f>
        <v>0</v>
      </c>
      <c r="AI88" s="83" t="n">
        <f aca="false">IF($S88&gt;=2,IF(ISNUMBER(G88),G88*$F88,MIN($G88:$J88)*$F88),0)</f>
        <v>69.14</v>
      </c>
      <c r="AJ88" s="83" t="n">
        <f aca="false">IF($S88&gt;=2,IF(ISNUMBER(H88),H88*$F88,MIN($G88:$J88)*$F88),0)</f>
        <v>66.54</v>
      </c>
      <c r="AK88" s="83" t="n">
        <f aca="false">IF($S88&gt;=2,IF(ISNUMBER(I88),I88*$F88,MIN($G88:$J88)*$F88),0)</f>
        <v>66.54</v>
      </c>
      <c r="AL88" s="83" t="n">
        <f aca="false">IF($S88&gt;=2,IF(ISNUMBER(J88),J88*$F88,MIN($G88:$J88)*$F88),0)</f>
        <v>66.54</v>
      </c>
      <c r="AM88" s="84" t="n">
        <f aca="false">IF($S88&gt;=2,$R88+ROW()/1000000,"")</f>
        <v>2.60008799999999</v>
      </c>
      <c r="AN88" s="83" t="n">
        <f aca="false">IF($S88&gt;=2,MAX(G88:J88),"")</f>
        <v>34.57</v>
      </c>
      <c r="AO88" s="82" t="str">
        <f aca="false">IF($S88&gt;=2,INDEX($G$6:$J$6,MATCH(MAX(G88:J88),G88:J88,0)),"")</f>
        <v>Ferguson</v>
      </c>
      <c r="AP88" s="83" t="n">
        <f aca="false">IF($S88&gt;=2,MIN(G88:J88)*$F88,0)</f>
        <v>66.54</v>
      </c>
      <c r="AQ88" s="82" t="str">
        <f aca="false">IF($S88&gt;=2,INDEX($G$6:$J$6,MATCH(MIN(G88:J88),G88:J88,0)),"")</f>
        <v>HD Fowler</v>
      </c>
    </row>
    <row r="89" customFormat="false" ht="15" hidden="false" customHeight="true" outlineLevel="0" collapsed="false">
      <c r="A89" s="70" t="s">
        <v>322</v>
      </c>
      <c r="B89" s="71" t="s">
        <v>130</v>
      </c>
      <c r="C89" s="72" t="s">
        <v>308</v>
      </c>
      <c r="D89" s="73" t="s">
        <v>323</v>
      </c>
      <c r="E89" s="74" t="s">
        <v>310</v>
      </c>
      <c r="F89" s="75" t="n">
        <v>1</v>
      </c>
      <c r="G89" s="85" t="s">
        <v>138</v>
      </c>
      <c r="H89" s="85" t="s">
        <v>138</v>
      </c>
      <c r="I89" s="76" t="n">
        <f aca="false">IF(COUNTIF('Quote Lines'!$P$3:$P$805,$A89&amp;"|"&amp;I$6&amp;"|1")=0,"—",SUMIFS('Quote Lines'!$O$3:$O$805,'Quote Lines'!$P$3:$P$805,$A89&amp;"|"&amp;I$6&amp;"|1")/SUMIFS('Quote Lines'!$L$3:$L$805,'Quote Lines'!$P$3:$P$805,$A89&amp;"|"&amp;I$6&amp;"|1"))</f>
        <v>9.74</v>
      </c>
      <c r="J89" s="85" t="s">
        <v>138</v>
      </c>
      <c r="K89" s="14" t="str">
        <f aca="false">IF(ISNUMBER(G89),G89*$F89,"—")</f>
        <v>—</v>
      </c>
      <c r="L89" s="14" t="str">
        <f aca="false">IF(ISNUMBER(H89),H89*$F89,"—")</f>
        <v>—</v>
      </c>
      <c r="M89" s="14" t="n">
        <f aca="false">IF(ISNUMBER(I89),I89*$F89,"—")</f>
        <v>9.74</v>
      </c>
      <c r="N89" s="14" t="str">
        <f aca="false">IF(ISNUMBER(J89),J89*$F89,"—")</f>
        <v>—</v>
      </c>
      <c r="O89" s="77" t="n">
        <f aca="false">IF($S89=0,"—",MIN(G89:J89))</f>
        <v>9.74</v>
      </c>
      <c r="P89" s="42" t="str">
        <f aca="false">IF($S89=0,"—",IF(COUNTIF(G89:J89,O89)&gt;1,"Tie",INDEX($G$6:$J$6,MATCH(O89,G89:J89,0))))</f>
        <v>Mountainland</v>
      </c>
      <c r="Q89" s="48" t="str">
        <f aca="false">IF($S89&gt;=2,MAX(G89:J89)/MIN(G89:J89)-1,"—")</f>
        <v>—</v>
      </c>
      <c r="R89" s="78" t="str">
        <f aca="false">IF($S89&gt;=2,(MAX(G89:J89)-MIN(G89:J89))*$F89,"—")</f>
        <v>—</v>
      </c>
      <c r="S89" s="18" t="n">
        <f aca="false">COUNT(G89:J89)</f>
        <v>1</v>
      </c>
      <c r="T89" s="79" t="str">
        <f aca="false">IF($S89&lt;=1,IF($S89=1,"Single quote","—"),"Like-for-like")</f>
        <v>Single quote</v>
      </c>
      <c r="U89" s="79" t="str">
        <f aca="false">IF(COUNT(W89:Z89)&lt;2,"",IF(MAX(W89:Z89)=MIN(W89:Z89),"OK","Qty differs"))</f>
        <v/>
      </c>
      <c r="V89" s="80"/>
      <c r="W89" s="81"/>
      <c r="X89" s="81"/>
      <c r="Y89" s="81" t="n">
        <f aca="false">IF(COUNTIFS('Quote Lines'!$P$3:$P$805,$A89&amp;"|"&amp;I$6&amp;"|1",'Quote Lines'!$M$3:$M$805,"Y")=0,"",SUMIFS('Quote Lines'!$L$3:$L$805,'Quote Lines'!$P$3:$P$805,$A89&amp;"|"&amp;I$6&amp;"|1",'Quote Lines'!$M$3:$M$805,"Y"))</f>
        <v>1</v>
      </c>
      <c r="Z89" s="81"/>
      <c r="AA89" s="82" t="str">
        <f aca="false">IF(ISNUMBER(G89),1+SUMPRODUCT(ISNUMBER($G89:$J89)*($G89:$J89&lt;G89)),"")</f>
        <v/>
      </c>
      <c r="AB89" s="82" t="str">
        <f aca="false">IF(ISNUMBER(H89),1+SUMPRODUCT(ISNUMBER($G89:$J89)*($G89:$J89&lt;H89)),"")</f>
        <v/>
      </c>
      <c r="AC89" s="82" t="n">
        <f aca="false">IF(ISNUMBER(I89),1+SUMPRODUCT(ISNUMBER($G89:$J89)*($G89:$J89&lt;I89)),"")</f>
        <v>1</v>
      </c>
      <c r="AD89" s="82" t="str">
        <f aca="false">IF(ISNUMBER(J89),1+SUMPRODUCT(ISNUMBER($G89:$J89)*($G89:$J89&lt;J89)),"")</f>
        <v/>
      </c>
      <c r="AE89" s="82" t="n">
        <f aca="false">IF(NOT(ISNUMBER(G89)),0,IF($S89&lt;2,5,IF(AA89=1,1,IF(G89=MAX($G89:$J89),4,IF(AA89=2,2,3)))))</f>
        <v>0</v>
      </c>
      <c r="AF89" s="82" t="n">
        <f aca="false">IF(NOT(ISNUMBER(H89)),0,IF($S89&lt;2,5,IF(AB89=1,1,IF(H89=MAX($G89:$J89),4,IF(AB89=2,2,3)))))</f>
        <v>0</v>
      </c>
      <c r="AG89" s="82" t="n">
        <f aca="false">IF(NOT(ISNUMBER(I89)),0,IF($S89&lt;2,5,IF(AC89=1,1,IF(I89=MAX($G89:$J89),4,IF(AC89=2,2,3)))))</f>
        <v>5</v>
      </c>
      <c r="AH89" s="82" t="n">
        <f aca="false">IF(NOT(ISNUMBER(J89)),0,IF($S89&lt;2,5,IF(AD89=1,1,IF(J89=MAX($G89:$J89),4,IF(AD89=2,2,3)))))</f>
        <v>0</v>
      </c>
      <c r="AI89" s="83" t="n">
        <f aca="false">IF($S89&gt;=2,IF(ISNUMBER(G89),G89*$F89,MIN($G89:$J89)*$F89),0)</f>
        <v>0</v>
      </c>
      <c r="AJ89" s="83" t="n">
        <f aca="false">IF($S89&gt;=2,IF(ISNUMBER(H89),H89*$F89,MIN($G89:$J89)*$F89),0)</f>
        <v>0</v>
      </c>
      <c r="AK89" s="83" t="n">
        <f aca="false">IF($S89&gt;=2,IF(ISNUMBER(I89),I89*$F89,MIN($G89:$J89)*$F89),0)</f>
        <v>0</v>
      </c>
      <c r="AL89" s="83" t="n">
        <f aca="false">IF($S89&gt;=2,IF(ISNUMBER(J89),J89*$F89,MIN($G89:$J89)*$F89),0)</f>
        <v>0</v>
      </c>
      <c r="AM89" s="84" t="str">
        <f aca="false">IF($S89&gt;=2,$R89+ROW()/1000000,"")</f>
        <v/>
      </c>
      <c r="AN89" s="83" t="str">
        <f aca="false">IF($S89&gt;=2,MAX(G89:J89),"")</f>
        <v/>
      </c>
      <c r="AO89" s="82" t="str">
        <f aca="false">IF($S89&gt;=2,INDEX($G$6:$J$6,MATCH(MAX(G89:J89),G89:J89,0)),"")</f>
        <v/>
      </c>
      <c r="AP89" s="83" t="n">
        <f aca="false">IF($S89&gt;=2,MIN(G89:J89)*$F89,0)</f>
        <v>0</v>
      </c>
      <c r="AQ89" s="82" t="str">
        <f aca="false">IF($S89&gt;=2,INDEX($G$6:$J$6,MATCH(MIN(G89:J89),G89:J89,0)),"")</f>
        <v/>
      </c>
    </row>
    <row r="90" customFormat="false" ht="27.75" hidden="false" customHeight="true" outlineLevel="0" collapsed="false">
      <c r="A90" s="70" t="s">
        <v>324</v>
      </c>
      <c r="B90" s="71" t="s">
        <v>130</v>
      </c>
      <c r="C90" s="72" t="s">
        <v>325</v>
      </c>
      <c r="D90" s="73" t="s">
        <v>326</v>
      </c>
      <c r="E90" s="74" t="s">
        <v>133</v>
      </c>
      <c r="F90" s="75" t="n">
        <v>1</v>
      </c>
      <c r="G90" s="76" t="n">
        <f aca="false">IF(COUNTIF('Quote Lines'!$P$3:$P$805,$A90&amp;"|"&amp;G$6&amp;"|1")=0,"—",SUMIFS('Quote Lines'!$O$3:$O$805,'Quote Lines'!$P$3:$P$805,$A90&amp;"|"&amp;G$6&amp;"|1")/SUMIFS('Quote Lines'!$L$3:$L$805,'Quote Lines'!$P$3:$P$805,$A90&amp;"|"&amp;G$6&amp;"|1"))</f>
        <v>168.89</v>
      </c>
      <c r="H90" s="85" t="s">
        <v>138</v>
      </c>
      <c r="I90" s="76" t="n">
        <f aca="false">IF(COUNTIF('Quote Lines'!$P$3:$P$805,$A90&amp;"|"&amp;I$6&amp;"|1")=0,"—",SUMIFS('Quote Lines'!$O$3:$O$805,'Quote Lines'!$P$3:$P$805,$A90&amp;"|"&amp;I$6&amp;"|1")/SUMIFS('Quote Lines'!$L$3:$L$805,'Quote Lines'!$P$3:$P$805,$A90&amp;"|"&amp;I$6&amp;"|1"))</f>
        <v>671.64</v>
      </c>
      <c r="J90" s="76" t="n">
        <f aca="false">IF(COUNTIF('Quote Lines'!$P$3:$P$805,$A90&amp;"|"&amp;J$6&amp;"|1")=0,"—",SUMIFS('Quote Lines'!$O$3:$O$805,'Quote Lines'!$P$3:$P$805,$A90&amp;"|"&amp;J$6&amp;"|1")/SUMIFS('Quote Lines'!$L$3:$L$805,'Quote Lines'!$P$3:$P$805,$A90&amp;"|"&amp;J$6&amp;"|1"))</f>
        <v>585</v>
      </c>
      <c r="K90" s="14" t="n">
        <f aca="false">IF(ISNUMBER(G90),G90*$F90,"—")</f>
        <v>168.89</v>
      </c>
      <c r="L90" s="14" t="str">
        <f aca="false">IF(ISNUMBER(H90),H90*$F90,"—")</f>
        <v>—</v>
      </c>
      <c r="M90" s="14" t="n">
        <f aca="false">IF(ISNUMBER(I90),I90*$F90,"—")</f>
        <v>671.64</v>
      </c>
      <c r="N90" s="14" t="n">
        <f aca="false">IF(ISNUMBER(J90),J90*$F90,"—")</f>
        <v>585</v>
      </c>
      <c r="O90" s="77" t="n">
        <f aca="false">IF($S90=0,"—",MIN(G90:J90))</f>
        <v>168.89</v>
      </c>
      <c r="P90" s="42" t="str">
        <f aca="false">IF($S90=0,"—",IF(COUNTIF(G90:J90,O90)&gt;1,"Tie",INDEX($G$6:$J$6,MATCH(O90,G90:J90,0))))</f>
        <v>Ferguson</v>
      </c>
      <c r="Q90" s="48" t="n">
        <f aca="false">IF($S90&gt;=2,MAX(G90:J90)/MIN(G90:J90)-1,"—")</f>
        <v>2.97678962638404</v>
      </c>
      <c r="R90" s="78" t="n">
        <f aca="false">IF($S90&gt;=2,(MAX(G90:J90)-MIN(G90:J90))*$F90,"—")</f>
        <v>502.75</v>
      </c>
      <c r="S90" s="18" t="n">
        <f aca="false">COUNT(G90:J90)</f>
        <v>3</v>
      </c>
      <c r="T90" s="79" t="str">
        <f aca="false">IF($S90&lt;=1,IF($S90=1,"Single quote","—"),"Alt spec – verify")</f>
        <v>Alt spec – verify</v>
      </c>
      <c r="U90" s="79" t="str">
        <f aca="false">IF(COUNT(W90:Z90)&lt;2,"",IF(MAX(W90:Z90)=MIN(W90:Z90),"OK","Qty differs"))</f>
        <v>OK</v>
      </c>
      <c r="V90" s="80" t="s">
        <v>327</v>
      </c>
      <c r="W90" s="81" t="n">
        <f aca="false">IF(COUNTIFS('Quote Lines'!$P$3:$P$805,$A90&amp;"|"&amp;G$6&amp;"|1",'Quote Lines'!$M$3:$M$805,"Y")=0,"",SUMIFS('Quote Lines'!$L$3:$L$805,'Quote Lines'!$P$3:$P$805,$A90&amp;"|"&amp;G$6&amp;"|1",'Quote Lines'!$M$3:$M$805,"Y"))</f>
        <v>1</v>
      </c>
      <c r="X90" s="81"/>
      <c r="Y90" s="81" t="n">
        <f aca="false">IF(COUNTIFS('Quote Lines'!$P$3:$P$805,$A90&amp;"|"&amp;I$6&amp;"|1",'Quote Lines'!$M$3:$M$805,"Y")=0,"",SUMIFS('Quote Lines'!$L$3:$L$805,'Quote Lines'!$P$3:$P$805,$A90&amp;"|"&amp;I$6&amp;"|1",'Quote Lines'!$M$3:$M$805,"Y"))</f>
        <v>1</v>
      </c>
      <c r="Z90" s="81" t="n">
        <f aca="false">IF(COUNTIFS('Quote Lines'!$P$3:$P$805,$A90&amp;"|"&amp;J$6&amp;"|1",'Quote Lines'!$M$3:$M$805,"Y")=0,"",SUMIFS('Quote Lines'!$L$3:$L$805,'Quote Lines'!$P$3:$P$805,$A90&amp;"|"&amp;J$6&amp;"|1",'Quote Lines'!$M$3:$M$805,"Y"))</f>
        <v>1</v>
      </c>
      <c r="AA90" s="82" t="n">
        <f aca="false">IF(ISNUMBER(G90),1+SUMPRODUCT(ISNUMBER($G90:$J90)*($G90:$J90&lt;G90)),"")</f>
        <v>1</v>
      </c>
      <c r="AB90" s="82" t="str">
        <f aca="false">IF(ISNUMBER(H90),1+SUMPRODUCT(ISNUMBER($G90:$J90)*($G90:$J90&lt;H90)),"")</f>
        <v/>
      </c>
      <c r="AC90" s="82" t="n">
        <f aca="false">IF(ISNUMBER(I90),1+SUMPRODUCT(ISNUMBER($G90:$J90)*($G90:$J90&lt;I90)),"")</f>
        <v>3</v>
      </c>
      <c r="AD90" s="82" t="n">
        <f aca="false">IF(ISNUMBER(J90),1+SUMPRODUCT(ISNUMBER($G90:$J90)*($G90:$J90&lt;J90)),"")</f>
        <v>2</v>
      </c>
      <c r="AE90" s="82" t="n">
        <f aca="false">IF(NOT(ISNUMBER(G90)),0,IF($S90&lt;2,5,IF(AA90=1,1,IF(G90=MAX($G90:$J90),4,IF(AA90=2,2,3)))))</f>
        <v>1</v>
      </c>
      <c r="AF90" s="82" t="n">
        <f aca="false">IF(NOT(ISNUMBER(H90)),0,IF($S90&lt;2,5,IF(AB90=1,1,IF(H90=MAX($G90:$J90),4,IF(AB90=2,2,3)))))</f>
        <v>0</v>
      </c>
      <c r="AG90" s="82" t="n">
        <f aca="false">IF(NOT(ISNUMBER(I90)),0,IF($S90&lt;2,5,IF(AC90=1,1,IF(I90=MAX($G90:$J90),4,IF(AC90=2,2,3)))))</f>
        <v>4</v>
      </c>
      <c r="AH90" s="82" t="n">
        <f aca="false">IF(NOT(ISNUMBER(J90)),0,IF($S90&lt;2,5,IF(AD90=1,1,IF(J90=MAX($G90:$J90),4,IF(AD90=2,2,3)))))</f>
        <v>2</v>
      </c>
      <c r="AI90" s="83" t="n">
        <f aca="false">IF($S90&gt;=2,IF(ISNUMBER(G90),G90*$F90,MIN($G90:$J90)*$F90),0)</f>
        <v>168.89</v>
      </c>
      <c r="AJ90" s="83" t="n">
        <f aca="false">IF($S90&gt;=2,IF(ISNUMBER(H90),H90*$F90,MIN($G90:$J90)*$F90),0)</f>
        <v>168.89</v>
      </c>
      <c r="AK90" s="83" t="n">
        <f aca="false">IF($S90&gt;=2,IF(ISNUMBER(I90),I90*$F90,MIN($G90:$J90)*$F90),0)</f>
        <v>671.64</v>
      </c>
      <c r="AL90" s="83" t="n">
        <f aca="false">IF($S90&gt;=2,IF(ISNUMBER(J90),J90*$F90,MIN($G90:$J90)*$F90),0)</f>
        <v>585</v>
      </c>
      <c r="AM90" s="84" t="n">
        <f aca="false">IF($S90&gt;=2,$R90+ROW()/1000000,"")</f>
        <v>502.75009</v>
      </c>
      <c r="AN90" s="83" t="n">
        <f aca="false">IF($S90&gt;=2,MAX(G90:J90),"")</f>
        <v>671.64</v>
      </c>
      <c r="AO90" s="82" t="str">
        <f aca="false">IF($S90&gt;=2,INDEX($G$6:$J$6,MATCH(MAX(G90:J90),G90:J90,0)),"")</f>
        <v>Mountainland</v>
      </c>
      <c r="AP90" s="83" t="n">
        <f aca="false">IF($S90&gt;=2,MIN(G90:J90)*$F90,0)</f>
        <v>168.89</v>
      </c>
      <c r="AQ90" s="82" t="str">
        <f aca="false">IF($S90&gt;=2,INDEX($G$6:$J$6,MATCH(MIN(G90:J90),G90:J90,0)),"")</f>
        <v>Ferguson</v>
      </c>
    </row>
    <row r="91" customFormat="false" ht="15" hidden="false" customHeight="true" outlineLevel="0" collapsed="false">
      <c r="A91" s="70" t="s">
        <v>328</v>
      </c>
      <c r="B91" s="71" t="s">
        <v>130</v>
      </c>
      <c r="C91" s="72" t="s">
        <v>325</v>
      </c>
      <c r="D91" s="73" t="s">
        <v>329</v>
      </c>
      <c r="E91" s="74" t="s">
        <v>133</v>
      </c>
      <c r="F91" s="75" t="n">
        <v>2</v>
      </c>
      <c r="G91" s="85" t="s">
        <v>138</v>
      </c>
      <c r="H91" s="85" t="s">
        <v>138</v>
      </c>
      <c r="I91" s="76" t="n">
        <f aca="false">IF(COUNTIF('Quote Lines'!$P$3:$P$805,$A91&amp;"|"&amp;I$6&amp;"|1")=0,"—",SUMIFS('Quote Lines'!$O$3:$O$805,'Quote Lines'!$P$3:$P$805,$A91&amp;"|"&amp;I$6&amp;"|1")/SUMIFS('Quote Lines'!$L$3:$L$805,'Quote Lines'!$P$3:$P$805,$A91&amp;"|"&amp;I$6&amp;"|1"))</f>
        <v>104.74</v>
      </c>
      <c r="J91" s="85" t="s">
        <v>138</v>
      </c>
      <c r="K91" s="14" t="str">
        <f aca="false">IF(ISNUMBER(G91),G91*$F91,"—")</f>
        <v>—</v>
      </c>
      <c r="L91" s="14" t="str">
        <f aca="false">IF(ISNUMBER(H91),H91*$F91,"—")</f>
        <v>—</v>
      </c>
      <c r="M91" s="14" t="n">
        <f aca="false">IF(ISNUMBER(I91),I91*$F91,"—")</f>
        <v>209.48</v>
      </c>
      <c r="N91" s="14" t="str">
        <f aca="false">IF(ISNUMBER(J91),J91*$F91,"—")</f>
        <v>—</v>
      </c>
      <c r="O91" s="77" t="n">
        <f aca="false">IF($S91=0,"—",MIN(G91:J91))</f>
        <v>104.74</v>
      </c>
      <c r="P91" s="42" t="str">
        <f aca="false">IF($S91=0,"—",IF(COUNTIF(G91:J91,O91)&gt;1,"Tie",INDEX($G$6:$J$6,MATCH(O91,G91:J91,0))))</f>
        <v>Mountainland</v>
      </c>
      <c r="Q91" s="48" t="str">
        <f aca="false">IF($S91&gt;=2,MAX(G91:J91)/MIN(G91:J91)-1,"—")</f>
        <v>—</v>
      </c>
      <c r="R91" s="78" t="str">
        <f aca="false">IF($S91&gt;=2,(MAX(G91:J91)-MIN(G91:J91))*$F91,"—")</f>
        <v>—</v>
      </c>
      <c r="S91" s="18" t="n">
        <f aca="false">COUNT(G91:J91)</f>
        <v>1</v>
      </c>
      <c r="T91" s="79" t="str">
        <f aca="false">IF($S91&lt;=1,IF($S91=1,"Single quote","—"),"Like-for-like")</f>
        <v>Single quote</v>
      </c>
      <c r="U91" s="79" t="str">
        <f aca="false">IF(COUNT(W91:Z91)&lt;2,"",IF(MAX(W91:Z91)=MIN(W91:Z91),"OK","Qty differs"))</f>
        <v/>
      </c>
      <c r="V91" s="80"/>
      <c r="W91" s="81"/>
      <c r="X91" s="81"/>
      <c r="Y91" s="81" t="n">
        <f aca="false">IF(COUNTIFS('Quote Lines'!$P$3:$P$805,$A91&amp;"|"&amp;I$6&amp;"|1",'Quote Lines'!$M$3:$M$805,"Y")=0,"",SUMIFS('Quote Lines'!$L$3:$L$805,'Quote Lines'!$P$3:$P$805,$A91&amp;"|"&amp;I$6&amp;"|1",'Quote Lines'!$M$3:$M$805,"Y"))</f>
        <v>2</v>
      </c>
      <c r="Z91" s="81"/>
      <c r="AA91" s="82" t="str">
        <f aca="false">IF(ISNUMBER(G91),1+SUMPRODUCT(ISNUMBER($G91:$J91)*($G91:$J91&lt;G91)),"")</f>
        <v/>
      </c>
      <c r="AB91" s="82" t="str">
        <f aca="false">IF(ISNUMBER(H91),1+SUMPRODUCT(ISNUMBER($G91:$J91)*($G91:$J91&lt;H91)),"")</f>
        <v/>
      </c>
      <c r="AC91" s="82" t="n">
        <f aca="false">IF(ISNUMBER(I91),1+SUMPRODUCT(ISNUMBER($G91:$J91)*($G91:$J91&lt;I91)),"")</f>
        <v>1</v>
      </c>
      <c r="AD91" s="82" t="str">
        <f aca="false">IF(ISNUMBER(J91),1+SUMPRODUCT(ISNUMBER($G91:$J91)*($G91:$J91&lt;J91)),"")</f>
        <v/>
      </c>
      <c r="AE91" s="82" t="n">
        <f aca="false">IF(NOT(ISNUMBER(G91)),0,IF($S91&lt;2,5,IF(AA91=1,1,IF(G91=MAX($G91:$J91),4,IF(AA91=2,2,3)))))</f>
        <v>0</v>
      </c>
      <c r="AF91" s="82" t="n">
        <f aca="false">IF(NOT(ISNUMBER(H91)),0,IF($S91&lt;2,5,IF(AB91=1,1,IF(H91=MAX($G91:$J91),4,IF(AB91=2,2,3)))))</f>
        <v>0</v>
      </c>
      <c r="AG91" s="82" t="n">
        <f aca="false">IF(NOT(ISNUMBER(I91)),0,IF($S91&lt;2,5,IF(AC91=1,1,IF(I91=MAX($G91:$J91),4,IF(AC91=2,2,3)))))</f>
        <v>5</v>
      </c>
      <c r="AH91" s="82" t="n">
        <f aca="false">IF(NOT(ISNUMBER(J91)),0,IF($S91&lt;2,5,IF(AD91=1,1,IF(J91=MAX($G91:$J91),4,IF(AD91=2,2,3)))))</f>
        <v>0</v>
      </c>
      <c r="AI91" s="83" t="n">
        <f aca="false">IF($S91&gt;=2,IF(ISNUMBER(G91),G91*$F91,MIN($G91:$J91)*$F91),0)</f>
        <v>0</v>
      </c>
      <c r="AJ91" s="83" t="n">
        <f aca="false">IF($S91&gt;=2,IF(ISNUMBER(H91),H91*$F91,MIN($G91:$J91)*$F91),0)</f>
        <v>0</v>
      </c>
      <c r="AK91" s="83" t="n">
        <f aca="false">IF($S91&gt;=2,IF(ISNUMBER(I91),I91*$F91,MIN($G91:$J91)*$F91),0)</f>
        <v>0</v>
      </c>
      <c r="AL91" s="83" t="n">
        <f aca="false">IF($S91&gt;=2,IF(ISNUMBER(J91),J91*$F91,MIN($G91:$J91)*$F91),0)</f>
        <v>0</v>
      </c>
      <c r="AM91" s="84" t="str">
        <f aca="false">IF($S91&gt;=2,$R91+ROW()/1000000,"")</f>
        <v/>
      </c>
      <c r="AN91" s="83" t="str">
        <f aca="false">IF($S91&gt;=2,MAX(G91:J91),"")</f>
        <v/>
      </c>
      <c r="AO91" s="82" t="str">
        <f aca="false">IF($S91&gt;=2,INDEX($G$6:$J$6,MATCH(MAX(G91:J91),G91:J91,0)),"")</f>
        <v/>
      </c>
      <c r="AP91" s="83" t="n">
        <f aca="false">IF($S91&gt;=2,MIN(G91:J91)*$F91,0)</f>
        <v>0</v>
      </c>
      <c r="AQ91" s="82" t="str">
        <f aca="false">IF($S91&gt;=2,INDEX($G$6:$J$6,MATCH(MIN(G91:J91),G91:J91,0)),"")</f>
        <v/>
      </c>
    </row>
    <row r="92" customFormat="false" ht="15" hidden="false" customHeight="true" outlineLevel="0" collapsed="false">
      <c r="A92" s="70" t="s">
        <v>330</v>
      </c>
      <c r="B92" s="71" t="s">
        <v>130</v>
      </c>
      <c r="C92" s="72" t="s">
        <v>325</v>
      </c>
      <c r="D92" s="73" t="s">
        <v>331</v>
      </c>
      <c r="E92" s="74" t="s">
        <v>133</v>
      </c>
      <c r="F92" s="75" t="n">
        <v>2</v>
      </c>
      <c r="G92" s="85" t="s">
        <v>138</v>
      </c>
      <c r="H92" s="85" t="s">
        <v>138</v>
      </c>
      <c r="I92" s="76" t="n">
        <f aca="false">IF(COUNTIF('Quote Lines'!$P$3:$P$805,$A92&amp;"|"&amp;I$6&amp;"|1")=0,"—",SUMIFS('Quote Lines'!$O$3:$O$805,'Quote Lines'!$P$3:$P$805,$A92&amp;"|"&amp;I$6&amp;"|1")/SUMIFS('Quote Lines'!$L$3:$L$805,'Quote Lines'!$P$3:$P$805,$A92&amp;"|"&amp;I$6&amp;"|1"))</f>
        <v>1575</v>
      </c>
      <c r="J92" s="76" t="n">
        <f aca="false">IF(COUNTIF('Quote Lines'!$P$3:$P$805,$A92&amp;"|"&amp;J$6&amp;"|1")=0,"—",SUMIFS('Quote Lines'!$O$3:$O$805,'Quote Lines'!$P$3:$P$805,$A92&amp;"|"&amp;J$6&amp;"|1")/SUMIFS('Quote Lines'!$L$3:$L$805,'Quote Lines'!$P$3:$P$805,$A92&amp;"|"&amp;J$6&amp;"|1"))</f>
        <v>2493</v>
      </c>
      <c r="K92" s="14" t="str">
        <f aca="false">IF(ISNUMBER(G92),G92*$F92,"—")</f>
        <v>—</v>
      </c>
      <c r="L92" s="14" t="str">
        <f aca="false">IF(ISNUMBER(H92),H92*$F92,"—")</f>
        <v>—</v>
      </c>
      <c r="M92" s="14" t="n">
        <f aca="false">IF(ISNUMBER(I92),I92*$F92,"—")</f>
        <v>3150</v>
      </c>
      <c r="N92" s="14" t="n">
        <f aca="false">IF(ISNUMBER(J92),J92*$F92,"—")</f>
        <v>4986</v>
      </c>
      <c r="O92" s="77" t="n">
        <f aca="false">IF($S92=0,"—",MIN(G92:J92))</f>
        <v>1575</v>
      </c>
      <c r="P92" s="42" t="str">
        <f aca="false">IF($S92=0,"—",IF(COUNTIF(G92:J92,O92)&gt;1,"Tie",INDEX($G$6:$J$6,MATCH(O92,G92:J92,0))))</f>
        <v>Mountainland</v>
      </c>
      <c r="Q92" s="48" t="n">
        <f aca="false">IF($S92&gt;=2,MAX(G92:J92)/MIN(G92:J92)-1,"—")</f>
        <v>0.582857142857143</v>
      </c>
      <c r="R92" s="78" t="n">
        <f aca="false">IF($S92&gt;=2,(MAX(G92:J92)-MIN(G92:J92))*$F92,"—")</f>
        <v>1836</v>
      </c>
      <c r="S92" s="18" t="n">
        <f aca="false">COUNT(G92:J92)</f>
        <v>2</v>
      </c>
      <c r="T92" s="79" t="str">
        <f aca="false">IF($S92&lt;=1,IF($S92=1,"Single quote","—"),"Alt spec – verify")</f>
        <v>Alt spec – verify</v>
      </c>
      <c r="U92" s="79" t="str">
        <f aca="false">IF(COUNT(W92:Z92)&lt;2,"",IF(MAX(W92:Z92)=MIN(W92:Z92),"OK","Qty differs"))</f>
        <v>OK</v>
      </c>
      <c r="V92" s="80" t="s">
        <v>332</v>
      </c>
      <c r="W92" s="81"/>
      <c r="X92" s="81"/>
      <c r="Y92" s="81" t="n">
        <f aca="false">IF(COUNTIFS('Quote Lines'!$P$3:$P$805,$A92&amp;"|"&amp;I$6&amp;"|1",'Quote Lines'!$M$3:$M$805,"Y")=0,"",SUMIFS('Quote Lines'!$L$3:$L$805,'Quote Lines'!$P$3:$P$805,$A92&amp;"|"&amp;I$6&amp;"|1",'Quote Lines'!$M$3:$M$805,"Y"))</f>
        <v>2</v>
      </c>
      <c r="Z92" s="81" t="n">
        <f aca="false">IF(COUNTIFS('Quote Lines'!$P$3:$P$805,$A92&amp;"|"&amp;J$6&amp;"|1",'Quote Lines'!$M$3:$M$805,"Y")=0,"",SUMIFS('Quote Lines'!$L$3:$L$805,'Quote Lines'!$P$3:$P$805,$A92&amp;"|"&amp;J$6&amp;"|1",'Quote Lines'!$M$3:$M$805,"Y"))</f>
        <v>2</v>
      </c>
      <c r="AA92" s="82" t="str">
        <f aca="false">IF(ISNUMBER(G92),1+SUMPRODUCT(ISNUMBER($G92:$J92)*($G92:$J92&lt;G92)),"")</f>
        <v/>
      </c>
      <c r="AB92" s="82" t="str">
        <f aca="false">IF(ISNUMBER(H92),1+SUMPRODUCT(ISNUMBER($G92:$J92)*($G92:$J92&lt;H92)),"")</f>
        <v/>
      </c>
      <c r="AC92" s="82" t="n">
        <f aca="false">IF(ISNUMBER(I92),1+SUMPRODUCT(ISNUMBER($G92:$J92)*($G92:$J92&lt;I92)),"")</f>
        <v>1</v>
      </c>
      <c r="AD92" s="82" t="n">
        <f aca="false">IF(ISNUMBER(J92),1+SUMPRODUCT(ISNUMBER($G92:$J92)*($G92:$J92&lt;J92)),"")</f>
        <v>2</v>
      </c>
      <c r="AE92" s="82" t="n">
        <f aca="false">IF(NOT(ISNUMBER(G92)),0,IF($S92&lt;2,5,IF(AA92=1,1,IF(G92=MAX($G92:$J92),4,IF(AA92=2,2,3)))))</f>
        <v>0</v>
      </c>
      <c r="AF92" s="82" t="n">
        <f aca="false">IF(NOT(ISNUMBER(H92)),0,IF($S92&lt;2,5,IF(AB92=1,1,IF(H92=MAX($G92:$J92),4,IF(AB92=2,2,3)))))</f>
        <v>0</v>
      </c>
      <c r="AG92" s="82" t="n">
        <f aca="false">IF(NOT(ISNUMBER(I92)),0,IF($S92&lt;2,5,IF(AC92=1,1,IF(I92=MAX($G92:$J92),4,IF(AC92=2,2,3)))))</f>
        <v>1</v>
      </c>
      <c r="AH92" s="82" t="n">
        <f aca="false">IF(NOT(ISNUMBER(J92)),0,IF($S92&lt;2,5,IF(AD92=1,1,IF(J92=MAX($G92:$J92),4,IF(AD92=2,2,3)))))</f>
        <v>4</v>
      </c>
      <c r="AI92" s="83" t="n">
        <f aca="false">IF($S92&gt;=2,IF(ISNUMBER(G92),G92*$F92,MIN($G92:$J92)*$F92),0)</f>
        <v>3150</v>
      </c>
      <c r="AJ92" s="83" t="n">
        <f aca="false">IF($S92&gt;=2,IF(ISNUMBER(H92),H92*$F92,MIN($G92:$J92)*$F92),0)</f>
        <v>3150</v>
      </c>
      <c r="AK92" s="83" t="n">
        <f aca="false">IF($S92&gt;=2,IF(ISNUMBER(I92),I92*$F92,MIN($G92:$J92)*$F92),0)</f>
        <v>3150</v>
      </c>
      <c r="AL92" s="83" t="n">
        <f aca="false">IF($S92&gt;=2,IF(ISNUMBER(J92),J92*$F92,MIN($G92:$J92)*$F92),0)</f>
        <v>4986</v>
      </c>
      <c r="AM92" s="84" t="n">
        <f aca="false">IF($S92&gt;=2,$R92+ROW()/1000000,"")</f>
        <v>1836.000092</v>
      </c>
      <c r="AN92" s="83" t="n">
        <f aca="false">IF($S92&gt;=2,MAX(G92:J92),"")</f>
        <v>2493</v>
      </c>
      <c r="AO92" s="82" t="str">
        <f aca="false">IF($S92&gt;=2,INDEX($G$6:$J$6,MATCH(MAX(G92:J92),G92:J92,0)),"")</f>
        <v>Scholzen</v>
      </c>
      <c r="AP92" s="83" t="n">
        <f aca="false">IF($S92&gt;=2,MIN(G92:J92)*$F92,0)</f>
        <v>3150</v>
      </c>
      <c r="AQ92" s="82" t="str">
        <f aca="false">IF($S92&gt;=2,INDEX($G$6:$J$6,MATCH(MIN(G92:J92),G92:J92,0)),"")</f>
        <v>Mountainland</v>
      </c>
    </row>
    <row r="93" customFormat="false" ht="15" hidden="false" customHeight="true" outlineLevel="0" collapsed="false">
      <c r="A93" s="70" t="s">
        <v>333</v>
      </c>
      <c r="B93" s="71" t="s">
        <v>130</v>
      </c>
      <c r="C93" s="72" t="s">
        <v>325</v>
      </c>
      <c r="D93" s="73" t="s">
        <v>334</v>
      </c>
      <c r="E93" s="74" t="s">
        <v>133</v>
      </c>
      <c r="F93" s="75" t="n">
        <v>60</v>
      </c>
      <c r="G93" s="85" t="s">
        <v>138</v>
      </c>
      <c r="H93" s="76" t="n">
        <f aca="false">IF(COUNTIF('Quote Lines'!$P$3:$P$805,$A93&amp;"|"&amp;H$6&amp;"|1")=0,"—",SUMIFS('Quote Lines'!$O$3:$O$805,'Quote Lines'!$P$3:$P$805,$A93&amp;"|"&amp;H$6&amp;"|1")/SUMIFS('Quote Lines'!$L$3:$L$805,'Quote Lines'!$P$3:$P$805,$A93&amp;"|"&amp;H$6&amp;"|1"))</f>
        <v>45.92</v>
      </c>
      <c r="I93" s="85" t="s">
        <v>138</v>
      </c>
      <c r="J93" s="85" t="s">
        <v>138</v>
      </c>
      <c r="K93" s="14" t="str">
        <f aca="false">IF(ISNUMBER(G93),G93*$F93,"—")</f>
        <v>—</v>
      </c>
      <c r="L93" s="14" t="n">
        <f aca="false">IF(ISNUMBER(H93),H93*$F93,"—")</f>
        <v>2755.2</v>
      </c>
      <c r="M93" s="14" t="str">
        <f aca="false">IF(ISNUMBER(I93),I93*$F93,"—")</f>
        <v>—</v>
      </c>
      <c r="N93" s="14" t="str">
        <f aca="false">IF(ISNUMBER(J93),J93*$F93,"—")</f>
        <v>—</v>
      </c>
      <c r="O93" s="77" t="n">
        <f aca="false">IF($S93=0,"—",MIN(G93:J93))</f>
        <v>45.92</v>
      </c>
      <c r="P93" s="42" t="str">
        <f aca="false">IF($S93=0,"—",IF(COUNTIF(G93:J93,O93)&gt;1,"Tie",INDEX($G$6:$J$6,MATCH(O93,G93:J93,0))))</f>
        <v>HD Fowler</v>
      </c>
      <c r="Q93" s="48" t="str">
        <f aca="false">IF($S93&gt;=2,MAX(G93:J93)/MIN(G93:J93)-1,"—")</f>
        <v>—</v>
      </c>
      <c r="R93" s="78" t="str">
        <f aca="false">IF($S93&gt;=2,(MAX(G93:J93)-MIN(G93:J93))*$F93,"—")</f>
        <v>—</v>
      </c>
      <c r="S93" s="18" t="n">
        <f aca="false">COUNT(G93:J93)</f>
        <v>1</v>
      </c>
      <c r="T93" s="79" t="str">
        <f aca="false">IF($S93&lt;=1,IF($S93=1,"Single quote","—"),"Like-for-like")</f>
        <v>Single quote</v>
      </c>
      <c r="U93" s="79" t="str">
        <f aca="false">IF(COUNT(W93:Z93)&lt;2,"",IF(MAX(W93:Z93)=MIN(W93:Z93),"OK","Qty differs"))</f>
        <v/>
      </c>
      <c r="V93" s="80"/>
      <c r="W93" s="81"/>
      <c r="X93" s="81" t="n">
        <f aca="false">IF(COUNTIFS('Quote Lines'!$P$3:$P$805,$A93&amp;"|"&amp;H$6&amp;"|1",'Quote Lines'!$M$3:$M$805,"Y")=0,"",SUMIFS('Quote Lines'!$L$3:$L$805,'Quote Lines'!$P$3:$P$805,$A93&amp;"|"&amp;H$6&amp;"|1",'Quote Lines'!$M$3:$M$805,"Y"))</f>
        <v>60</v>
      </c>
      <c r="Y93" s="81"/>
      <c r="Z93" s="81"/>
      <c r="AA93" s="82" t="str">
        <f aca="false">IF(ISNUMBER(G93),1+SUMPRODUCT(ISNUMBER($G93:$J93)*($G93:$J93&lt;G93)),"")</f>
        <v/>
      </c>
      <c r="AB93" s="82" t="n">
        <f aca="false">IF(ISNUMBER(H93),1+SUMPRODUCT(ISNUMBER($G93:$J93)*($G93:$J93&lt;H93)),"")</f>
        <v>1</v>
      </c>
      <c r="AC93" s="82" t="str">
        <f aca="false">IF(ISNUMBER(I93),1+SUMPRODUCT(ISNUMBER($G93:$J93)*($G93:$J93&lt;I93)),"")</f>
        <v/>
      </c>
      <c r="AD93" s="82" t="str">
        <f aca="false">IF(ISNUMBER(J93),1+SUMPRODUCT(ISNUMBER($G93:$J93)*($G93:$J93&lt;J93)),"")</f>
        <v/>
      </c>
      <c r="AE93" s="82" t="n">
        <f aca="false">IF(NOT(ISNUMBER(G93)),0,IF($S93&lt;2,5,IF(AA93=1,1,IF(G93=MAX($G93:$J93),4,IF(AA93=2,2,3)))))</f>
        <v>0</v>
      </c>
      <c r="AF93" s="82" t="n">
        <f aca="false">IF(NOT(ISNUMBER(H93)),0,IF($S93&lt;2,5,IF(AB93=1,1,IF(H93=MAX($G93:$J93),4,IF(AB93=2,2,3)))))</f>
        <v>5</v>
      </c>
      <c r="AG93" s="82" t="n">
        <f aca="false">IF(NOT(ISNUMBER(I93)),0,IF($S93&lt;2,5,IF(AC93=1,1,IF(I93=MAX($G93:$J93),4,IF(AC93=2,2,3)))))</f>
        <v>0</v>
      </c>
      <c r="AH93" s="82" t="n">
        <f aca="false">IF(NOT(ISNUMBER(J93)),0,IF($S93&lt;2,5,IF(AD93=1,1,IF(J93=MAX($G93:$J93),4,IF(AD93=2,2,3)))))</f>
        <v>0</v>
      </c>
      <c r="AI93" s="83" t="n">
        <f aca="false">IF($S93&gt;=2,IF(ISNUMBER(G93),G93*$F93,MIN($G93:$J93)*$F93),0)</f>
        <v>0</v>
      </c>
      <c r="AJ93" s="83" t="n">
        <f aca="false">IF($S93&gt;=2,IF(ISNUMBER(H93),H93*$F93,MIN($G93:$J93)*$F93),0)</f>
        <v>0</v>
      </c>
      <c r="AK93" s="83" t="n">
        <f aca="false">IF($S93&gt;=2,IF(ISNUMBER(I93),I93*$F93,MIN($G93:$J93)*$F93),0)</f>
        <v>0</v>
      </c>
      <c r="AL93" s="83" t="n">
        <f aca="false">IF($S93&gt;=2,IF(ISNUMBER(J93),J93*$F93,MIN($G93:$J93)*$F93),0)</f>
        <v>0</v>
      </c>
      <c r="AM93" s="84" t="str">
        <f aca="false">IF($S93&gt;=2,$R93+ROW()/1000000,"")</f>
        <v/>
      </c>
      <c r="AN93" s="83" t="str">
        <f aca="false">IF($S93&gt;=2,MAX(G93:J93),"")</f>
        <v/>
      </c>
      <c r="AO93" s="82" t="str">
        <f aca="false">IF($S93&gt;=2,INDEX($G$6:$J$6,MATCH(MAX(G93:J93),G93:J93,0)),"")</f>
        <v/>
      </c>
      <c r="AP93" s="83" t="n">
        <f aca="false">IF($S93&gt;=2,MIN(G93:J93)*$F93,0)</f>
        <v>0</v>
      </c>
      <c r="AQ93" s="82" t="str">
        <f aca="false">IF($S93&gt;=2,INDEX($G$6:$J$6,MATCH(MIN(G93:J93),G93:J93,0)),"")</f>
        <v/>
      </c>
    </row>
    <row r="94" customFormat="false" ht="15" hidden="false" customHeight="true" outlineLevel="0" collapsed="false">
      <c r="A94" s="70" t="s">
        <v>335</v>
      </c>
      <c r="B94" s="71" t="s">
        <v>130</v>
      </c>
      <c r="C94" s="72" t="s">
        <v>325</v>
      </c>
      <c r="D94" s="73" t="s">
        <v>336</v>
      </c>
      <c r="E94" s="74" t="s">
        <v>133</v>
      </c>
      <c r="F94" s="75" t="n">
        <v>42</v>
      </c>
      <c r="G94" s="85" t="s">
        <v>138</v>
      </c>
      <c r="H94" s="85" t="s">
        <v>138</v>
      </c>
      <c r="I94" s="76" t="n">
        <f aca="false">IF(COUNTIF('Quote Lines'!$P$3:$P$805,$A94&amp;"|"&amp;I$6&amp;"|1")=0,"—",SUMIFS('Quote Lines'!$O$3:$O$805,'Quote Lines'!$P$3:$P$805,$A94&amp;"|"&amp;I$6&amp;"|1")/SUMIFS('Quote Lines'!$L$3:$L$805,'Quote Lines'!$P$3:$P$805,$A94&amp;"|"&amp;I$6&amp;"|1"))</f>
        <v>24.7014285714286</v>
      </c>
      <c r="J94" s="85" t="s">
        <v>138</v>
      </c>
      <c r="K94" s="14" t="str">
        <f aca="false">IF(ISNUMBER(G94),G94*$F94,"—")</f>
        <v>—</v>
      </c>
      <c r="L94" s="14" t="str">
        <f aca="false">IF(ISNUMBER(H94),H94*$F94,"—")</f>
        <v>—</v>
      </c>
      <c r="M94" s="14" t="n">
        <f aca="false">IF(ISNUMBER(I94),I94*$F94,"—")</f>
        <v>1037.46</v>
      </c>
      <c r="N94" s="14" t="str">
        <f aca="false">IF(ISNUMBER(J94),J94*$F94,"—")</f>
        <v>—</v>
      </c>
      <c r="O94" s="77" t="n">
        <f aca="false">IF($S94=0,"—",MIN(G94:J94))</f>
        <v>24.7014285714286</v>
      </c>
      <c r="P94" s="42" t="str">
        <f aca="false">IF($S94=0,"—",IF(COUNTIF(G94:J94,O94)&gt;1,"Tie",INDEX($G$6:$J$6,MATCH(O94,G94:J94,0))))</f>
        <v>Mountainland</v>
      </c>
      <c r="Q94" s="48" t="str">
        <f aca="false">IF($S94&gt;=2,MAX(G94:J94)/MIN(G94:J94)-1,"—")</f>
        <v>—</v>
      </c>
      <c r="R94" s="78" t="str">
        <f aca="false">IF($S94&gt;=2,(MAX(G94:J94)-MIN(G94:J94))*$F94,"—")</f>
        <v>—</v>
      </c>
      <c r="S94" s="18" t="n">
        <f aca="false">COUNT(G94:J94)</f>
        <v>1</v>
      </c>
      <c r="T94" s="79" t="str">
        <f aca="false">IF($S94&lt;=1,IF($S94=1,"Single quote","—"),"Like-for-like")</f>
        <v>Single quote</v>
      </c>
      <c r="U94" s="79" t="str">
        <f aca="false">IF(COUNT(W94:Z94)&lt;2,"",IF(MAX(W94:Z94)=MIN(W94:Z94),"OK","Qty differs"))</f>
        <v/>
      </c>
      <c r="V94" s="80"/>
      <c r="W94" s="81"/>
      <c r="X94" s="81"/>
      <c r="Y94" s="81" t="n">
        <f aca="false">IF(COUNTIFS('Quote Lines'!$P$3:$P$805,$A94&amp;"|"&amp;I$6&amp;"|1",'Quote Lines'!$M$3:$M$805,"Y")=0,"",SUMIFS('Quote Lines'!$L$3:$L$805,'Quote Lines'!$P$3:$P$805,$A94&amp;"|"&amp;I$6&amp;"|1",'Quote Lines'!$M$3:$M$805,"Y"))</f>
        <v>42</v>
      </c>
      <c r="Z94" s="81"/>
      <c r="AA94" s="82" t="str">
        <f aca="false">IF(ISNUMBER(G94),1+SUMPRODUCT(ISNUMBER($G94:$J94)*($G94:$J94&lt;G94)),"")</f>
        <v/>
      </c>
      <c r="AB94" s="82" t="str">
        <f aca="false">IF(ISNUMBER(H94),1+SUMPRODUCT(ISNUMBER($G94:$J94)*($G94:$J94&lt;H94)),"")</f>
        <v/>
      </c>
      <c r="AC94" s="82" t="n">
        <f aca="false">IF(ISNUMBER(I94),1+SUMPRODUCT(ISNUMBER($G94:$J94)*($G94:$J94&lt;I94)),"")</f>
        <v>1</v>
      </c>
      <c r="AD94" s="82" t="str">
        <f aca="false">IF(ISNUMBER(J94),1+SUMPRODUCT(ISNUMBER($G94:$J94)*($G94:$J94&lt;J94)),"")</f>
        <v/>
      </c>
      <c r="AE94" s="82" t="n">
        <f aca="false">IF(NOT(ISNUMBER(G94)),0,IF($S94&lt;2,5,IF(AA94=1,1,IF(G94=MAX($G94:$J94),4,IF(AA94=2,2,3)))))</f>
        <v>0</v>
      </c>
      <c r="AF94" s="82" t="n">
        <f aca="false">IF(NOT(ISNUMBER(H94)),0,IF($S94&lt;2,5,IF(AB94=1,1,IF(H94=MAX($G94:$J94),4,IF(AB94=2,2,3)))))</f>
        <v>0</v>
      </c>
      <c r="AG94" s="82" t="n">
        <f aca="false">IF(NOT(ISNUMBER(I94)),0,IF($S94&lt;2,5,IF(AC94=1,1,IF(I94=MAX($G94:$J94),4,IF(AC94=2,2,3)))))</f>
        <v>5</v>
      </c>
      <c r="AH94" s="82" t="n">
        <f aca="false">IF(NOT(ISNUMBER(J94)),0,IF($S94&lt;2,5,IF(AD94=1,1,IF(J94=MAX($G94:$J94),4,IF(AD94=2,2,3)))))</f>
        <v>0</v>
      </c>
      <c r="AI94" s="83" t="n">
        <f aca="false">IF($S94&gt;=2,IF(ISNUMBER(G94),G94*$F94,MIN($G94:$J94)*$F94),0)</f>
        <v>0</v>
      </c>
      <c r="AJ94" s="83" t="n">
        <f aca="false">IF($S94&gt;=2,IF(ISNUMBER(H94),H94*$F94,MIN($G94:$J94)*$F94),0)</f>
        <v>0</v>
      </c>
      <c r="AK94" s="83" t="n">
        <f aca="false">IF($S94&gt;=2,IF(ISNUMBER(I94),I94*$F94,MIN($G94:$J94)*$F94),0)</f>
        <v>0</v>
      </c>
      <c r="AL94" s="83" t="n">
        <f aca="false">IF($S94&gt;=2,IF(ISNUMBER(J94),J94*$F94,MIN($G94:$J94)*$F94),0)</f>
        <v>0</v>
      </c>
      <c r="AM94" s="84" t="str">
        <f aca="false">IF($S94&gt;=2,$R94+ROW()/1000000,"")</f>
        <v/>
      </c>
      <c r="AN94" s="83" t="str">
        <f aca="false">IF($S94&gt;=2,MAX(G94:J94),"")</f>
        <v/>
      </c>
      <c r="AO94" s="82" t="str">
        <f aca="false">IF($S94&gt;=2,INDEX($G$6:$J$6,MATCH(MAX(G94:J94),G94:J94,0)),"")</f>
        <v/>
      </c>
      <c r="AP94" s="83" t="n">
        <f aca="false">IF($S94&gt;=2,MIN(G94:J94)*$F94,0)</f>
        <v>0</v>
      </c>
      <c r="AQ94" s="82" t="str">
        <f aca="false">IF($S94&gt;=2,INDEX($G$6:$J$6,MATCH(MIN(G94:J94),G94:J94,0)),"")</f>
        <v/>
      </c>
    </row>
    <row r="95" customFormat="false" ht="15" hidden="false" customHeight="true" outlineLevel="0" collapsed="false">
      <c r="A95" s="70" t="s">
        <v>337</v>
      </c>
      <c r="B95" s="71" t="s">
        <v>130</v>
      </c>
      <c r="C95" s="72" t="s">
        <v>325</v>
      </c>
      <c r="D95" s="73" t="s">
        <v>338</v>
      </c>
      <c r="E95" s="74" t="s">
        <v>133</v>
      </c>
      <c r="F95" s="75" t="n">
        <v>28</v>
      </c>
      <c r="G95" s="85" t="s">
        <v>138</v>
      </c>
      <c r="H95" s="85" t="s">
        <v>138</v>
      </c>
      <c r="I95" s="85" t="s">
        <v>138</v>
      </c>
      <c r="J95" s="76" t="n">
        <f aca="false">IF(COUNTIF('Quote Lines'!$P$3:$P$805,$A95&amp;"|"&amp;J$6&amp;"|1")=0,"—",SUMIFS('Quote Lines'!$O$3:$O$805,'Quote Lines'!$P$3:$P$805,$A95&amp;"|"&amp;J$6&amp;"|1")/SUMIFS('Quote Lines'!$L$3:$L$805,'Quote Lines'!$P$3:$P$805,$A95&amp;"|"&amp;J$6&amp;"|1"))</f>
        <v>25</v>
      </c>
      <c r="K95" s="14" t="str">
        <f aca="false">IF(ISNUMBER(G95),G95*$F95,"—")</f>
        <v>—</v>
      </c>
      <c r="L95" s="14" t="str">
        <f aca="false">IF(ISNUMBER(H95),H95*$F95,"—")</f>
        <v>—</v>
      </c>
      <c r="M95" s="14" t="str">
        <f aca="false">IF(ISNUMBER(I95),I95*$F95,"—")</f>
        <v>—</v>
      </c>
      <c r="N95" s="14" t="n">
        <f aca="false">IF(ISNUMBER(J95),J95*$F95,"—")</f>
        <v>700</v>
      </c>
      <c r="O95" s="77" t="n">
        <f aca="false">IF($S95=0,"—",MIN(G95:J95))</f>
        <v>25</v>
      </c>
      <c r="P95" s="42" t="str">
        <f aca="false">IF($S95=0,"—",IF(COUNTIF(G95:J95,O95)&gt;1,"Tie",INDEX($G$6:$J$6,MATCH(O95,G95:J95,0))))</f>
        <v>Scholzen</v>
      </c>
      <c r="Q95" s="48" t="str">
        <f aca="false">IF($S95&gt;=2,MAX(G95:J95)/MIN(G95:J95)-1,"—")</f>
        <v>—</v>
      </c>
      <c r="R95" s="78" t="str">
        <f aca="false">IF($S95&gt;=2,(MAX(G95:J95)-MIN(G95:J95))*$F95,"—")</f>
        <v>—</v>
      </c>
      <c r="S95" s="18" t="n">
        <f aca="false">COUNT(G95:J95)</f>
        <v>1</v>
      </c>
      <c r="T95" s="79" t="str">
        <f aca="false">IF($S95&lt;=1,IF($S95=1,"Single quote","—"),"Like-for-like")</f>
        <v>Single quote</v>
      </c>
      <c r="U95" s="79" t="str">
        <f aca="false">IF(COUNT(W95:Z95)&lt;2,"",IF(MAX(W95:Z95)=MIN(W95:Z95),"OK","Qty differs"))</f>
        <v/>
      </c>
      <c r="V95" s="80"/>
      <c r="W95" s="81"/>
      <c r="X95" s="81"/>
      <c r="Y95" s="81"/>
      <c r="Z95" s="81" t="n">
        <f aca="false">IF(COUNTIFS('Quote Lines'!$P$3:$P$805,$A95&amp;"|"&amp;J$6&amp;"|1",'Quote Lines'!$M$3:$M$805,"Y")=0,"",SUMIFS('Quote Lines'!$L$3:$L$805,'Quote Lines'!$P$3:$P$805,$A95&amp;"|"&amp;J$6&amp;"|1",'Quote Lines'!$M$3:$M$805,"Y"))</f>
        <v>28</v>
      </c>
      <c r="AA95" s="82" t="str">
        <f aca="false">IF(ISNUMBER(G95),1+SUMPRODUCT(ISNUMBER($G95:$J95)*($G95:$J95&lt;G95)),"")</f>
        <v/>
      </c>
      <c r="AB95" s="82" t="str">
        <f aca="false">IF(ISNUMBER(H95),1+SUMPRODUCT(ISNUMBER($G95:$J95)*($G95:$J95&lt;H95)),"")</f>
        <v/>
      </c>
      <c r="AC95" s="82" t="str">
        <f aca="false">IF(ISNUMBER(I95),1+SUMPRODUCT(ISNUMBER($G95:$J95)*($G95:$J95&lt;I95)),"")</f>
        <v/>
      </c>
      <c r="AD95" s="82" t="n">
        <f aca="false">IF(ISNUMBER(J95),1+SUMPRODUCT(ISNUMBER($G95:$J95)*($G95:$J95&lt;J95)),"")</f>
        <v>1</v>
      </c>
      <c r="AE95" s="82" t="n">
        <f aca="false">IF(NOT(ISNUMBER(G95)),0,IF($S95&lt;2,5,IF(AA95=1,1,IF(G95=MAX($G95:$J95),4,IF(AA95=2,2,3)))))</f>
        <v>0</v>
      </c>
      <c r="AF95" s="82" t="n">
        <f aca="false">IF(NOT(ISNUMBER(H95)),0,IF($S95&lt;2,5,IF(AB95=1,1,IF(H95=MAX($G95:$J95),4,IF(AB95=2,2,3)))))</f>
        <v>0</v>
      </c>
      <c r="AG95" s="82" t="n">
        <f aca="false">IF(NOT(ISNUMBER(I95)),0,IF($S95&lt;2,5,IF(AC95=1,1,IF(I95=MAX($G95:$J95),4,IF(AC95=2,2,3)))))</f>
        <v>0</v>
      </c>
      <c r="AH95" s="82" t="n">
        <f aca="false">IF(NOT(ISNUMBER(J95)),0,IF($S95&lt;2,5,IF(AD95=1,1,IF(J95=MAX($G95:$J95),4,IF(AD95=2,2,3)))))</f>
        <v>5</v>
      </c>
      <c r="AI95" s="83" t="n">
        <f aca="false">IF($S95&gt;=2,IF(ISNUMBER(G95),G95*$F95,MIN($G95:$J95)*$F95),0)</f>
        <v>0</v>
      </c>
      <c r="AJ95" s="83" t="n">
        <f aca="false">IF($S95&gt;=2,IF(ISNUMBER(H95),H95*$F95,MIN($G95:$J95)*$F95),0)</f>
        <v>0</v>
      </c>
      <c r="AK95" s="83" t="n">
        <f aca="false">IF($S95&gt;=2,IF(ISNUMBER(I95),I95*$F95,MIN($G95:$J95)*$F95),0)</f>
        <v>0</v>
      </c>
      <c r="AL95" s="83" t="n">
        <f aca="false">IF($S95&gt;=2,IF(ISNUMBER(J95),J95*$F95,MIN($G95:$J95)*$F95),0)</f>
        <v>0</v>
      </c>
      <c r="AM95" s="84" t="str">
        <f aca="false">IF($S95&gt;=2,$R95+ROW()/1000000,"")</f>
        <v/>
      </c>
      <c r="AN95" s="83" t="str">
        <f aca="false">IF($S95&gt;=2,MAX(G95:J95),"")</f>
        <v/>
      </c>
      <c r="AO95" s="82" t="str">
        <f aca="false">IF($S95&gt;=2,INDEX($G$6:$J$6,MATCH(MAX(G95:J95),G95:J95,0)),"")</f>
        <v/>
      </c>
      <c r="AP95" s="83" t="n">
        <f aca="false">IF($S95&gt;=2,MIN(G95:J95)*$F95,0)</f>
        <v>0</v>
      </c>
      <c r="AQ95" s="82" t="str">
        <f aca="false">IF($S95&gt;=2,INDEX($G$6:$J$6,MATCH(MIN(G95:J95),G95:J95,0)),"")</f>
        <v/>
      </c>
    </row>
    <row r="96" customFormat="false" ht="15" hidden="false" customHeight="true" outlineLevel="0" collapsed="false">
      <c r="A96" s="70" t="s">
        <v>339</v>
      </c>
      <c r="B96" s="71" t="s">
        <v>130</v>
      </c>
      <c r="C96" s="72" t="s">
        <v>340</v>
      </c>
      <c r="D96" s="73" t="s">
        <v>341</v>
      </c>
      <c r="E96" s="74" t="s">
        <v>178</v>
      </c>
      <c r="F96" s="75" t="n">
        <v>80</v>
      </c>
      <c r="G96" s="76" t="n">
        <f aca="false">IF(COUNTIF('Quote Lines'!$P$3:$P$805,$A96&amp;"|"&amp;G$6&amp;"|1")=0,"—",SUMIFS('Quote Lines'!$O$3:$O$805,'Quote Lines'!$P$3:$P$805,$A96&amp;"|"&amp;G$6&amp;"|1")/SUMIFS('Quote Lines'!$L$3:$L$805,'Quote Lines'!$P$3:$P$805,$A96&amp;"|"&amp;G$6&amp;"|1"))</f>
        <v>7.014</v>
      </c>
      <c r="H96" s="76" t="n">
        <f aca="false">IF(COUNTIF('Quote Lines'!$P$3:$P$805,$A96&amp;"|"&amp;H$6&amp;"|1")=0,"—",SUMIFS('Quote Lines'!$O$3:$O$805,'Quote Lines'!$P$3:$P$805,$A96&amp;"|"&amp;H$6&amp;"|1")/SUMIFS('Quote Lines'!$L$3:$L$805,'Quote Lines'!$P$3:$P$805,$A96&amp;"|"&amp;H$6&amp;"|1"))</f>
        <v>1.76</v>
      </c>
      <c r="I96" s="76" t="n">
        <f aca="false">IF(COUNTIF('Quote Lines'!$P$3:$P$805,$A96&amp;"|"&amp;I$6&amp;"|1")=0,"—",SUMIFS('Quote Lines'!$O$3:$O$805,'Quote Lines'!$P$3:$P$805,$A96&amp;"|"&amp;I$6&amp;"|1")/SUMIFS('Quote Lines'!$L$3:$L$805,'Quote Lines'!$P$3:$P$805,$A96&amp;"|"&amp;I$6&amp;"|1"))</f>
        <v>4.416</v>
      </c>
      <c r="J96" s="76" t="n">
        <f aca="false">IF(COUNTIF('Quote Lines'!$P$3:$P$805,$A96&amp;"|"&amp;J$6&amp;"|1")=0,"—",SUMIFS('Quote Lines'!$O$3:$O$805,'Quote Lines'!$P$3:$P$805,$A96&amp;"|"&amp;J$6&amp;"|1")/SUMIFS('Quote Lines'!$L$3:$L$805,'Quote Lines'!$P$3:$P$805,$A96&amp;"|"&amp;J$6&amp;"|1"))</f>
        <v>2.1</v>
      </c>
      <c r="K96" s="14" t="n">
        <f aca="false">IF(ISNUMBER(G96),G96*$F96,"—")</f>
        <v>561.12</v>
      </c>
      <c r="L96" s="14" t="n">
        <f aca="false">IF(ISNUMBER(H96),H96*$F96,"—")</f>
        <v>140.8</v>
      </c>
      <c r="M96" s="14" t="n">
        <f aca="false">IF(ISNUMBER(I96),I96*$F96,"—")</f>
        <v>353.28</v>
      </c>
      <c r="N96" s="14" t="n">
        <f aca="false">IF(ISNUMBER(J96),J96*$F96,"—")</f>
        <v>168</v>
      </c>
      <c r="O96" s="77" t="n">
        <f aca="false">IF($S96=0,"—",MIN(G96:J96))</f>
        <v>1.76</v>
      </c>
      <c r="P96" s="42" t="str">
        <f aca="false">IF($S96=0,"—",IF(COUNTIF(G96:J96,O96)&gt;1,"Tie",INDEX($G$6:$J$6,MATCH(O96,G96:J96,0))))</f>
        <v>HD Fowler</v>
      </c>
      <c r="Q96" s="48" t="n">
        <f aca="false">IF($S96&gt;=2,MAX(G96:J96)/MIN(G96:J96)-1,"—")</f>
        <v>2.98522727272727</v>
      </c>
      <c r="R96" s="78" t="n">
        <f aca="false">IF($S96&gt;=2,(MAX(G96:J96)-MIN(G96:J96))*$F96,"—")</f>
        <v>420.32</v>
      </c>
      <c r="S96" s="18" t="n">
        <f aca="false">COUNT(G96:J96)</f>
        <v>4</v>
      </c>
      <c r="T96" s="79" t="str">
        <f aca="false">IF($S96&lt;=1,IF($S96=1,"Single quote","—"),"Like-for-like")</f>
        <v>Like-for-like</v>
      </c>
      <c r="U96" s="79" t="str">
        <f aca="false">IF(COUNT(W96:Z96)&lt;2,"",IF(MAX(W96:Z96)=MIN(W96:Z96),"OK","Qty differs"))</f>
        <v>Qty differs</v>
      </c>
      <c r="V96" s="80" t="s">
        <v>342</v>
      </c>
      <c r="W96" s="81" t="n">
        <f aca="false">IF(COUNTIFS('Quote Lines'!$P$3:$P$805,$A96&amp;"|"&amp;G$6&amp;"|1",'Quote Lines'!$M$3:$M$805,"Y")=0,"",SUMIFS('Quote Lines'!$L$3:$L$805,'Quote Lines'!$P$3:$P$805,$A96&amp;"|"&amp;G$6&amp;"|1",'Quote Lines'!$M$3:$M$805,"Y"))</f>
        <v>80</v>
      </c>
      <c r="X96" s="81" t="n">
        <f aca="false">IF(COUNTIFS('Quote Lines'!$P$3:$P$805,$A96&amp;"|"&amp;H$6&amp;"|1",'Quote Lines'!$M$3:$M$805,"Y")=0,"",SUMIFS('Quote Lines'!$L$3:$L$805,'Quote Lines'!$P$3:$P$805,$A96&amp;"|"&amp;H$6&amp;"|1",'Quote Lines'!$M$3:$M$805,"Y"))</f>
        <v>100</v>
      </c>
      <c r="Y96" s="81" t="n">
        <f aca="false">IF(COUNTIFS('Quote Lines'!$P$3:$P$805,$A96&amp;"|"&amp;I$6&amp;"|1",'Quote Lines'!$M$3:$M$805,"Y")=0,"",SUMIFS('Quote Lines'!$L$3:$L$805,'Quote Lines'!$P$3:$P$805,$A96&amp;"|"&amp;I$6&amp;"|1",'Quote Lines'!$M$3:$M$805,"Y"))</f>
        <v>80</v>
      </c>
      <c r="Z96" s="81" t="n">
        <f aca="false">IF(COUNTIFS('Quote Lines'!$P$3:$P$805,$A96&amp;"|"&amp;J$6&amp;"|1",'Quote Lines'!$M$3:$M$805,"Y")=0,"",SUMIFS('Quote Lines'!$L$3:$L$805,'Quote Lines'!$P$3:$P$805,$A96&amp;"|"&amp;J$6&amp;"|1",'Quote Lines'!$M$3:$M$805,"Y"))</f>
        <v>80</v>
      </c>
      <c r="AA96" s="82" t="n">
        <f aca="false">IF(ISNUMBER(G96),1+SUMPRODUCT(ISNUMBER($G96:$J96)*($G96:$J96&lt;G96)),"")</f>
        <v>4</v>
      </c>
      <c r="AB96" s="82" t="n">
        <f aca="false">IF(ISNUMBER(H96),1+SUMPRODUCT(ISNUMBER($G96:$J96)*($G96:$J96&lt;H96)),"")</f>
        <v>1</v>
      </c>
      <c r="AC96" s="82" t="n">
        <f aca="false">IF(ISNUMBER(I96),1+SUMPRODUCT(ISNUMBER($G96:$J96)*($G96:$J96&lt;I96)),"")</f>
        <v>3</v>
      </c>
      <c r="AD96" s="82" t="n">
        <f aca="false">IF(ISNUMBER(J96),1+SUMPRODUCT(ISNUMBER($G96:$J96)*($G96:$J96&lt;J96)),"")</f>
        <v>2</v>
      </c>
      <c r="AE96" s="82" t="n">
        <f aca="false">IF(NOT(ISNUMBER(G96)),0,IF($S96&lt;2,5,IF(AA96=1,1,IF(G96=MAX($G96:$J96),4,IF(AA96=2,2,3)))))</f>
        <v>4</v>
      </c>
      <c r="AF96" s="82" t="n">
        <f aca="false">IF(NOT(ISNUMBER(H96)),0,IF($S96&lt;2,5,IF(AB96=1,1,IF(H96=MAX($G96:$J96),4,IF(AB96=2,2,3)))))</f>
        <v>1</v>
      </c>
      <c r="AG96" s="82" t="n">
        <f aca="false">IF(NOT(ISNUMBER(I96)),0,IF($S96&lt;2,5,IF(AC96=1,1,IF(I96=MAX($G96:$J96),4,IF(AC96=2,2,3)))))</f>
        <v>3</v>
      </c>
      <c r="AH96" s="82" t="n">
        <f aca="false">IF(NOT(ISNUMBER(J96)),0,IF($S96&lt;2,5,IF(AD96=1,1,IF(J96=MAX($G96:$J96),4,IF(AD96=2,2,3)))))</f>
        <v>2</v>
      </c>
      <c r="AI96" s="83" t="n">
        <f aca="false">IF($S96&gt;=2,IF(ISNUMBER(G96),G96*$F96,MIN($G96:$J96)*$F96),0)</f>
        <v>561.12</v>
      </c>
      <c r="AJ96" s="83" t="n">
        <f aca="false">IF($S96&gt;=2,IF(ISNUMBER(H96),H96*$F96,MIN($G96:$J96)*$F96),0)</f>
        <v>140.8</v>
      </c>
      <c r="AK96" s="83" t="n">
        <f aca="false">IF($S96&gt;=2,IF(ISNUMBER(I96),I96*$F96,MIN($G96:$J96)*$F96),0)</f>
        <v>353.28</v>
      </c>
      <c r="AL96" s="83" t="n">
        <f aca="false">IF($S96&gt;=2,IF(ISNUMBER(J96),J96*$F96,MIN($G96:$J96)*$F96),0)</f>
        <v>168</v>
      </c>
      <c r="AM96" s="84" t="n">
        <f aca="false">IF($S96&gt;=2,$R96+ROW()/1000000,"")</f>
        <v>420.320096</v>
      </c>
      <c r="AN96" s="83" t="n">
        <f aca="false">IF($S96&gt;=2,MAX(G96:J96),"")</f>
        <v>7.014</v>
      </c>
      <c r="AO96" s="82" t="str">
        <f aca="false">IF($S96&gt;=2,INDEX($G$6:$J$6,MATCH(MAX(G96:J96),G96:J96,0)),"")</f>
        <v>Ferguson</v>
      </c>
      <c r="AP96" s="83" t="n">
        <f aca="false">IF($S96&gt;=2,MIN(G96:J96)*$F96,0)</f>
        <v>140.8</v>
      </c>
      <c r="AQ96" s="82" t="str">
        <f aca="false">IF($S96&gt;=2,INDEX($G$6:$J$6,MATCH(MIN(G96:J96),G96:J96,0)),"")</f>
        <v>HD Fowler</v>
      </c>
    </row>
    <row r="97" customFormat="false" ht="15" hidden="false" customHeight="true" outlineLevel="0" collapsed="false">
      <c r="A97" s="70" t="s">
        <v>343</v>
      </c>
      <c r="B97" s="71" t="s">
        <v>130</v>
      </c>
      <c r="C97" s="72" t="s">
        <v>340</v>
      </c>
      <c r="D97" s="73" t="s">
        <v>344</v>
      </c>
      <c r="E97" s="74" t="s">
        <v>178</v>
      </c>
      <c r="F97" s="75" t="n">
        <v>20</v>
      </c>
      <c r="G97" s="76" t="n">
        <f aca="false">IF(COUNTIF('Quote Lines'!$P$3:$P$805,$A97&amp;"|"&amp;G$6&amp;"|1")=0,"—",SUMIFS('Quote Lines'!$O$3:$O$805,'Quote Lines'!$P$3:$P$805,$A97&amp;"|"&amp;G$6&amp;"|1")/SUMIFS('Quote Lines'!$L$3:$L$805,'Quote Lines'!$P$3:$P$805,$A97&amp;"|"&amp;G$6&amp;"|1"))</f>
        <v>0.988</v>
      </c>
      <c r="H97" s="85" t="s">
        <v>138</v>
      </c>
      <c r="I97" s="85" t="s">
        <v>138</v>
      </c>
      <c r="J97" s="85" t="s">
        <v>138</v>
      </c>
      <c r="K97" s="14" t="n">
        <f aca="false">IF(ISNUMBER(G97),G97*$F97,"—")</f>
        <v>19.76</v>
      </c>
      <c r="L97" s="14" t="str">
        <f aca="false">IF(ISNUMBER(H97),H97*$F97,"—")</f>
        <v>—</v>
      </c>
      <c r="M97" s="14" t="str">
        <f aca="false">IF(ISNUMBER(I97),I97*$F97,"—")</f>
        <v>—</v>
      </c>
      <c r="N97" s="14" t="str">
        <f aca="false">IF(ISNUMBER(J97),J97*$F97,"—")</f>
        <v>—</v>
      </c>
      <c r="O97" s="77" t="n">
        <f aca="false">IF($S97=0,"—",MIN(G97:J97))</f>
        <v>0.988</v>
      </c>
      <c r="P97" s="42" t="str">
        <f aca="false">IF($S97=0,"—",IF(COUNTIF(G97:J97,O97)&gt;1,"Tie",INDEX($G$6:$J$6,MATCH(O97,G97:J97,0))))</f>
        <v>Ferguson</v>
      </c>
      <c r="Q97" s="48" t="str">
        <f aca="false">IF($S97&gt;=2,MAX(G97:J97)/MIN(G97:J97)-1,"—")</f>
        <v>—</v>
      </c>
      <c r="R97" s="78" t="str">
        <f aca="false">IF($S97&gt;=2,(MAX(G97:J97)-MIN(G97:J97))*$F97,"—")</f>
        <v>—</v>
      </c>
      <c r="S97" s="18" t="n">
        <f aca="false">COUNT(G97:J97)</f>
        <v>1</v>
      </c>
      <c r="T97" s="79" t="str">
        <f aca="false">IF($S97&lt;=1,IF($S97=1,"Single quote","—"),"Like-for-like")</f>
        <v>Single quote</v>
      </c>
      <c r="U97" s="79" t="str">
        <f aca="false">IF(COUNT(W97:Z97)&lt;2,"",IF(MAX(W97:Z97)=MIN(W97:Z97),"OK","Qty differs"))</f>
        <v/>
      </c>
      <c r="V97" s="80"/>
      <c r="W97" s="81" t="n">
        <f aca="false">IF(COUNTIFS('Quote Lines'!$P$3:$P$805,$A97&amp;"|"&amp;G$6&amp;"|1",'Quote Lines'!$M$3:$M$805,"Y")=0,"",SUMIFS('Quote Lines'!$L$3:$L$805,'Quote Lines'!$P$3:$P$805,$A97&amp;"|"&amp;G$6&amp;"|1",'Quote Lines'!$M$3:$M$805,"Y"))</f>
        <v>20</v>
      </c>
      <c r="X97" s="81"/>
      <c r="Y97" s="81"/>
      <c r="Z97" s="81"/>
      <c r="AA97" s="82" t="n">
        <f aca="false">IF(ISNUMBER(G97),1+SUMPRODUCT(ISNUMBER($G97:$J97)*($G97:$J97&lt;G97)),"")</f>
        <v>1</v>
      </c>
      <c r="AB97" s="82" t="str">
        <f aca="false">IF(ISNUMBER(H97),1+SUMPRODUCT(ISNUMBER($G97:$J97)*($G97:$J97&lt;H97)),"")</f>
        <v/>
      </c>
      <c r="AC97" s="82" t="str">
        <f aca="false">IF(ISNUMBER(I97),1+SUMPRODUCT(ISNUMBER($G97:$J97)*($G97:$J97&lt;I97)),"")</f>
        <v/>
      </c>
      <c r="AD97" s="82" t="str">
        <f aca="false">IF(ISNUMBER(J97),1+SUMPRODUCT(ISNUMBER($G97:$J97)*($G97:$J97&lt;J97)),"")</f>
        <v/>
      </c>
      <c r="AE97" s="82" t="n">
        <f aca="false">IF(NOT(ISNUMBER(G97)),0,IF($S97&lt;2,5,IF(AA97=1,1,IF(G97=MAX($G97:$J97),4,IF(AA97=2,2,3)))))</f>
        <v>5</v>
      </c>
      <c r="AF97" s="82" t="n">
        <f aca="false">IF(NOT(ISNUMBER(H97)),0,IF($S97&lt;2,5,IF(AB97=1,1,IF(H97=MAX($G97:$J97),4,IF(AB97=2,2,3)))))</f>
        <v>0</v>
      </c>
      <c r="AG97" s="82" t="n">
        <f aca="false">IF(NOT(ISNUMBER(I97)),0,IF($S97&lt;2,5,IF(AC97=1,1,IF(I97=MAX($G97:$J97),4,IF(AC97=2,2,3)))))</f>
        <v>0</v>
      </c>
      <c r="AH97" s="82" t="n">
        <f aca="false">IF(NOT(ISNUMBER(J97)),0,IF($S97&lt;2,5,IF(AD97=1,1,IF(J97=MAX($G97:$J97),4,IF(AD97=2,2,3)))))</f>
        <v>0</v>
      </c>
      <c r="AI97" s="83" t="n">
        <f aca="false">IF($S97&gt;=2,IF(ISNUMBER(G97),G97*$F97,MIN($G97:$J97)*$F97),0)</f>
        <v>0</v>
      </c>
      <c r="AJ97" s="83" t="n">
        <f aca="false">IF($S97&gt;=2,IF(ISNUMBER(H97),H97*$F97,MIN($G97:$J97)*$F97),0)</f>
        <v>0</v>
      </c>
      <c r="AK97" s="83" t="n">
        <f aca="false">IF($S97&gt;=2,IF(ISNUMBER(I97),I97*$F97,MIN($G97:$J97)*$F97),0)</f>
        <v>0</v>
      </c>
      <c r="AL97" s="83" t="n">
        <f aca="false">IF($S97&gt;=2,IF(ISNUMBER(J97),J97*$F97,MIN($G97:$J97)*$F97),0)</f>
        <v>0</v>
      </c>
      <c r="AM97" s="84" t="str">
        <f aca="false">IF($S97&gt;=2,$R97+ROW()/1000000,"")</f>
        <v/>
      </c>
      <c r="AN97" s="83" t="str">
        <f aca="false">IF($S97&gt;=2,MAX(G97:J97),"")</f>
        <v/>
      </c>
      <c r="AO97" s="82" t="str">
        <f aca="false">IF($S97&gt;=2,INDEX($G$6:$J$6,MATCH(MAX(G97:J97),G97:J97,0)),"")</f>
        <v/>
      </c>
      <c r="AP97" s="83" t="n">
        <f aca="false">IF($S97&gt;=2,MIN(G97:J97)*$F97,0)</f>
        <v>0</v>
      </c>
      <c r="AQ97" s="82" t="str">
        <f aca="false">IF($S97&gt;=2,INDEX($G$6:$J$6,MATCH(MIN(G97:J97),G97:J97,0)),"")</f>
        <v/>
      </c>
    </row>
    <row r="98" customFormat="false" ht="15" hidden="false" customHeight="true" outlineLevel="0" collapsed="false">
      <c r="A98" s="70" t="s">
        <v>345</v>
      </c>
      <c r="B98" s="71" t="s">
        <v>130</v>
      </c>
      <c r="C98" s="72" t="s">
        <v>340</v>
      </c>
      <c r="D98" s="73" t="s">
        <v>346</v>
      </c>
      <c r="E98" s="74" t="s">
        <v>178</v>
      </c>
      <c r="F98" s="75" t="n">
        <v>80</v>
      </c>
      <c r="G98" s="76" t="n">
        <f aca="false">IF(COUNTIF('Quote Lines'!$P$3:$P$805,$A98&amp;"|"&amp;G$6&amp;"|1")=0,"—",SUMIFS('Quote Lines'!$O$3:$O$805,'Quote Lines'!$P$3:$P$805,$A98&amp;"|"&amp;G$6&amp;"|1")/SUMIFS('Quote Lines'!$L$3:$L$805,'Quote Lines'!$P$3:$P$805,$A98&amp;"|"&amp;G$6&amp;"|1"))</f>
        <v>20.977</v>
      </c>
      <c r="H98" s="76" t="n">
        <f aca="false">IF(COUNTIF('Quote Lines'!$P$3:$P$805,$A98&amp;"|"&amp;H$6&amp;"|1")=0,"—",SUMIFS('Quote Lines'!$O$3:$O$805,'Quote Lines'!$P$3:$P$805,$A98&amp;"|"&amp;H$6&amp;"|1")/SUMIFS('Quote Lines'!$L$3:$L$805,'Quote Lines'!$P$3:$P$805,$A98&amp;"|"&amp;H$6&amp;"|1"))</f>
        <v>4.88</v>
      </c>
      <c r="I98" s="85" t="s">
        <v>138</v>
      </c>
      <c r="J98" s="76" t="n">
        <f aca="false">IF(COUNTIF('Quote Lines'!$P$3:$P$805,$A98&amp;"|"&amp;J$6&amp;"|1")=0,"—",SUMIFS('Quote Lines'!$O$3:$O$805,'Quote Lines'!$P$3:$P$805,$A98&amp;"|"&amp;J$6&amp;"|1")/SUMIFS('Quote Lines'!$L$3:$L$805,'Quote Lines'!$P$3:$P$805,$A98&amp;"|"&amp;J$6&amp;"|1"))</f>
        <v>6.29</v>
      </c>
      <c r="K98" s="14" t="n">
        <f aca="false">IF(ISNUMBER(G98),G98*$F98,"—")</f>
        <v>1678.16</v>
      </c>
      <c r="L98" s="14" t="n">
        <f aca="false">IF(ISNUMBER(H98),H98*$F98,"—")</f>
        <v>390.4</v>
      </c>
      <c r="M98" s="14" t="str">
        <f aca="false">IF(ISNUMBER(I98),I98*$F98,"—")</f>
        <v>—</v>
      </c>
      <c r="N98" s="14" t="n">
        <f aca="false">IF(ISNUMBER(J98),J98*$F98,"—")</f>
        <v>503.2</v>
      </c>
      <c r="O98" s="77" t="n">
        <f aca="false">IF($S98=0,"—",MIN(G98:J98))</f>
        <v>4.88</v>
      </c>
      <c r="P98" s="42" t="str">
        <f aca="false">IF($S98=0,"—",IF(COUNTIF(G98:J98,O98)&gt;1,"Tie",INDEX($G$6:$J$6,MATCH(O98,G98:J98,0))))</f>
        <v>HD Fowler</v>
      </c>
      <c r="Q98" s="48" t="n">
        <f aca="false">IF($S98&gt;=2,MAX(G98:J98)/MIN(G98:J98)-1,"—")</f>
        <v>3.29856557377049</v>
      </c>
      <c r="R98" s="78" t="n">
        <f aca="false">IF($S98&gt;=2,(MAX(G98:J98)-MIN(G98:J98))*$F98,"—")</f>
        <v>1287.76</v>
      </c>
      <c r="S98" s="18" t="n">
        <f aca="false">COUNT(G98:J98)</f>
        <v>3</v>
      </c>
      <c r="T98" s="79" t="str">
        <f aca="false">IF($S98&lt;=1,IF($S98=1,"Single quote","—"),"Like-for-like")</f>
        <v>Like-for-like</v>
      </c>
      <c r="U98" s="79" t="str">
        <f aca="false">IF(COUNT(W98:Z98)&lt;2,"",IF(MAX(W98:Z98)=MIN(W98:Z98),"OK","Qty differs"))</f>
        <v>Qty differs</v>
      </c>
      <c r="V98" s="80" t="s">
        <v>347</v>
      </c>
      <c r="W98" s="81" t="n">
        <f aca="false">IF(COUNTIFS('Quote Lines'!$P$3:$P$805,$A98&amp;"|"&amp;G$6&amp;"|1",'Quote Lines'!$M$3:$M$805,"Y")=0,"",SUMIFS('Quote Lines'!$L$3:$L$805,'Quote Lines'!$P$3:$P$805,$A98&amp;"|"&amp;G$6&amp;"|1",'Quote Lines'!$M$3:$M$805,"Y"))</f>
        <v>80</v>
      </c>
      <c r="X98" s="81" t="n">
        <f aca="false">IF(COUNTIFS('Quote Lines'!$P$3:$P$805,$A98&amp;"|"&amp;H$6&amp;"|1",'Quote Lines'!$M$3:$M$805,"Y")=0,"",SUMIFS('Quote Lines'!$L$3:$L$805,'Quote Lines'!$P$3:$P$805,$A98&amp;"|"&amp;H$6&amp;"|1",'Quote Lines'!$M$3:$M$805,"Y"))</f>
        <v>120</v>
      </c>
      <c r="Y98" s="81"/>
      <c r="Z98" s="81" t="n">
        <f aca="false">IF(COUNTIFS('Quote Lines'!$P$3:$P$805,$A98&amp;"|"&amp;J$6&amp;"|1",'Quote Lines'!$M$3:$M$805,"Y")=0,"",SUMIFS('Quote Lines'!$L$3:$L$805,'Quote Lines'!$P$3:$P$805,$A98&amp;"|"&amp;J$6&amp;"|1",'Quote Lines'!$M$3:$M$805,"Y"))</f>
        <v>80</v>
      </c>
      <c r="AA98" s="82" t="n">
        <f aca="false">IF(ISNUMBER(G98),1+SUMPRODUCT(ISNUMBER($G98:$J98)*($G98:$J98&lt;G98)),"")</f>
        <v>3</v>
      </c>
      <c r="AB98" s="82" t="n">
        <f aca="false">IF(ISNUMBER(H98),1+SUMPRODUCT(ISNUMBER($G98:$J98)*($G98:$J98&lt;H98)),"")</f>
        <v>1</v>
      </c>
      <c r="AC98" s="82" t="str">
        <f aca="false">IF(ISNUMBER(I98),1+SUMPRODUCT(ISNUMBER($G98:$J98)*($G98:$J98&lt;I98)),"")</f>
        <v/>
      </c>
      <c r="AD98" s="82" t="n">
        <f aca="false">IF(ISNUMBER(J98),1+SUMPRODUCT(ISNUMBER($G98:$J98)*($G98:$J98&lt;J98)),"")</f>
        <v>2</v>
      </c>
      <c r="AE98" s="82" t="n">
        <f aca="false">IF(NOT(ISNUMBER(G98)),0,IF($S98&lt;2,5,IF(AA98=1,1,IF(G98=MAX($G98:$J98),4,IF(AA98=2,2,3)))))</f>
        <v>4</v>
      </c>
      <c r="AF98" s="82" t="n">
        <f aca="false">IF(NOT(ISNUMBER(H98)),0,IF($S98&lt;2,5,IF(AB98=1,1,IF(H98=MAX($G98:$J98),4,IF(AB98=2,2,3)))))</f>
        <v>1</v>
      </c>
      <c r="AG98" s="82" t="n">
        <f aca="false">IF(NOT(ISNUMBER(I98)),0,IF($S98&lt;2,5,IF(AC98=1,1,IF(I98=MAX($G98:$J98),4,IF(AC98=2,2,3)))))</f>
        <v>0</v>
      </c>
      <c r="AH98" s="82" t="n">
        <f aca="false">IF(NOT(ISNUMBER(J98)),0,IF($S98&lt;2,5,IF(AD98=1,1,IF(J98=MAX($G98:$J98),4,IF(AD98=2,2,3)))))</f>
        <v>2</v>
      </c>
      <c r="AI98" s="83" t="n">
        <f aca="false">IF($S98&gt;=2,IF(ISNUMBER(G98),G98*$F98,MIN($G98:$J98)*$F98),0)</f>
        <v>1678.16</v>
      </c>
      <c r="AJ98" s="83" t="n">
        <f aca="false">IF($S98&gt;=2,IF(ISNUMBER(H98),H98*$F98,MIN($G98:$J98)*$F98),0)</f>
        <v>390.4</v>
      </c>
      <c r="AK98" s="83" t="n">
        <f aca="false">IF($S98&gt;=2,IF(ISNUMBER(I98),I98*$F98,MIN($G98:$J98)*$F98),0)</f>
        <v>390.4</v>
      </c>
      <c r="AL98" s="83" t="n">
        <f aca="false">IF($S98&gt;=2,IF(ISNUMBER(J98),J98*$F98,MIN($G98:$J98)*$F98),0)</f>
        <v>503.2</v>
      </c>
      <c r="AM98" s="84" t="n">
        <f aca="false">IF($S98&gt;=2,$R98+ROW()/1000000,"")</f>
        <v>1287.760098</v>
      </c>
      <c r="AN98" s="83" t="n">
        <f aca="false">IF($S98&gt;=2,MAX(G98:J98),"")</f>
        <v>20.977</v>
      </c>
      <c r="AO98" s="82" t="str">
        <f aca="false">IF($S98&gt;=2,INDEX($G$6:$J$6,MATCH(MAX(G98:J98),G98:J98,0)),"")</f>
        <v>Ferguson</v>
      </c>
      <c r="AP98" s="83" t="n">
        <f aca="false">IF($S98&gt;=2,MIN(G98:J98)*$F98,0)</f>
        <v>390.4</v>
      </c>
      <c r="AQ98" s="82" t="str">
        <f aca="false">IF($S98&gt;=2,INDEX($G$6:$J$6,MATCH(MIN(G98:J98),G98:J98,0)),"")</f>
        <v>HD Fowler</v>
      </c>
    </row>
    <row r="99" customFormat="false" ht="15" hidden="false" customHeight="true" outlineLevel="0" collapsed="false">
      <c r="A99" s="70" t="s">
        <v>348</v>
      </c>
      <c r="B99" s="71" t="s">
        <v>130</v>
      </c>
      <c r="C99" s="72" t="s">
        <v>340</v>
      </c>
      <c r="D99" s="73" t="s">
        <v>349</v>
      </c>
      <c r="E99" s="74" t="s">
        <v>178</v>
      </c>
      <c r="F99" s="75" t="n">
        <v>100</v>
      </c>
      <c r="G99" s="76" t="n">
        <f aca="false">IF(COUNTIF('Quote Lines'!$P$3:$P$805,$A99&amp;"|"&amp;G$6&amp;"|1")=0,"—",SUMIFS('Quote Lines'!$O$3:$O$805,'Quote Lines'!$P$3:$P$805,$A99&amp;"|"&amp;G$6&amp;"|1")/SUMIFS('Quote Lines'!$L$3:$L$805,'Quote Lines'!$P$3:$P$805,$A99&amp;"|"&amp;G$6&amp;"|1"))</f>
        <v>2.7295</v>
      </c>
      <c r="H99" s="85" t="s">
        <v>138</v>
      </c>
      <c r="I99" s="76" t="n">
        <f aca="false">IF(COUNTIF('Quote Lines'!$P$3:$P$805,$A99&amp;"|"&amp;I$6&amp;"|1")=0,"—",SUMIFS('Quote Lines'!$O$3:$O$805,'Quote Lines'!$P$3:$P$805,$A99&amp;"|"&amp;I$6&amp;"|1")/SUMIFS('Quote Lines'!$L$3:$L$805,'Quote Lines'!$P$3:$P$805,$A99&amp;"|"&amp;I$6&amp;"|1"))</f>
        <v>2.8414</v>
      </c>
      <c r="J99" s="85" t="s">
        <v>138</v>
      </c>
      <c r="K99" s="14" t="n">
        <f aca="false">IF(ISNUMBER(G99),G99*$F99,"—")</f>
        <v>272.95</v>
      </c>
      <c r="L99" s="14" t="str">
        <f aca="false">IF(ISNUMBER(H99),H99*$F99,"—")</f>
        <v>—</v>
      </c>
      <c r="M99" s="14" t="n">
        <f aca="false">IF(ISNUMBER(I99),I99*$F99,"—")</f>
        <v>284.14</v>
      </c>
      <c r="N99" s="14" t="str">
        <f aca="false">IF(ISNUMBER(J99),J99*$F99,"—")</f>
        <v>—</v>
      </c>
      <c r="O99" s="77" t="n">
        <f aca="false">IF($S99=0,"—",MIN(G99:J99))</f>
        <v>2.7295</v>
      </c>
      <c r="P99" s="42" t="str">
        <f aca="false">IF($S99=0,"—",IF(COUNTIF(G99:J99,O99)&gt;1,"Tie",INDEX($G$6:$J$6,MATCH(O99,G99:J99,0))))</f>
        <v>Ferguson</v>
      </c>
      <c r="Q99" s="48" t="n">
        <f aca="false">IF($S99&gt;=2,MAX(G99:J99)/MIN(G99:J99)-1,"—")</f>
        <v>0.0409965195090674</v>
      </c>
      <c r="R99" s="78" t="n">
        <f aca="false">IF($S99&gt;=2,(MAX(G99:J99)-MIN(G99:J99))*$F99,"—")</f>
        <v>11.1899999999999</v>
      </c>
      <c r="S99" s="18" t="n">
        <f aca="false">COUNT(G99:J99)</f>
        <v>2</v>
      </c>
      <c r="T99" s="79" t="str">
        <f aca="false">IF($S99&lt;=1,IF($S99=1,"Single quote","—"),"Like-for-like")</f>
        <v>Like-for-like</v>
      </c>
      <c r="U99" s="79" t="str">
        <f aca="false">IF(COUNT(W99:Z99)&lt;2,"",IF(MAX(W99:Z99)=MIN(W99:Z99),"OK","Qty differs"))</f>
        <v>Qty differs</v>
      </c>
      <c r="V99" s="80"/>
      <c r="W99" s="81" t="n">
        <f aca="false">IF(COUNTIFS('Quote Lines'!$P$3:$P$805,$A99&amp;"|"&amp;G$6&amp;"|1",'Quote Lines'!$M$3:$M$805,"Y")=0,"",SUMIFS('Quote Lines'!$L$3:$L$805,'Quote Lines'!$P$3:$P$805,$A99&amp;"|"&amp;G$6&amp;"|1",'Quote Lines'!$M$3:$M$805,"Y"))</f>
        <v>40</v>
      </c>
      <c r="X99" s="81"/>
      <c r="Y99" s="81" t="n">
        <f aca="false">IF(COUNTIFS('Quote Lines'!$P$3:$P$805,$A99&amp;"|"&amp;I$6&amp;"|1",'Quote Lines'!$M$3:$M$805,"Y")=0,"",SUMIFS('Quote Lines'!$L$3:$L$805,'Quote Lines'!$P$3:$P$805,$A99&amp;"|"&amp;I$6&amp;"|1",'Quote Lines'!$M$3:$M$805,"Y"))</f>
        <v>100</v>
      </c>
      <c r="Z99" s="81"/>
      <c r="AA99" s="82" t="n">
        <f aca="false">IF(ISNUMBER(G99),1+SUMPRODUCT(ISNUMBER($G99:$J99)*($G99:$J99&lt;G99)),"")</f>
        <v>1</v>
      </c>
      <c r="AB99" s="82" t="str">
        <f aca="false">IF(ISNUMBER(H99),1+SUMPRODUCT(ISNUMBER($G99:$J99)*($G99:$J99&lt;H99)),"")</f>
        <v/>
      </c>
      <c r="AC99" s="82" t="n">
        <f aca="false">IF(ISNUMBER(I99),1+SUMPRODUCT(ISNUMBER($G99:$J99)*($G99:$J99&lt;I99)),"")</f>
        <v>2</v>
      </c>
      <c r="AD99" s="82" t="str">
        <f aca="false">IF(ISNUMBER(J99),1+SUMPRODUCT(ISNUMBER($G99:$J99)*($G99:$J99&lt;J99)),"")</f>
        <v/>
      </c>
      <c r="AE99" s="82" t="n">
        <f aca="false">IF(NOT(ISNUMBER(G99)),0,IF($S99&lt;2,5,IF(AA99=1,1,IF(G99=MAX($G99:$J99),4,IF(AA99=2,2,3)))))</f>
        <v>1</v>
      </c>
      <c r="AF99" s="82" t="n">
        <f aca="false">IF(NOT(ISNUMBER(H99)),0,IF($S99&lt;2,5,IF(AB99=1,1,IF(H99=MAX($G99:$J99),4,IF(AB99=2,2,3)))))</f>
        <v>0</v>
      </c>
      <c r="AG99" s="82" t="n">
        <f aca="false">IF(NOT(ISNUMBER(I99)),0,IF($S99&lt;2,5,IF(AC99=1,1,IF(I99=MAX($G99:$J99),4,IF(AC99=2,2,3)))))</f>
        <v>4</v>
      </c>
      <c r="AH99" s="82" t="n">
        <f aca="false">IF(NOT(ISNUMBER(J99)),0,IF($S99&lt;2,5,IF(AD99=1,1,IF(J99=MAX($G99:$J99),4,IF(AD99=2,2,3)))))</f>
        <v>0</v>
      </c>
      <c r="AI99" s="83" t="n">
        <f aca="false">IF($S99&gt;=2,IF(ISNUMBER(G99),G99*$F99,MIN($G99:$J99)*$F99),0)</f>
        <v>272.95</v>
      </c>
      <c r="AJ99" s="83" t="n">
        <f aca="false">IF($S99&gt;=2,IF(ISNUMBER(H99),H99*$F99,MIN($G99:$J99)*$F99),0)</f>
        <v>272.95</v>
      </c>
      <c r="AK99" s="83" t="n">
        <f aca="false">IF($S99&gt;=2,IF(ISNUMBER(I99),I99*$F99,MIN($G99:$J99)*$F99),0)</f>
        <v>284.14</v>
      </c>
      <c r="AL99" s="83" t="n">
        <f aca="false">IF($S99&gt;=2,IF(ISNUMBER(J99),J99*$F99,MIN($G99:$J99)*$F99),0)</f>
        <v>272.95</v>
      </c>
      <c r="AM99" s="84" t="n">
        <f aca="false">IF($S99&gt;=2,$R99+ROW()/1000000,"")</f>
        <v>11.1900989999999</v>
      </c>
      <c r="AN99" s="83" t="n">
        <f aca="false">IF($S99&gt;=2,MAX(G99:J99),"")</f>
        <v>2.8414</v>
      </c>
      <c r="AO99" s="82" t="str">
        <f aca="false">IF($S99&gt;=2,INDEX($G$6:$J$6,MATCH(MAX(G99:J99),G99:J99,0)),"")</f>
        <v>Mountainland</v>
      </c>
      <c r="AP99" s="83" t="n">
        <f aca="false">IF($S99&gt;=2,MIN(G99:J99)*$F99,0)</f>
        <v>272.95</v>
      </c>
      <c r="AQ99" s="82" t="str">
        <f aca="false">IF($S99&gt;=2,INDEX($G$6:$J$6,MATCH(MIN(G99:J99),G99:J99,0)),"")</f>
        <v>Ferguson</v>
      </c>
    </row>
    <row r="100" customFormat="false" ht="15" hidden="false" customHeight="true" outlineLevel="0" collapsed="false">
      <c r="A100" s="70" t="s">
        <v>350</v>
      </c>
      <c r="B100" s="71" t="s">
        <v>130</v>
      </c>
      <c r="C100" s="72" t="s">
        <v>340</v>
      </c>
      <c r="D100" s="73" t="s">
        <v>351</v>
      </c>
      <c r="E100" s="74" t="s">
        <v>178</v>
      </c>
      <c r="F100" s="75" t="n">
        <v>21</v>
      </c>
      <c r="G100" s="85" t="s">
        <v>138</v>
      </c>
      <c r="H100" s="85" t="s">
        <v>138</v>
      </c>
      <c r="I100" s="85" t="s">
        <v>138</v>
      </c>
      <c r="J100" s="76" t="n">
        <f aca="false">IF(COUNTIF('Quote Lines'!$P$3:$P$805,$A100&amp;"|"&amp;J$6&amp;"|1")=0,"—",SUMIFS('Quote Lines'!$O$3:$O$805,'Quote Lines'!$P$3:$P$805,$A100&amp;"|"&amp;J$6&amp;"|1")/SUMIFS('Quote Lines'!$L$3:$L$805,'Quote Lines'!$P$3:$P$805,$A100&amp;"|"&amp;J$6&amp;"|1"))</f>
        <v>12.2</v>
      </c>
      <c r="K100" s="14" t="str">
        <f aca="false">IF(ISNUMBER(G100),G100*$F100,"—")</f>
        <v>—</v>
      </c>
      <c r="L100" s="14" t="str">
        <f aca="false">IF(ISNUMBER(H100),H100*$F100,"—")</f>
        <v>—</v>
      </c>
      <c r="M100" s="14" t="str">
        <f aca="false">IF(ISNUMBER(I100),I100*$F100,"—")</f>
        <v>—</v>
      </c>
      <c r="N100" s="14" t="n">
        <f aca="false">IF(ISNUMBER(J100),J100*$F100,"—")</f>
        <v>256.2</v>
      </c>
      <c r="O100" s="77" t="n">
        <f aca="false">IF($S100=0,"—",MIN(G100:J100))</f>
        <v>12.2</v>
      </c>
      <c r="P100" s="42" t="str">
        <f aca="false">IF($S100=0,"—",IF(COUNTIF(G100:J100,O100)&gt;1,"Tie",INDEX($G$6:$J$6,MATCH(O100,G100:J100,0))))</f>
        <v>Scholzen</v>
      </c>
      <c r="Q100" s="48" t="str">
        <f aca="false">IF($S100&gt;=2,MAX(G100:J100)/MIN(G100:J100)-1,"—")</f>
        <v>—</v>
      </c>
      <c r="R100" s="78" t="str">
        <f aca="false">IF($S100&gt;=2,(MAX(G100:J100)-MIN(G100:J100))*$F100,"—")</f>
        <v>—</v>
      </c>
      <c r="S100" s="18" t="n">
        <f aca="false">COUNT(G100:J100)</f>
        <v>1</v>
      </c>
      <c r="T100" s="79" t="str">
        <f aca="false">IF($S100&lt;=1,IF($S100=1,"Single quote","—"),"Like-for-like")</f>
        <v>Single quote</v>
      </c>
      <c r="U100" s="79" t="str">
        <f aca="false">IF(COUNT(W100:Z100)&lt;2,"",IF(MAX(W100:Z100)=MIN(W100:Z100),"OK","Qty differs"))</f>
        <v/>
      </c>
      <c r="V100" s="80"/>
      <c r="W100" s="81"/>
      <c r="X100" s="81"/>
      <c r="Y100" s="81"/>
      <c r="Z100" s="81" t="n">
        <f aca="false">IF(COUNTIFS('Quote Lines'!$P$3:$P$805,$A100&amp;"|"&amp;J$6&amp;"|1",'Quote Lines'!$M$3:$M$805,"Y")=0,"",SUMIFS('Quote Lines'!$L$3:$L$805,'Quote Lines'!$P$3:$P$805,$A100&amp;"|"&amp;J$6&amp;"|1",'Quote Lines'!$M$3:$M$805,"Y"))</f>
        <v>21</v>
      </c>
      <c r="AA100" s="82" t="str">
        <f aca="false">IF(ISNUMBER(G100),1+SUMPRODUCT(ISNUMBER($G100:$J100)*($G100:$J100&lt;G100)),"")</f>
        <v/>
      </c>
      <c r="AB100" s="82" t="str">
        <f aca="false">IF(ISNUMBER(H100),1+SUMPRODUCT(ISNUMBER($G100:$J100)*($G100:$J100&lt;H100)),"")</f>
        <v/>
      </c>
      <c r="AC100" s="82" t="str">
        <f aca="false">IF(ISNUMBER(I100),1+SUMPRODUCT(ISNUMBER($G100:$J100)*($G100:$J100&lt;I100)),"")</f>
        <v/>
      </c>
      <c r="AD100" s="82" t="n">
        <f aca="false">IF(ISNUMBER(J100),1+SUMPRODUCT(ISNUMBER($G100:$J100)*($G100:$J100&lt;J100)),"")</f>
        <v>1</v>
      </c>
      <c r="AE100" s="82" t="n">
        <f aca="false">IF(NOT(ISNUMBER(G100)),0,IF($S100&lt;2,5,IF(AA100=1,1,IF(G100=MAX($G100:$J100),4,IF(AA100=2,2,3)))))</f>
        <v>0</v>
      </c>
      <c r="AF100" s="82" t="n">
        <f aca="false">IF(NOT(ISNUMBER(H100)),0,IF($S100&lt;2,5,IF(AB100=1,1,IF(H100=MAX($G100:$J100),4,IF(AB100=2,2,3)))))</f>
        <v>0</v>
      </c>
      <c r="AG100" s="82" t="n">
        <f aca="false">IF(NOT(ISNUMBER(I100)),0,IF($S100&lt;2,5,IF(AC100=1,1,IF(I100=MAX($G100:$J100),4,IF(AC100=2,2,3)))))</f>
        <v>0</v>
      </c>
      <c r="AH100" s="82" t="n">
        <f aca="false">IF(NOT(ISNUMBER(J100)),0,IF($S100&lt;2,5,IF(AD100=1,1,IF(J100=MAX($G100:$J100),4,IF(AD100=2,2,3)))))</f>
        <v>5</v>
      </c>
      <c r="AI100" s="83" t="n">
        <f aca="false">IF($S100&gt;=2,IF(ISNUMBER(G100),G100*$F100,MIN($G100:$J100)*$F100),0)</f>
        <v>0</v>
      </c>
      <c r="AJ100" s="83" t="n">
        <f aca="false">IF($S100&gt;=2,IF(ISNUMBER(H100),H100*$F100,MIN($G100:$J100)*$F100),0)</f>
        <v>0</v>
      </c>
      <c r="AK100" s="83" t="n">
        <f aca="false">IF($S100&gt;=2,IF(ISNUMBER(I100),I100*$F100,MIN($G100:$J100)*$F100),0)</f>
        <v>0</v>
      </c>
      <c r="AL100" s="83" t="n">
        <f aca="false">IF($S100&gt;=2,IF(ISNUMBER(J100),J100*$F100,MIN($G100:$J100)*$F100),0)</f>
        <v>0</v>
      </c>
      <c r="AM100" s="84" t="str">
        <f aca="false">IF($S100&gt;=2,$R100+ROW()/1000000,"")</f>
        <v/>
      </c>
      <c r="AN100" s="83" t="str">
        <f aca="false">IF($S100&gt;=2,MAX(G100:J100),"")</f>
        <v/>
      </c>
      <c r="AO100" s="82" t="str">
        <f aca="false">IF($S100&gt;=2,INDEX($G$6:$J$6,MATCH(MAX(G100:J100),G100:J100,0)),"")</f>
        <v/>
      </c>
      <c r="AP100" s="83" t="n">
        <f aca="false">IF($S100&gt;=2,MIN(G100:J100)*$F100,0)</f>
        <v>0</v>
      </c>
      <c r="AQ100" s="82" t="str">
        <f aca="false">IF($S100&gt;=2,INDEX($G$6:$J$6,MATCH(MIN(G100:J100),G100:J100,0)),"")</f>
        <v/>
      </c>
    </row>
    <row r="101" customFormat="false" ht="15" hidden="false" customHeight="true" outlineLevel="0" collapsed="false">
      <c r="A101" s="70" t="s">
        <v>352</v>
      </c>
      <c r="B101" s="71" t="s">
        <v>130</v>
      </c>
      <c r="C101" s="72" t="s">
        <v>340</v>
      </c>
      <c r="D101" s="73" t="s">
        <v>353</v>
      </c>
      <c r="E101" s="74" t="s">
        <v>178</v>
      </c>
      <c r="F101" s="75" t="n">
        <v>42</v>
      </c>
      <c r="G101" s="85" t="s">
        <v>138</v>
      </c>
      <c r="H101" s="76" t="n">
        <f aca="false">IF(COUNTIF('Quote Lines'!$P$3:$P$805,$A101&amp;"|"&amp;H$6&amp;"|1")=0,"—",SUMIFS('Quote Lines'!$O$3:$O$805,'Quote Lines'!$P$3:$P$805,$A101&amp;"|"&amp;H$6&amp;"|1")/SUMIFS('Quote Lines'!$L$3:$L$805,'Quote Lines'!$P$3:$P$805,$A101&amp;"|"&amp;H$6&amp;"|1"))</f>
        <v>8.44</v>
      </c>
      <c r="I101" s="85" t="s">
        <v>138</v>
      </c>
      <c r="J101" s="85" t="s">
        <v>138</v>
      </c>
      <c r="K101" s="14" t="str">
        <f aca="false">IF(ISNUMBER(G101),G101*$F101,"—")</f>
        <v>—</v>
      </c>
      <c r="L101" s="14" t="n">
        <f aca="false">IF(ISNUMBER(H101),H101*$F101,"—")</f>
        <v>354.48</v>
      </c>
      <c r="M101" s="14" t="str">
        <f aca="false">IF(ISNUMBER(I101),I101*$F101,"—")</f>
        <v>—</v>
      </c>
      <c r="N101" s="14" t="str">
        <f aca="false">IF(ISNUMBER(J101),J101*$F101,"—")</f>
        <v>—</v>
      </c>
      <c r="O101" s="77" t="n">
        <f aca="false">IF($S101=0,"—",MIN(G101:J101))</f>
        <v>8.44</v>
      </c>
      <c r="P101" s="42" t="str">
        <f aca="false">IF($S101=0,"—",IF(COUNTIF(G101:J101,O101)&gt;1,"Tie",INDEX($G$6:$J$6,MATCH(O101,G101:J101,0))))</f>
        <v>HD Fowler</v>
      </c>
      <c r="Q101" s="48" t="str">
        <f aca="false">IF($S101&gt;=2,MAX(G101:J101)/MIN(G101:J101)-1,"—")</f>
        <v>—</v>
      </c>
      <c r="R101" s="78" t="str">
        <f aca="false">IF($S101&gt;=2,(MAX(G101:J101)-MIN(G101:J101))*$F101,"—")</f>
        <v>—</v>
      </c>
      <c r="S101" s="18" t="n">
        <f aca="false">COUNT(G101:J101)</f>
        <v>1</v>
      </c>
      <c r="T101" s="79" t="str">
        <f aca="false">IF($S101&lt;=1,IF($S101=1,"Single quote","—"),"Like-for-like")</f>
        <v>Single quote</v>
      </c>
      <c r="U101" s="79" t="str">
        <f aca="false">IF(COUNT(W101:Z101)&lt;2,"",IF(MAX(W101:Z101)=MIN(W101:Z101),"OK","Qty differs"))</f>
        <v/>
      </c>
      <c r="V101" s="80"/>
      <c r="W101" s="81"/>
      <c r="X101" s="81" t="n">
        <f aca="false">IF(COUNTIFS('Quote Lines'!$P$3:$P$805,$A101&amp;"|"&amp;H$6&amp;"|1",'Quote Lines'!$M$3:$M$805,"Y")=0,"",SUMIFS('Quote Lines'!$L$3:$L$805,'Quote Lines'!$P$3:$P$805,$A101&amp;"|"&amp;H$6&amp;"|1",'Quote Lines'!$M$3:$M$805,"Y"))</f>
        <v>42</v>
      </c>
      <c r="Y101" s="81"/>
      <c r="Z101" s="81"/>
      <c r="AA101" s="82" t="str">
        <f aca="false">IF(ISNUMBER(G101),1+SUMPRODUCT(ISNUMBER($G101:$J101)*($G101:$J101&lt;G101)),"")</f>
        <v/>
      </c>
      <c r="AB101" s="82" t="n">
        <f aca="false">IF(ISNUMBER(H101),1+SUMPRODUCT(ISNUMBER($G101:$J101)*($G101:$J101&lt;H101)),"")</f>
        <v>1</v>
      </c>
      <c r="AC101" s="82" t="str">
        <f aca="false">IF(ISNUMBER(I101),1+SUMPRODUCT(ISNUMBER($G101:$J101)*($G101:$J101&lt;I101)),"")</f>
        <v/>
      </c>
      <c r="AD101" s="82" t="str">
        <f aca="false">IF(ISNUMBER(J101),1+SUMPRODUCT(ISNUMBER($G101:$J101)*($G101:$J101&lt;J101)),"")</f>
        <v/>
      </c>
      <c r="AE101" s="82" t="n">
        <f aca="false">IF(NOT(ISNUMBER(G101)),0,IF($S101&lt;2,5,IF(AA101=1,1,IF(G101=MAX($G101:$J101),4,IF(AA101=2,2,3)))))</f>
        <v>0</v>
      </c>
      <c r="AF101" s="82" t="n">
        <f aca="false">IF(NOT(ISNUMBER(H101)),0,IF($S101&lt;2,5,IF(AB101=1,1,IF(H101=MAX($G101:$J101),4,IF(AB101=2,2,3)))))</f>
        <v>5</v>
      </c>
      <c r="AG101" s="82" t="n">
        <f aca="false">IF(NOT(ISNUMBER(I101)),0,IF($S101&lt;2,5,IF(AC101=1,1,IF(I101=MAX($G101:$J101),4,IF(AC101=2,2,3)))))</f>
        <v>0</v>
      </c>
      <c r="AH101" s="82" t="n">
        <f aca="false">IF(NOT(ISNUMBER(J101)),0,IF($S101&lt;2,5,IF(AD101=1,1,IF(J101=MAX($G101:$J101),4,IF(AD101=2,2,3)))))</f>
        <v>0</v>
      </c>
      <c r="AI101" s="83" t="n">
        <f aca="false">IF($S101&gt;=2,IF(ISNUMBER(G101),G101*$F101,MIN($G101:$J101)*$F101),0)</f>
        <v>0</v>
      </c>
      <c r="AJ101" s="83" t="n">
        <f aca="false">IF($S101&gt;=2,IF(ISNUMBER(H101),H101*$F101,MIN($G101:$J101)*$F101),0)</f>
        <v>0</v>
      </c>
      <c r="AK101" s="83" t="n">
        <f aca="false">IF($S101&gt;=2,IF(ISNUMBER(I101),I101*$F101,MIN($G101:$J101)*$F101),0)</f>
        <v>0</v>
      </c>
      <c r="AL101" s="83" t="n">
        <f aca="false">IF($S101&gt;=2,IF(ISNUMBER(J101),J101*$F101,MIN($G101:$J101)*$F101),0)</f>
        <v>0</v>
      </c>
      <c r="AM101" s="84" t="str">
        <f aca="false">IF($S101&gt;=2,$R101+ROW()/1000000,"")</f>
        <v/>
      </c>
      <c r="AN101" s="83" t="str">
        <f aca="false">IF($S101&gt;=2,MAX(G101:J101),"")</f>
        <v/>
      </c>
      <c r="AO101" s="82" t="str">
        <f aca="false">IF($S101&gt;=2,INDEX($G$6:$J$6,MATCH(MAX(G101:J101),G101:J101,0)),"")</f>
        <v/>
      </c>
      <c r="AP101" s="83" t="n">
        <f aca="false">IF($S101&gt;=2,MIN(G101:J101)*$F101,0)</f>
        <v>0</v>
      </c>
      <c r="AQ101" s="82" t="str">
        <f aca="false">IF($S101&gt;=2,INDEX($G$6:$J$6,MATCH(MIN(G101:J101),G101:J101,0)),"")</f>
        <v/>
      </c>
    </row>
    <row r="102" customFormat="false" ht="15" hidden="false" customHeight="true" outlineLevel="0" collapsed="false">
      <c r="A102" s="70" t="s">
        <v>354</v>
      </c>
      <c r="B102" s="71" t="s">
        <v>130</v>
      </c>
      <c r="C102" s="72" t="s">
        <v>340</v>
      </c>
      <c r="D102" s="73" t="s">
        <v>355</v>
      </c>
      <c r="E102" s="74" t="s">
        <v>133</v>
      </c>
      <c r="F102" s="75" t="n">
        <v>2</v>
      </c>
      <c r="G102" s="76" t="n">
        <f aca="false">IF(COUNTIF('Quote Lines'!$P$3:$P$805,$A102&amp;"|"&amp;G$6&amp;"|1")=0,"—",SUMIFS('Quote Lines'!$O$3:$O$805,'Quote Lines'!$P$3:$P$805,$A102&amp;"|"&amp;G$6&amp;"|1")/SUMIFS('Quote Lines'!$L$3:$L$805,'Quote Lines'!$P$3:$P$805,$A102&amp;"|"&amp;G$6&amp;"|1"))</f>
        <v>17.7</v>
      </c>
      <c r="H102" s="76" t="n">
        <f aca="false">IF(COUNTIF('Quote Lines'!$P$3:$P$805,$A102&amp;"|"&amp;H$6&amp;"|1")=0,"—",SUMIFS('Quote Lines'!$O$3:$O$805,'Quote Lines'!$P$3:$P$805,$A102&amp;"|"&amp;H$6&amp;"|1")/SUMIFS('Quote Lines'!$L$3:$L$805,'Quote Lines'!$P$3:$P$805,$A102&amp;"|"&amp;H$6&amp;"|1"))</f>
        <v>21.41</v>
      </c>
      <c r="I102" s="76" t="n">
        <f aca="false">IF(COUNTIF('Quote Lines'!$P$3:$P$805,$A102&amp;"|"&amp;I$6&amp;"|1")=0,"—",SUMIFS('Quote Lines'!$O$3:$O$805,'Quote Lines'!$P$3:$P$805,$A102&amp;"|"&amp;I$6&amp;"|1")/SUMIFS('Quote Lines'!$L$3:$L$805,'Quote Lines'!$P$3:$P$805,$A102&amp;"|"&amp;I$6&amp;"|1"))</f>
        <v>20.0866666666667</v>
      </c>
      <c r="J102" s="76" t="n">
        <f aca="false">IF(COUNTIF('Quote Lines'!$P$3:$P$805,$A102&amp;"|"&amp;J$6&amp;"|1")=0,"—",SUMIFS('Quote Lines'!$O$3:$O$805,'Quote Lines'!$P$3:$P$805,$A102&amp;"|"&amp;J$6&amp;"|1")/SUMIFS('Quote Lines'!$L$3:$L$805,'Quote Lines'!$P$3:$P$805,$A102&amp;"|"&amp;J$6&amp;"|1"))</f>
        <v>30.08</v>
      </c>
      <c r="K102" s="14" t="n">
        <f aca="false">IF(ISNUMBER(G102),G102*$F102,"—")</f>
        <v>35.4</v>
      </c>
      <c r="L102" s="14" t="n">
        <f aca="false">IF(ISNUMBER(H102),H102*$F102,"—")</f>
        <v>42.82</v>
      </c>
      <c r="M102" s="14" t="n">
        <f aca="false">IF(ISNUMBER(I102),I102*$F102,"—")</f>
        <v>40.1733333333333</v>
      </c>
      <c r="N102" s="14" t="n">
        <f aca="false">IF(ISNUMBER(J102),J102*$F102,"—")</f>
        <v>60.16</v>
      </c>
      <c r="O102" s="77" t="n">
        <f aca="false">IF($S102=0,"—",MIN(G102:J102))</f>
        <v>17.7</v>
      </c>
      <c r="P102" s="42" t="str">
        <f aca="false">IF($S102=0,"—",IF(COUNTIF(G102:J102,O102)&gt;1,"Tie",INDEX($G$6:$J$6,MATCH(O102,G102:J102,0))))</f>
        <v>Ferguson</v>
      </c>
      <c r="Q102" s="48" t="n">
        <f aca="false">IF($S102&gt;=2,MAX(G102:J102)/MIN(G102:J102)-1,"—")</f>
        <v>0.699435028248588</v>
      </c>
      <c r="R102" s="78" t="n">
        <f aca="false">IF($S102&gt;=2,(MAX(G102:J102)-MIN(G102:J102))*$F102,"—")</f>
        <v>24.76</v>
      </c>
      <c r="S102" s="18" t="n">
        <f aca="false">COUNT(G102:J102)</f>
        <v>4</v>
      </c>
      <c r="T102" s="79" t="str">
        <f aca="false">IF($S102&lt;=1,IF($S102=1,"Single quote","—"),"Alt spec – verify")</f>
        <v>Alt spec – verify</v>
      </c>
      <c r="U102" s="79" t="str">
        <f aca="false">IF(COUNT(W102:Z102)&lt;2,"",IF(MAX(W102:Z102)=MIN(W102:Z102),"OK","Qty differs"))</f>
        <v>Qty differs</v>
      </c>
      <c r="V102" s="80" t="s">
        <v>356</v>
      </c>
      <c r="W102" s="81" t="n">
        <f aca="false">IF(COUNTIFS('Quote Lines'!$P$3:$P$805,$A102&amp;"|"&amp;G$6&amp;"|1",'Quote Lines'!$M$3:$M$805,"Y")=0,"",SUMIFS('Quote Lines'!$L$3:$L$805,'Quote Lines'!$P$3:$P$805,$A102&amp;"|"&amp;G$6&amp;"|1",'Quote Lines'!$M$3:$M$805,"Y"))</f>
        <v>2</v>
      </c>
      <c r="X102" s="81" t="n">
        <f aca="false">IF(COUNTIFS('Quote Lines'!$P$3:$P$805,$A102&amp;"|"&amp;H$6&amp;"|1",'Quote Lines'!$M$3:$M$805,"Y")=0,"",SUMIFS('Quote Lines'!$L$3:$L$805,'Quote Lines'!$P$3:$P$805,$A102&amp;"|"&amp;H$6&amp;"|1",'Quote Lines'!$M$3:$M$805,"Y"))</f>
        <v>2</v>
      </c>
      <c r="Y102" s="81" t="n">
        <f aca="false">IF(COUNTIFS('Quote Lines'!$P$3:$P$805,$A102&amp;"|"&amp;I$6&amp;"|1",'Quote Lines'!$M$3:$M$805,"Y")=0,"",SUMIFS('Quote Lines'!$L$3:$L$805,'Quote Lines'!$P$3:$P$805,$A102&amp;"|"&amp;I$6&amp;"|1",'Quote Lines'!$M$3:$M$805,"Y"))</f>
        <v>3</v>
      </c>
      <c r="Z102" s="81" t="n">
        <f aca="false">IF(COUNTIFS('Quote Lines'!$P$3:$P$805,$A102&amp;"|"&amp;J$6&amp;"|1",'Quote Lines'!$M$3:$M$805,"Y")=0,"",SUMIFS('Quote Lines'!$L$3:$L$805,'Quote Lines'!$P$3:$P$805,$A102&amp;"|"&amp;J$6&amp;"|1",'Quote Lines'!$M$3:$M$805,"Y"))</f>
        <v>4</v>
      </c>
      <c r="AA102" s="82" t="n">
        <f aca="false">IF(ISNUMBER(G102),1+SUMPRODUCT(ISNUMBER($G102:$J102)*($G102:$J102&lt;G102)),"")</f>
        <v>1</v>
      </c>
      <c r="AB102" s="82" t="n">
        <f aca="false">IF(ISNUMBER(H102),1+SUMPRODUCT(ISNUMBER($G102:$J102)*($G102:$J102&lt;H102)),"")</f>
        <v>3</v>
      </c>
      <c r="AC102" s="82" t="n">
        <f aca="false">IF(ISNUMBER(I102),1+SUMPRODUCT(ISNUMBER($G102:$J102)*($G102:$J102&lt;I102)),"")</f>
        <v>2</v>
      </c>
      <c r="AD102" s="82" t="n">
        <f aca="false">IF(ISNUMBER(J102),1+SUMPRODUCT(ISNUMBER($G102:$J102)*($G102:$J102&lt;J102)),"")</f>
        <v>4</v>
      </c>
      <c r="AE102" s="82" t="n">
        <f aca="false">IF(NOT(ISNUMBER(G102)),0,IF($S102&lt;2,5,IF(AA102=1,1,IF(G102=MAX($G102:$J102),4,IF(AA102=2,2,3)))))</f>
        <v>1</v>
      </c>
      <c r="AF102" s="82" t="n">
        <f aca="false">IF(NOT(ISNUMBER(H102)),0,IF($S102&lt;2,5,IF(AB102=1,1,IF(H102=MAX($G102:$J102),4,IF(AB102=2,2,3)))))</f>
        <v>3</v>
      </c>
      <c r="AG102" s="82" t="n">
        <f aca="false">IF(NOT(ISNUMBER(I102)),0,IF($S102&lt;2,5,IF(AC102=1,1,IF(I102=MAX($G102:$J102),4,IF(AC102=2,2,3)))))</f>
        <v>2</v>
      </c>
      <c r="AH102" s="82" t="n">
        <f aca="false">IF(NOT(ISNUMBER(J102)),0,IF($S102&lt;2,5,IF(AD102=1,1,IF(J102=MAX($G102:$J102),4,IF(AD102=2,2,3)))))</f>
        <v>4</v>
      </c>
      <c r="AI102" s="83" t="n">
        <f aca="false">IF($S102&gt;=2,IF(ISNUMBER(G102),G102*$F102,MIN($G102:$J102)*$F102),0)</f>
        <v>35.4</v>
      </c>
      <c r="AJ102" s="83" t="n">
        <f aca="false">IF($S102&gt;=2,IF(ISNUMBER(H102),H102*$F102,MIN($G102:$J102)*$F102),0)</f>
        <v>42.82</v>
      </c>
      <c r="AK102" s="83" t="n">
        <f aca="false">IF($S102&gt;=2,IF(ISNUMBER(I102),I102*$F102,MIN($G102:$J102)*$F102),0)</f>
        <v>40.1733333333333</v>
      </c>
      <c r="AL102" s="83" t="n">
        <f aca="false">IF($S102&gt;=2,IF(ISNUMBER(J102),J102*$F102,MIN($G102:$J102)*$F102),0)</f>
        <v>60.16</v>
      </c>
      <c r="AM102" s="84" t="n">
        <f aca="false">IF($S102&gt;=2,$R102+ROW()/1000000,"")</f>
        <v>24.760102</v>
      </c>
      <c r="AN102" s="83" t="n">
        <f aca="false">IF($S102&gt;=2,MAX(G102:J102),"")</f>
        <v>30.08</v>
      </c>
      <c r="AO102" s="82" t="str">
        <f aca="false">IF($S102&gt;=2,INDEX($G$6:$J$6,MATCH(MAX(G102:J102),G102:J102,0)),"")</f>
        <v>Scholzen</v>
      </c>
      <c r="AP102" s="83" t="n">
        <f aca="false">IF($S102&gt;=2,MIN(G102:J102)*$F102,0)</f>
        <v>35.4</v>
      </c>
      <c r="AQ102" s="82" t="str">
        <f aca="false">IF($S102&gt;=2,INDEX($G$6:$J$6,MATCH(MIN(G102:J102),G102:J102,0)),"")</f>
        <v>Ferguson</v>
      </c>
    </row>
    <row r="103" customFormat="false" ht="15" hidden="false" customHeight="true" outlineLevel="0" collapsed="false">
      <c r="A103" s="70" t="s">
        <v>357</v>
      </c>
      <c r="B103" s="71" t="s">
        <v>130</v>
      </c>
      <c r="C103" s="72" t="s">
        <v>340</v>
      </c>
      <c r="D103" s="73" t="s">
        <v>358</v>
      </c>
      <c r="E103" s="74" t="s">
        <v>133</v>
      </c>
      <c r="F103" s="75" t="n">
        <v>2</v>
      </c>
      <c r="G103" s="76" t="n">
        <f aca="false">IF(COUNTIF('Quote Lines'!$P$3:$P$805,$A103&amp;"|"&amp;G$6&amp;"|1")=0,"—",SUMIFS('Quote Lines'!$O$3:$O$805,'Quote Lines'!$P$3:$P$805,$A103&amp;"|"&amp;G$6&amp;"|1")/SUMIFS('Quote Lines'!$L$3:$L$805,'Quote Lines'!$P$3:$P$805,$A103&amp;"|"&amp;G$6&amp;"|1"))</f>
        <v>11.96</v>
      </c>
      <c r="H103" s="76" t="n">
        <f aca="false">IF(COUNTIF('Quote Lines'!$P$3:$P$805,$A103&amp;"|"&amp;H$6&amp;"|1")=0,"—",SUMIFS('Quote Lines'!$O$3:$O$805,'Quote Lines'!$P$3:$P$805,$A103&amp;"|"&amp;H$6&amp;"|1")/SUMIFS('Quote Lines'!$L$3:$L$805,'Quote Lines'!$P$3:$P$805,$A103&amp;"|"&amp;H$6&amp;"|1"))</f>
        <v>58.13</v>
      </c>
      <c r="I103" s="85" t="s">
        <v>138</v>
      </c>
      <c r="J103" s="76" t="n">
        <f aca="false">IF(COUNTIF('Quote Lines'!$P$3:$P$805,$A103&amp;"|"&amp;J$6&amp;"|1")=0,"—",SUMIFS('Quote Lines'!$O$3:$O$805,'Quote Lines'!$P$3:$P$805,$A103&amp;"|"&amp;J$6&amp;"|1")/SUMIFS('Quote Lines'!$L$3:$L$805,'Quote Lines'!$P$3:$P$805,$A103&amp;"|"&amp;J$6&amp;"|1"))</f>
        <v>81.68</v>
      </c>
      <c r="K103" s="14" t="n">
        <f aca="false">IF(ISNUMBER(G103),G103*$F103,"—")</f>
        <v>23.92</v>
      </c>
      <c r="L103" s="14" t="n">
        <f aca="false">IF(ISNUMBER(H103),H103*$F103,"—")</f>
        <v>116.26</v>
      </c>
      <c r="M103" s="14" t="str">
        <f aca="false">IF(ISNUMBER(I103),I103*$F103,"—")</f>
        <v>—</v>
      </c>
      <c r="N103" s="14" t="n">
        <f aca="false">IF(ISNUMBER(J103),J103*$F103,"—")</f>
        <v>163.36</v>
      </c>
      <c r="O103" s="77" t="n">
        <f aca="false">IF($S103=0,"—",MIN(G103:J103))</f>
        <v>11.96</v>
      </c>
      <c r="P103" s="42" t="str">
        <f aca="false">IF($S103=0,"—",IF(COUNTIF(G103:J103,O103)&gt;1,"Tie",INDEX($G$6:$J$6,MATCH(O103,G103:J103,0))))</f>
        <v>Ferguson</v>
      </c>
      <c r="Q103" s="48" t="n">
        <f aca="false">IF($S103&gt;=2,MAX(G103:J103)/MIN(G103:J103)-1,"—")</f>
        <v>5.82943143812709</v>
      </c>
      <c r="R103" s="78" t="n">
        <f aca="false">IF($S103&gt;=2,(MAX(G103:J103)-MIN(G103:J103))*$F103,"—")</f>
        <v>139.44</v>
      </c>
      <c r="S103" s="18" t="n">
        <f aca="false">COUNT(G103:J103)</f>
        <v>3</v>
      </c>
      <c r="T103" s="79" t="str">
        <f aca="false">IF($S103&lt;=1,IF($S103=1,"Single quote","—"),"Alt spec – verify")</f>
        <v>Alt spec – verify</v>
      </c>
      <c r="U103" s="79" t="str">
        <f aca="false">IF(COUNT(W103:Z103)&lt;2,"",IF(MAX(W103:Z103)=MIN(W103:Z103),"OK","Qty differs"))</f>
        <v>OK</v>
      </c>
      <c r="V103" s="80" t="s">
        <v>359</v>
      </c>
      <c r="W103" s="81" t="n">
        <f aca="false">IF(COUNTIFS('Quote Lines'!$P$3:$P$805,$A103&amp;"|"&amp;G$6&amp;"|1",'Quote Lines'!$M$3:$M$805,"Y")=0,"",SUMIFS('Quote Lines'!$L$3:$L$805,'Quote Lines'!$P$3:$P$805,$A103&amp;"|"&amp;G$6&amp;"|1",'Quote Lines'!$M$3:$M$805,"Y"))</f>
        <v>2</v>
      </c>
      <c r="X103" s="81" t="n">
        <f aca="false">IF(COUNTIFS('Quote Lines'!$P$3:$P$805,$A103&amp;"|"&amp;H$6&amp;"|1",'Quote Lines'!$M$3:$M$805,"Y")=0,"",SUMIFS('Quote Lines'!$L$3:$L$805,'Quote Lines'!$P$3:$P$805,$A103&amp;"|"&amp;H$6&amp;"|1",'Quote Lines'!$M$3:$M$805,"Y"))</f>
        <v>2</v>
      </c>
      <c r="Y103" s="81"/>
      <c r="Z103" s="81" t="n">
        <f aca="false">IF(COUNTIFS('Quote Lines'!$P$3:$P$805,$A103&amp;"|"&amp;J$6&amp;"|1",'Quote Lines'!$M$3:$M$805,"Y")=0,"",SUMIFS('Quote Lines'!$L$3:$L$805,'Quote Lines'!$P$3:$P$805,$A103&amp;"|"&amp;J$6&amp;"|1",'Quote Lines'!$M$3:$M$805,"Y"))</f>
        <v>2</v>
      </c>
      <c r="AA103" s="82" t="n">
        <f aca="false">IF(ISNUMBER(G103),1+SUMPRODUCT(ISNUMBER($G103:$J103)*($G103:$J103&lt;G103)),"")</f>
        <v>1</v>
      </c>
      <c r="AB103" s="82" t="n">
        <f aca="false">IF(ISNUMBER(H103),1+SUMPRODUCT(ISNUMBER($G103:$J103)*($G103:$J103&lt;H103)),"")</f>
        <v>2</v>
      </c>
      <c r="AC103" s="82" t="str">
        <f aca="false">IF(ISNUMBER(I103),1+SUMPRODUCT(ISNUMBER($G103:$J103)*($G103:$J103&lt;I103)),"")</f>
        <v/>
      </c>
      <c r="AD103" s="82" t="n">
        <f aca="false">IF(ISNUMBER(J103),1+SUMPRODUCT(ISNUMBER($G103:$J103)*($G103:$J103&lt;J103)),"")</f>
        <v>3</v>
      </c>
      <c r="AE103" s="82" t="n">
        <f aca="false">IF(NOT(ISNUMBER(G103)),0,IF($S103&lt;2,5,IF(AA103=1,1,IF(G103=MAX($G103:$J103),4,IF(AA103=2,2,3)))))</f>
        <v>1</v>
      </c>
      <c r="AF103" s="82" t="n">
        <f aca="false">IF(NOT(ISNUMBER(H103)),0,IF($S103&lt;2,5,IF(AB103=1,1,IF(H103=MAX($G103:$J103),4,IF(AB103=2,2,3)))))</f>
        <v>2</v>
      </c>
      <c r="AG103" s="82" t="n">
        <f aca="false">IF(NOT(ISNUMBER(I103)),0,IF($S103&lt;2,5,IF(AC103=1,1,IF(I103=MAX($G103:$J103),4,IF(AC103=2,2,3)))))</f>
        <v>0</v>
      </c>
      <c r="AH103" s="82" t="n">
        <f aca="false">IF(NOT(ISNUMBER(J103)),0,IF($S103&lt;2,5,IF(AD103=1,1,IF(J103=MAX($G103:$J103),4,IF(AD103=2,2,3)))))</f>
        <v>4</v>
      </c>
      <c r="AI103" s="83" t="n">
        <f aca="false">IF($S103&gt;=2,IF(ISNUMBER(G103),G103*$F103,MIN($G103:$J103)*$F103),0)</f>
        <v>23.92</v>
      </c>
      <c r="AJ103" s="83" t="n">
        <f aca="false">IF($S103&gt;=2,IF(ISNUMBER(H103),H103*$F103,MIN($G103:$J103)*$F103),0)</f>
        <v>116.26</v>
      </c>
      <c r="AK103" s="83" t="n">
        <f aca="false">IF($S103&gt;=2,IF(ISNUMBER(I103),I103*$F103,MIN($G103:$J103)*$F103),0)</f>
        <v>23.92</v>
      </c>
      <c r="AL103" s="83" t="n">
        <f aca="false">IF($S103&gt;=2,IF(ISNUMBER(J103),J103*$F103,MIN($G103:$J103)*$F103),0)</f>
        <v>163.36</v>
      </c>
      <c r="AM103" s="84" t="n">
        <f aca="false">IF($S103&gt;=2,$R103+ROW()/1000000,"")</f>
        <v>139.440103</v>
      </c>
      <c r="AN103" s="83" t="n">
        <f aca="false">IF($S103&gt;=2,MAX(G103:J103),"")</f>
        <v>81.68</v>
      </c>
      <c r="AO103" s="82" t="str">
        <f aca="false">IF($S103&gt;=2,INDEX($G$6:$J$6,MATCH(MAX(G103:J103),G103:J103,0)),"")</f>
        <v>Scholzen</v>
      </c>
      <c r="AP103" s="83" t="n">
        <f aca="false">IF($S103&gt;=2,MIN(G103:J103)*$F103,0)</f>
        <v>23.92</v>
      </c>
      <c r="AQ103" s="82" t="str">
        <f aca="false">IF($S103&gt;=2,INDEX($G$6:$J$6,MATCH(MIN(G103:J103),G103:J103,0)),"")</f>
        <v>Ferguson</v>
      </c>
    </row>
    <row r="104" customFormat="false" ht="15" hidden="false" customHeight="true" outlineLevel="0" collapsed="false">
      <c r="A104" s="70" t="s">
        <v>360</v>
      </c>
      <c r="B104" s="71" t="s">
        <v>130</v>
      </c>
      <c r="C104" s="72" t="s">
        <v>340</v>
      </c>
      <c r="D104" s="73" t="s">
        <v>361</v>
      </c>
      <c r="E104" s="74" t="s">
        <v>133</v>
      </c>
      <c r="F104" s="75" t="n">
        <v>2</v>
      </c>
      <c r="G104" s="85" t="s">
        <v>138</v>
      </c>
      <c r="H104" s="76" t="n">
        <f aca="false">IF(COUNTIF('Quote Lines'!$P$3:$P$805,$A104&amp;"|"&amp;H$6&amp;"|1")=0,"—",SUMIFS('Quote Lines'!$O$3:$O$805,'Quote Lines'!$P$3:$P$805,$A104&amp;"|"&amp;H$6&amp;"|1")/SUMIFS('Quote Lines'!$L$3:$L$805,'Quote Lines'!$P$3:$P$805,$A104&amp;"|"&amp;H$6&amp;"|1"))</f>
        <v>30</v>
      </c>
      <c r="I104" s="85" t="s">
        <v>138</v>
      </c>
      <c r="J104" s="76" t="n">
        <f aca="false">IF(COUNTIF('Quote Lines'!$P$3:$P$805,$A104&amp;"|"&amp;J$6&amp;"|1")=0,"—",SUMIFS('Quote Lines'!$O$3:$O$805,'Quote Lines'!$P$3:$P$805,$A104&amp;"|"&amp;J$6&amp;"|1")/SUMIFS('Quote Lines'!$L$3:$L$805,'Quote Lines'!$P$3:$P$805,$A104&amp;"|"&amp;J$6&amp;"|1"))</f>
        <v>42.16</v>
      </c>
      <c r="K104" s="14" t="str">
        <f aca="false">IF(ISNUMBER(G104),G104*$F104,"—")</f>
        <v>—</v>
      </c>
      <c r="L104" s="14" t="n">
        <f aca="false">IF(ISNUMBER(H104),H104*$F104,"—")</f>
        <v>60</v>
      </c>
      <c r="M104" s="14" t="str">
        <f aca="false">IF(ISNUMBER(I104),I104*$F104,"—")</f>
        <v>—</v>
      </c>
      <c r="N104" s="14" t="n">
        <f aca="false">IF(ISNUMBER(J104),J104*$F104,"—")</f>
        <v>84.32</v>
      </c>
      <c r="O104" s="77" t="n">
        <f aca="false">IF($S104=0,"—",MIN(G104:J104))</f>
        <v>30</v>
      </c>
      <c r="P104" s="42" t="str">
        <f aca="false">IF($S104=0,"—",IF(COUNTIF(G104:J104,O104)&gt;1,"Tie",INDEX($G$6:$J$6,MATCH(O104,G104:J104,0))))</f>
        <v>HD Fowler</v>
      </c>
      <c r="Q104" s="48" t="n">
        <f aca="false">IF($S104&gt;=2,MAX(G104:J104)/MIN(G104:J104)-1,"—")</f>
        <v>0.405333333333333</v>
      </c>
      <c r="R104" s="78" t="n">
        <f aca="false">IF($S104&gt;=2,(MAX(G104:J104)-MIN(G104:J104))*$F104,"—")</f>
        <v>24.32</v>
      </c>
      <c r="S104" s="18" t="n">
        <f aca="false">COUNT(G104:J104)</f>
        <v>2</v>
      </c>
      <c r="T104" s="79" t="str">
        <f aca="false">IF($S104&lt;=1,IF($S104=1,"Single quote","—"),"Like-for-like")</f>
        <v>Like-for-like</v>
      </c>
      <c r="U104" s="79" t="str">
        <f aca="false">IF(COUNT(W104:Z104)&lt;2,"",IF(MAX(W104:Z104)=MIN(W104:Z104),"OK","Qty differs"))</f>
        <v>Qty differs</v>
      </c>
      <c r="V104" s="80"/>
      <c r="W104" s="81"/>
      <c r="X104" s="81" t="n">
        <f aca="false">IF(COUNTIFS('Quote Lines'!$P$3:$P$805,$A104&amp;"|"&amp;H$6&amp;"|1",'Quote Lines'!$M$3:$M$805,"Y")=0,"",SUMIFS('Quote Lines'!$L$3:$L$805,'Quote Lines'!$P$3:$P$805,$A104&amp;"|"&amp;H$6&amp;"|1",'Quote Lines'!$M$3:$M$805,"Y"))</f>
        <v>1</v>
      </c>
      <c r="Y104" s="81"/>
      <c r="Z104" s="81" t="n">
        <f aca="false">IF(COUNTIFS('Quote Lines'!$P$3:$P$805,$A104&amp;"|"&amp;J$6&amp;"|1",'Quote Lines'!$M$3:$M$805,"Y")=0,"",SUMIFS('Quote Lines'!$L$3:$L$805,'Quote Lines'!$P$3:$P$805,$A104&amp;"|"&amp;J$6&amp;"|1",'Quote Lines'!$M$3:$M$805,"Y"))</f>
        <v>2</v>
      </c>
      <c r="AA104" s="82" t="str">
        <f aca="false">IF(ISNUMBER(G104),1+SUMPRODUCT(ISNUMBER($G104:$J104)*($G104:$J104&lt;G104)),"")</f>
        <v/>
      </c>
      <c r="AB104" s="82" t="n">
        <f aca="false">IF(ISNUMBER(H104),1+SUMPRODUCT(ISNUMBER($G104:$J104)*($G104:$J104&lt;H104)),"")</f>
        <v>1</v>
      </c>
      <c r="AC104" s="82" t="str">
        <f aca="false">IF(ISNUMBER(I104),1+SUMPRODUCT(ISNUMBER($G104:$J104)*($G104:$J104&lt;I104)),"")</f>
        <v/>
      </c>
      <c r="AD104" s="82" t="n">
        <f aca="false">IF(ISNUMBER(J104),1+SUMPRODUCT(ISNUMBER($G104:$J104)*($G104:$J104&lt;J104)),"")</f>
        <v>2</v>
      </c>
      <c r="AE104" s="82" t="n">
        <f aca="false">IF(NOT(ISNUMBER(G104)),0,IF($S104&lt;2,5,IF(AA104=1,1,IF(G104=MAX($G104:$J104),4,IF(AA104=2,2,3)))))</f>
        <v>0</v>
      </c>
      <c r="AF104" s="82" t="n">
        <f aca="false">IF(NOT(ISNUMBER(H104)),0,IF($S104&lt;2,5,IF(AB104=1,1,IF(H104=MAX($G104:$J104),4,IF(AB104=2,2,3)))))</f>
        <v>1</v>
      </c>
      <c r="AG104" s="82" t="n">
        <f aca="false">IF(NOT(ISNUMBER(I104)),0,IF($S104&lt;2,5,IF(AC104=1,1,IF(I104=MAX($G104:$J104),4,IF(AC104=2,2,3)))))</f>
        <v>0</v>
      </c>
      <c r="AH104" s="82" t="n">
        <f aca="false">IF(NOT(ISNUMBER(J104)),0,IF($S104&lt;2,5,IF(AD104=1,1,IF(J104=MAX($G104:$J104),4,IF(AD104=2,2,3)))))</f>
        <v>4</v>
      </c>
      <c r="AI104" s="83" t="n">
        <f aca="false">IF($S104&gt;=2,IF(ISNUMBER(G104),G104*$F104,MIN($G104:$J104)*$F104),0)</f>
        <v>60</v>
      </c>
      <c r="AJ104" s="83" t="n">
        <f aca="false">IF($S104&gt;=2,IF(ISNUMBER(H104),H104*$F104,MIN($G104:$J104)*$F104),0)</f>
        <v>60</v>
      </c>
      <c r="AK104" s="83" t="n">
        <f aca="false">IF($S104&gt;=2,IF(ISNUMBER(I104),I104*$F104,MIN($G104:$J104)*$F104),0)</f>
        <v>60</v>
      </c>
      <c r="AL104" s="83" t="n">
        <f aca="false">IF($S104&gt;=2,IF(ISNUMBER(J104),J104*$F104,MIN($G104:$J104)*$F104),0)</f>
        <v>84.32</v>
      </c>
      <c r="AM104" s="84" t="n">
        <f aca="false">IF($S104&gt;=2,$R104+ROW()/1000000,"")</f>
        <v>24.320104</v>
      </c>
      <c r="AN104" s="83" t="n">
        <f aca="false">IF($S104&gt;=2,MAX(G104:J104),"")</f>
        <v>42.16</v>
      </c>
      <c r="AO104" s="82" t="str">
        <f aca="false">IF($S104&gt;=2,INDEX($G$6:$J$6,MATCH(MAX(G104:J104),G104:J104,0)),"")</f>
        <v>Scholzen</v>
      </c>
      <c r="AP104" s="83" t="n">
        <f aca="false">IF($S104&gt;=2,MIN(G104:J104)*$F104,0)</f>
        <v>60</v>
      </c>
      <c r="AQ104" s="82" t="str">
        <f aca="false">IF($S104&gt;=2,INDEX($G$6:$J$6,MATCH(MIN(G104:J104),G104:J104,0)),"")</f>
        <v>HD Fowler</v>
      </c>
    </row>
    <row r="105" customFormat="false" ht="15" hidden="false" customHeight="true" outlineLevel="0" collapsed="false">
      <c r="A105" s="70" t="s">
        <v>362</v>
      </c>
      <c r="B105" s="71" t="s">
        <v>130</v>
      </c>
      <c r="C105" s="72" t="s">
        <v>340</v>
      </c>
      <c r="D105" s="73" t="s">
        <v>363</v>
      </c>
      <c r="E105" s="74" t="s">
        <v>133</v>
      </c>
      <c r="F105" s="75" t="n">
        <v>1</v>
      </c>
      <c r="G105" s="85" t="s">
        <v>138</v>
      </c>
      <c r="H105" s="76" t="n">
        <f aca="false">IF(COUNTIF('Quote Lines'!$P$3:$P$805,$A105&amp;"|"&amp;H$6&amp;"|1")=0,"—",SUMIFS('Quote Lines'!$O$3:$O$805,'Quote Lines'!$P$3:$P$805,$A105&amp;"|"&amp;H$6&amp;"|1")/SUMIFS('Quote Lines'!$L$3:$L$805,'Quote Lines'!$P$3:$P$805,$A105&amp;"|"&amp;H$6&amp;"|1"))</f>
        <v>48.31</v>
      </c>
      <c r="I105" s="76" t="n">
        <f aca="false">IF(COUNTIF('Quote Lines'!$P$3:$P$805,$A105&amp;"|"&amp;I$6&amp;"|1")=0,"—",SUMIFS('Quote Lines'!$O$3:$O$805,'Quote Lines'!$P$3:$P$805,$A105&amp;"|"&amp;I$6&amp;"|1")/SUMIFS('Quote Lines'!$L$3:$L$805,'Quote Lines'!$P$3:$P$805,$A105&amp;"|"&amp;I$6&amp;"|1"))</f>
        <v>34.65</v>
      </c>
      <c r="J105" s="85" t="s">
        <v>138</v>
      </c>
      <c r="K105" s="14" t="str">
        <f aca="false">IF(ISNUMBER(G105),G105*$F105,"—")</f>
        <v>—</v>
      </c>
      <c r="L105" s="14" t="n">
        <f aca="false">IF(ISNUMBER(H105),H105*$F105,"—")</f>
        <v>48.31</v>
      </c>
      <c r="M105" s="14" t="n">
        <f aca="false">IF(ISNUMBER(I105),I105*$F105,"—")</f>
        <v>34.65</v>
      </c>
      <c r="N105" s="14" t="str">
        <f aca="false">IF(ISNUMBER(J105),J105*$F105,"—")</f>
        <v>—</v>
      </c>
      <c r="O105" s="77" t="n">
        <f aca="false">IF($S105=0,"—",MIN(G105:J105))</f>
        <v>34.65</v>
      </c>
      <c r="P105" s="42" t="str">
        <f aca="false">IF($S105=0,"—",IF(COUNTIF(G105:J105,O105)&gt;1,"Tie",INDEX($G$6:$J$6,MATCH(O105,G105:J105,0))))</f>
        <v>Mountainland</v>
      </c>
      <c r="Q105" s="48" t="n">
        <f aca="false">IF($S105&gt;=2,MAX(G105:J105)/MIN(G105:J105)-1,"—")</f>
        <v>0.394227994227994</v>
      </c>
      <c r="R105" s="78" t="n">
        <f aca="false">IF($S105&gt;=2,(MAX(G105:J105)-MIN(G105:J105))*$F105,"—")</f>
        <v>13.66</v>
      </c>
      <c r="S105" s="18" t="n">
        <f aca="false">COUNT(G105:J105)</f>
        <v>2</v>
      </c>
      <c r="T105" s="79" t="str">
        <f aca="false">IF($S105&lt;=1,IF($S105=1,"Single quote","—"),"Alt spec – verify")</f>
        <v>Alt spec – verify</v>
      </c>
      <c r="U105" s="79" t="str">
        <f aca="false">IF(COUNT(W105:Z105)&lt;2,"",IF(MAX(W105:Z105)=MIN(W105:Z105),"OK","Qty differs"))</f>
        <v>OK</v>
      </c>
      <c r="V105" s="80" t="s">
        <v>364</v>
      </c>
      <c r="W105" s="81"/>
      <c r="X105" s="81" t="n">
        <f aca="false">IF(COUNTIFS('Quote Lines'!$P$3:$P$805,$A105&amp;"|"&amp;H$6&amp;"|1",'Quote Lines'!$M$3:$M$805,"Y")=0,"",SUMIFS('Quote Lines'!$L$3:$L$805,'Quote Lines'!$P$3:$P$805,$A105&amp;"|"&amp;H$6&amp;"|1",'Quote Lines'!$M$3:$M$805,"Y"))</f>
        <v>1</v>
      </c>
      <c r="Y105" s="81" t="n">
        <f aca="false">IF(COUNTIFS('Quote Lines'!$P$3:$P$805,$A105&amp;"|"&amp;I$6&amp;"|1",'Quote Lines'!$M$3:$M$805,"Y")=0,"",SUMIFS('Quote Lines'!$L$3:$L$805,'Quote Lines'!$P$3:$P$805,$A105&amp;"|"&amp;I$6&amp;"|1",'Quote Lines'!$M$3:$M$805,"Y"))</f>
        <v>1</v>
      </c>
      <c r="Z105" s="81"/>
      <c r="AA105" s="82" t="str">
        <f aca="false">IF(ISNUMBER(G105),1+SUMPRODUCT(ISNUMBER($G105:$J105)*($G105:$J105&lt;G105)),"")</f>
        <v/>
      </c>
      <c r="AB105" s="82" t="n">
        <f aca="false">IF(ISNUMBER(H105),1+SUMPRODUCT(ISNUMBER($G105:$J105)*($G105:$J105&lt;H105)),"")</f>
        <v>2</v>
      </c>
      <c r="AC105" s="82" t="n">
        <f aca="false">IF(ISNUMBER(I105),1+SUMPRODUCT(ISNUMBER($G105:$J105)*($G105:$J105&lt;I105)),"")</f>
        <v>1</v>
      </c>
      <c r="AD105" s="82" t="str">
        <f aca="false">IF(ISNUMBER(J105),1+SUMPRODUCT(ISNUMBER($G105:$J105)*($G105:$J105&lt;J105)),"")</f>
        <v/>
      </c>
      <c r="AE105" s="82" t="n">
        <f aca="false">IF(NOT(ISNUMBER(G105)),0,IF($S105&lt;2,5,IF(AA105=1,1,IF(G105=MAX($G105:$J105),4,IF(AA105=2,2,3)))))</f>
        <v>0</v>
      </c>
      <c r="AF105" s="82" t="n">
        <f aca="false">IF(NOT(ISNUMBER(H105)),0,IF($S105&lt;2,5,IF(AB105=1,1,IF(H105=MAX($G105:$J105),4,IF(AB105=2,2,3)))))</f>
        <v>4</v>
      </c>
      <c r="AG105" s="82" t="n">
        <f aca="false">IF(NOT(ISNUMBER(I105)),0,IF($S105&lt;2,5,IF(AC105=1,1,IF(I105=MAX($G105:$J105),4,IF(AC105=2,2,3)))))</f>
        <v>1</v>
      </c>
      <c r="AH105" s="82" t="n">
        <f aca="false">IF(NOT(ISNUMBER(J105)),0,IF($S105&lt;2,5,IF(AD105=1,1,IF(J105=MAX($G105:$J105),4,IF(AD105=2,2,3)))))</f>
        <v>0</v>
      </c>
      <c r="AI105" s="83" t="n">
        <f aca="false">IF($S105&gt;=2,IF(ISNUMBER(G105),G105*$F105,MIN($G105:$J105)*$F105),0)</f>
        <v>34.65</v>
      </c>
      <c r="AJ105" s="83" t="n">
        <f aca="false">IF($S105&gt;=2,IF(ISNUMBER(H105),H105*$F105,MIN($G105:$J105)*$F105),0)</f>
        <v>48.31</v>
      </c>
      <c r="AK105" s="83" t="n">
        <f aca="false">IF($S105&gt;=2,IF(ISNUMBER(I105),I105*$F105,MIN($G105:$J105)*$F105),0)</f>
        <v>34.65</v>
      </c>
      <c r="AL105" s="83" t="n">
        <f aca="false">IF($S105&gt;=2,IF(ISNUMBER(J105),J105*$F105,MIN($G105:$J105)*$F105),0)</f>
        <v>34.65</v>
      </c>
      <c r="AM105" s="84" t="n">
        <f aca="false">IF($S105&gt;=2,$R105+ROW()/1000000,"")</f>
        <v>13.660105</v>
      </c>
      <c r="AN105" s="83" t="n">
        <f aca="false">IF($S105&gt;=2,MAX(G105:J105),"")</f>
        <v>48.31</v>
      </c>
      <c r="AO105" s="82" t="str">
        <f aca="false">IF($S105&gt;=2,INDEX($G$6:$J$6,MATCH(MAX(G105:J105),G105:J105,0)),"")</f>
        <v>HD Fowler</v>
      </c>
      <c r="AP105" s="83" t="n">
        <f aca="false">IF($S105&gt;=2,MIN(G105:J105)*$F105,0)</f>
        <v>34.65</v>
      </c>
      <c r="AQ105" s="82" t="str">
        <f aca="false">IF($S105&gt;=2,INDEX($G$6:$J$6,MATCH(MIN(G105:J105),G105:J105,0)),"")</f>
        <v>Mountainland</v>
      </c>
    </row>
    <row r="106" customFormat="false" ht="15" hidden="false" customHeight="true" outlineLevel="0" collapsed="false">
      <c r="A106" s="70" t="s">
        <v>365</v>
      </c>
      <c r="B106" s="71" t="s">
        <v>130</v>
      </c>
      <c r="C106" s="72" t="s">
        <v>340</v>
      </c>
      <c r="D106" s="73" t="s">
        <v>366</v>
      </c>
      <c r="E106" s="74" t="s">
        <v>133</v>
      </c>
      <c r="F106" s="75" t="n">
        <v>3</v>
      </c>
      <c r="G106" s="76" t="n">
        <f aca="false">IF(COUNTIF('Quote Lines'!$P$3:$P$805,$A106&amp;"|"&amp;G$6&amp;"|1")=0,"—",SUMIFS('Quote Lines'!$O$3:$O$805,'Quote Lines'!$P$3:$P$805,$A106&amp;"|"&amp;G$6&amp;"|1")/SUMIFS('Quote Lines'!$L$3:$L$805,'Quote Lines'!$P$3:$P$805,$A106&amp;"|"&amp;G$6&amp;"|1"))</f>
        <v>36.04</v>
      </c>
      <c r="H106" s="85" t="s">
        <v>138</v>
      </c>
      <c r="I106" s="85" t="s">
        <v>138</v>
      </c>
      <c r="J106" s="85" t="s">
        <v>138</v>
      </c>
      <c r="K106" s="14" t="n">
        <f aca="false">IF(ISNUMBER(G106),G106*$F106,"—")</f>
        <v>108.12</v>
      </c>
      <c r="L106" s="14" t="str">
        <f aca="false">IF(ISNUMBER(H106),H106*$F106,"—")</f>
        <v>—</v>
      </c>
      <c r="M106" s="14" t="str">
        <f aca="false">IF(ISNUMBER(I106),I106*$F106,"—")</f>
        <v>—</v>
      </c>
      <c r="N106" s="14" t="str">
        <f aca="false">IF(ISNUMBER(J106),J106*$F106,"—")</f>
        <v>—</v>
      </c>
      <c r="O106" s="77" t="n">
        <f aca="false">IF($S106=0,"—",MIN(G106:J106))</f>
        <v>36.04</v>
      </c>
      <c r="P106" s="42" t="str">
        <f aca="false">IF($S106=0,"—",IF(COUNTIF(G106:J106,O106)&gt;1,"Tie",INDEX($G$6:$J$6,MATCH(O106,G106:J106,0))))</f>
        <v>Ferguson</v>
      </c>
      <c r="Q106" s="48" t="str">
        <f aca="false">IF($S106&gt;=2,MAX(G106:J106)/MIN(G106:J106)-1,"—")</f>
        <v>—</v>
      </c>
      <c r="R106" s="78" t="str">
        <f aca="false">IF($S106&gt;=2,(MAX(G106:J106)-MIN(G106:J106))*$F106,"—")</f>
        <v>—</v>
      </c>
      <c r="S106" s="18" t="n">
        <f aca="false">COUNT(G106:J106)</f>
        <v>1</v>
      </c>
      <c r="T106" s="79" t="str">
        <f aca="false">IF($S106&lt;=1,IF($S106=1,"Single quote","—"),"Like-for-like")</f>
        <v>Single quote</v>
      </c>
      <c r="U106" s="79" t="str">
        <f aca="false">IF(COUNT(W106:Z106)&lt;2,"",IF(MAX(W106:Z106)=MIN(W106:Z106),"OK","Qty differs"))</f>
        <v/>
      </c>
      <c r="V106" s="80"/>
      <c r="W106" s="81" t="n">
        <f aca="false">IF(COUNTIFS('Quote Lines'!$P$3:$P$805,$A106&amp;"|"&amp;G$6&amp;"|1",'Quote Lines'!$M$3:$M$805,"Y")=0,"",SUMIFS('Quote Lines'!$L$3:$L$805,'Quote Lines'!$P$3:$P$805,$A106&amp;"|"&amp;G$6&amp;"|1",'Quote Lines'!$M$3:$M$805,"Y"))</f>
        <v>3</v>
      </c>
      <c r="X106" s="81"/>
      <c r="Y106" s="81"/>
      <c r="Z106" s="81"/>
      <c r="AA106" s="82" t="n">
        <f aca="false">IF(ISNUMBER(G106),1+SUMPRODUCT(ISNUMBER($G106:$J106)*($G106:$J106&lt;G106)),"")</f>
        <v>1</v>
      </c>
      <c r="AB106" s="82" t="str">
        <f aca="false">IF(ISNUMBER(H106),1+SUMPRODUCT(ISNUMBER($G106:$J106)*($G106:$J106&lt;H106)),"")</f>
        <v/>
      </c>
      <c r="AC106" s="82" t="str">
        <f aca="false">IF(ISNUMBER(I106),1+SUMPRODUCT(ISNUMBER($G106:$J106)*($G106:$J106&lt;I106)),"")</f>
        <v/>
      </c>
      <c r="AD106" s="82" t="str">
        <f aca="false">IF(ISNUMBER(J106),1+SUMPRODUCT(ISNUMBER($G106:$J106)*($G106:$J106&lt;J106)),"")</f>
        <v/>
      </c>
      <c r="AE106" s="82" t="n">
        <f aca="false">IF(NOT(ISNUMBER(G106)),0,IF($S106&lt;2,5,IF(AA106=1,1,IF(G106=MAX($G106:$J106),4,IF(AA106=2,2,3)))))</f>
        <v>5</v>
      </c>
      <c r="AF106" s="82" t="n">
        <f aca="false">IF(NOT(ISNUMBER(H106)),0,IF($S106&lt;2,5,IF(AB106=1,1,IF(H106=MAX($G106:$J106),4,IF(AB106=2,2,3)))))</f>
        <v>0</v>
      </c>
      <c r="AG106" s="82" t="n">
        <f aca="false">IF(NOT(ISNUMBER(I106)),0,IF($S106&lt;2,5,IF(AC106=1,1,IF(I106=MAX($G106:$J106),4,IF(AC106=2,2,3)))))</f>
        <v>0</v>
      </c>
      <c r="AH106" s="82" t="n">
        <f aca="false">IF(NOT(ISNUMBER(J106)),0,IF($S106&lt;2,5,IF(AD106=1,1,IF(J106=MAX($G106:$J106),4,IF(AD106=2,2,3)))))</f>
        <v>0</v>
      </c>
      <c r="AI106" s="83" t="n">
        <f aca="false">IF($S106&gt;=2,IF(ISNUMBER(G106),G106*$F106,MIN($G106:$J106)*$F106),0)</f>
        <v>0</v>
      </c>
      <c r="AJ106" s="83" t="n">
        <f aca="false">IF($S106&gt;=2,IF(ISNUMBER(H106),H106*$F106,MIN($G106:$J106)*$F106),0)</f>
        <v>0</v>
      </c>
      <c r="AK106" s="83" t="n">
        <f aca="false">IF($S106&gt;=2,IF(ISNUMBER(I106),I106*$F106,MIN($G106:$J106)*$F106),0)</f>
        <v>0</v>
      </c>
      <c r="AL106" s="83" t="n">
        <f aca="false">IF($S106&gt;=2,IF(ISNUMBER(J106),J106*$F106,MIN($G106:$J106)*$F106),0)</f>
        <v>0</v>
      </c>
      <c r="AM106" s="84" t="str">
        <f aca="false">IF($S106&gt;=2,$R106+ROW()/1000000,"")</f>
        <v/>
      </c>
      <c r="AN106" s="83" t="str">
        <f aca="false">IF($S106&gt;=2,MAX(G106:J106),"")</f>
        <v/>
      </c>
      <c r="AO106" s="82" t="str">
        <f aca="false">IF($S106&gt;=2,INDEX($G$6:$J$6,MATCH(MAX(G106:J106),G106:J106,0)),"")</f>
        <v/>
      </c>
      <c r="AP106" s="83" t="n">
        <f aca="false">IF($S106&gt;=2,MIN(G106:J106)*$F106,0)</f>
        <v>0</v>
      </c>
      <c r="AQ106" s="82" t="str">
        <f aca="false">IF($S106&gt;=2,INDEX($G$6:$J$6,MATCH(MIN(G106:J106),G106:J106,0)),"")</f>
        <v/>
      </c>
    </row>
    <row r="107" customFormat="false" ht="15" hidden="false" customHeight="true" outlineLevel="0" collapsed="false">
      <c r="A107" s="70" t="s">
        <v>367</v>
      </c>
      <c r="B107" s="71" t="s">
        <v>130</v>
      </c>
      <c r="C107" s="72" t="s">
        <v>340</v>
      </c>
      <c r="D107" s="73" t="s">
        <v>368</v>
      </c>
      <c r="E107" s="74" t="s">
        <v>133</v>
      </c>
      <c r="F107" s="75" t="n">
        <v>1</v>
      </c>
      <c r="G107" s="76" t="n">
        <f aca="false">IF(COUNTIF('Quote Lines'!$P$3:$P$805,$A107&amp;"|"&amp;G$6&amp;"|1")=0,"—",SUMIFS('Quote Lines'!$O$3:$O$805,'Quote Lines'!$P$3:$P$805,$A107&amp;"|"&amp;G$6&amp;"|1")/SUMIFS('Quote Lines'!$L$3:$L$805,'Quote Lines'!$P$3:$P$805,$A107&amp;"|"&amp;G$6&amp;"|1"))</f>
        <v>31.68</v>
      </c>
      <c r="H107" s="85" t="s">
        <v>138</v>
      </c>
      <c r="I107" s="85" t="s">
        <v>138</v>
      </c>
      <c r="J107" s="85" t="s">
        <v>138</v>
      </c>
      <c r="K107" s="14" t="n">
        <f aca="false">IF(ISNUMBER(G107),G107*$F107,"—")</f>
        <v>31.68</v>
      </c>
      <c r="L107" s="14" t="str">
        <f aca="false">IF(ISNUMBER(H107),H107*$F107,"—")</f>
        <v>—</v>
      </c>
      <c r="M107" s="14" t="str">
        <f aca="false">IF(ISNUMBER(I107),I107*$F107,"—")</f>
        <v>—</v>
      </c>
      <c r="N107" s="14" t="str">
        <f aca="false">IF(ISNUMBER(J107),J107*$F107,"—")</f>
        <v>—</v>
      </c>
      <c r="O107" s="77" t="n">
        <f aca="false">IF($S107=0,"—",MIN(G107:J107))</f>
        <v>31.68</v>
      </c>
      <c r="P107" s="42" t="str">
        <f aca="false">IF($S107=0,"—",IF(COUNTIF(G107:J107,O107)&gt;1,"Tie",INDEX($G$6:$J$6,MATCH(O107,G107:J107,0))))</f>
        <v>Ferguson</v>
      </c>
      <c r="Q107" s="48" t="str">
        <f aca="false">IF($S107&gt;=2,MAX(G107:J107)/MIN(G107:J107)-1,"—")</f>
        <v>—</v>
      </c>
      <c r="R107" s="78" t="str">
        <f aca="false">IF($S107&gt;=2,(MAX(G107:J107)-MIN(G107:J107))*$F107,"—")</f>
        <v>—</v>
      </c>
      <c r="S107" s="18" t="n">
        <f aca="false">COUNT(G107:J107)</f>
        <v>1</v>
      </c>
      <c r="T107" s="79" t="str">
        <f aca="false">IF($S107&lt;=1,IF($S107=1,"Single quote","—"),"Like-for-like")</f>
        <v>Single quote</v>
      </c>
      <c r="U107" s="79" t="str">
        <f aca="false">IF(COUNT(W107:Z107)&lt;2,"",IF(MAX(W107:Z107)=MIN(W107:Z107),"OK","Qty differs"))</f>
        <v/>
      </c>
      <c r="V107" s="80"/>
      <c r="W107" s="81" t="n">
        <f aca="false">IF(COUNTIFS('Quote Lines'!$P$3:$P$805,$A107&amp;"|"&amp;G$6&amp;"|1",'Quote Lines'!$M$3:$M$805,"Y")=0,"",SUMIFS('Quote Lines'!$L$3:$L$805,'Quote Lines'!$P$3:$P$805,$A107&amp;"|"&amp;G$6&amp;"|1",'Quote Lines'!$M$3:$M$805,"Y"))</f>
        <v>1</v>
      </c>
      <c r="X107" s="81"/>
      <c r="Y107" s="81"/>
      <c r="Z107" s="81"/>
      <c r="AA107" s="82" t="n">
        <f aca="false">IF(ISNUMBER(G107),1+SUMPRODUCT(ISNUMBER($G107:$J107)*($G107:$J107&lt;G107)),"")</f>
        <v>1</v>
      </c>
      <c r="AB107" s="82" t="str">
        <f aca="false">IF(ISNUMBER(H107),1+SUMPRODUCT(ISNUMBER($G107:$J107)*($G107:$J107&lt;H107)),"")</f>
        <v/>
      </c>
      <c r="AC107" s="82" t="str">
        <f aca="false">IF(ISNUMBER(I107),1+SUMPRODUCT(ISNUMBER($G107:$J107)*($G107:$J107&lt;I107)),"")</f>
        <v/>
      </c>
      <c r="AD107" s="82" t="str">
        <f aca="false">IF(ISNUMBER(J107),1+SUMPRODUCT(ISNUMBER($G107:$J107)*($G107:$J107&lt;J107)),"")</f>
        <v/>
      </c>
      <c r="AE107" s="82" t="n">
        <f aca="false">IF(NOT(ISNUMBER(G107)),0,IF($S107&lt;2,5,IF(AA107=1,1,IF(G107=MAX($G107:$J107),4,IF(AA107=2,2,3)))))</f>
        <v>5</v>
      </c>
      <c r="AF107" s="82" t="n">
        <f aca="false">IF(NOT(ISNUMBER(H107)),0,IF($S107&lt;2,5,IF(AB107=1,1,IF(H107=MAX($G107:$J107),4,IF(AB107=2,2,3)))))</f>
        <v>0</v>
      </c>
      <c r="AG107" s="82" t="n">
        <f aca="false">IF(NOT(ISNUMBER(I107)),0,IF($S107&lt;2,5,IF(AC107=1,1,IF(I107=MAX($G107:$J107),4,IF(AC107=2,2,3)))))</f>
        <v>0</v>
      </c>
      <c r="AH107" s="82" t="n">
        <f aca="false">IF(NOT(ISNUMBER(J107)),0,IF($S107&lt;2,5,IF(AD107=1,1,IF(J107=MAX($G107:$J107),4,IF(AD107=2,2,3)))))</f>
        <v>0</v>
      </c>
      <c r="AI107" s="83" t="n">
        <f aca="false">IF($S107&gt;=2,IF(ISNUMBER(G107),G107*$F107,MIN($G107:$J107)*$F107),0)</f>
        <v>0</v>
      </c>
      <c r="AJ107" s="83" t="n">
        <f aca="false">IF($S107&gt;=2,IF(ISNUMBER(H107),H107*$F107,MIN($G107:$J107)*$F107),0)</f>
        <v>0</v>
      </c>
      <c r="AK107" s="83" t="n">
        <f aca="false">IF($S107&gt;=2,IF(ISNUMBER(I107),I107*$F107,MIN($G107:$J107)*$F107),0)</f>
        <v>0</v>
      </c>
      <c r="AL107" s="83" t="n">
        <f aca="false">IF($S107&gt;=2,IF(ISNUMBER(J107),J107*$F107,MIN($G107:$J107)*$F107),0)</f>
        <v>0</v>
      </c>
      <c r="AM107" s="84" t="str">
        <f aca="false">IF($S107&gt;=2,$R107+ROW()/1000000,"")</f>
        <v/>
      </c>
      <c r="AN107" s="83" t="str">
        <f aca="false">IF($S107&gt;=2,MAX(G107:J107),"")</f>
        <v/>
      </c>
      <c r="AO107" s="82" t="str">
        <f aca="false">IF($S107&gt;=2,INDEX($G$6:$J$6,MATCH(MAX(G107:J107),G107:J107,0)),"")</f>
        <v/>
      </c>
      <c r="AP107" s="83" t="n">
        <f aca="false">IF($S107&gt;=2,MIN(G107:J107)*$F107,0)</f>
        <v>0</v>
      </c>
      <c r="AQ107" s="82" t="str">
        <f aca="false">IF($S107&gt;=2,INDEX($G$6:$J$6,MATCH(MIN(G107:J107),G107:J107,0)),"")</f>
        <v/>
      </c>
    </row>
    <row r="108" customFormat="false" ht="15" hidden="false" customHeight="true" outlineLevel="0" collapsed="false">
      <c r="A108" s="70" t="s">
        <v>369</v>
      </c>
      <c r="B108" s="71" t="s">
        <v>130</v>
      </c>
      <c r="C108" s="72" t="s">
        <v>340</v>
      </c>
      <c r="D108" s="73" t="s">
        <v>370</v>
      </c>
      <c r="E108" s="74" t="s">
        <v>133</v>
      </c>
      <c r="F108" s="75" t="n">
        <v>1</v>
      </c>
      <c r="G108" s="76" t="n">
        <f aca="false">IF(COUNTIF('Quote Lines'!$P$3:$P$805,$A108&amp;"|"&amp;G$6&amp;"|1")=0,"—",SUMIFS('Quote Lines'!$O$3:$O$805,'Quote Lines'!$P$3:$P$805,$A108&amp;"|"&amp;G$6&amp;"|1")/SUMIFS('Quote Lines'!$L$3:$L$805,'Quote Lines'!$P$3:$P$805,$A108&amp;"|"&amp;G$6&amp;"|1"))</f>
        <v>10.73</v>
      </c>
      <c r="H108" s="76" t="n">
        <f aca="false">IF(COUNTIF('Quote Lines'!$P$3:$P$805,$A108&amp;"|"&amp;H$6&amp;"|1")=0,"—",SUMIFS('Quote Lines'!$O$3:$O$805,'Quote Lines'!$P$3:$P$805,$A108&amp;"|"&amp;H$6&amp;"|1")/SUMIFS('Quote Lines'!$L$3:$L$805,'Quote Lines'!$P$3:$P$805,$A108&amp;"|"&amp;H$6&amp;"|1"))</f>
        <v>29.11</v>
      </c>
      <c r="I108" s="85" t="s">
        <v>138</v>
      </c>
      <c r="J108" s="85" t="s">
        <v>138</v>
      </c>
      <c r="K108" s="14" t="n">
        <f aca="false">IF(ISNUMBER(G108),G108*$F108,"—")</f>
        <v>10.73</v>
      </c>
      <c r="L108" s="14" t="n">
        <f aca="false">IF(ISNUMBER(H108),H108*$F108,"—")</f>
        <v>29.11</v>
      </c>
      <c r="M108" s="14" t="str">
        <f aca="false">IF(ISNUMBER(I108),I108*$F108,"—")</f>
        <v>—</v>
      </c>
      <c r="N108" s="14" t="str">
        <f aca="false">IF(ISNUMBER(J108),J108*$F108,"—")</f>
        <v>—</v>
      </c>
      <c r="O108" s="77" t="n">
        <f aca="false">IF($S108=0,"—",MIN(G108:J108))</f>
        <v>10.73</v>
      </c>
      <c r="P108" s="42" t="str">
        <f aca="false">IF($S108=0,"—",IF(COUNTIF(G108:J108,O108)&gt;1,"Tie",INDEX($G$6:$J$6,MATCH(O108,G108:J108,0))))</f>
        <v>Ferguson</v>
      </c>
      <c r="Q108" s="48" t="n">
        <f aca="false">IF($S108&gt;=2,MAX(G108:J108)/MIN(G108:J108)-1,"—")</f>
        <v>1.71295433364399</v>
      </c>
      <c r="R108" s="78" t="n">
        <f aca="false">IF($S108&gt;=2,(MAX(G108:J108)-MIN(G108:J108))*$F108,"—")</f>
        <v>18.38</v>
      </c>
      <c r="S108" s="18" t="n">
        <f aca="false">COUNT(G108:J108)</f>
        <v>2</v>
      </c>
      <c r="T108" s="79" t="str">
        <f aca="false">IF($S108&lt;=1,IF($S108=1,"Single quote","—"),"Alt spec – verify")</f>
        <v>Alt spec – verify</v>
      </c>
      <c r="U108" s="79" t="str">
        <f aca="false">IF(COUNT(W108:Z108)&lt;2,"",IF(MAX(W108:Z108)=MIN(W108:Z108),"OK","Qty differs"))</f>
        <v>OK</v>
      </c>
      <c r="V108" s="80" t="s">
        <v>371</v>
      </c>
      <c r="W108" s="81" t="n">
        <f aca="false">IF(COUNTIFS('Quote Lines'!$P$3:$P$805,$A108&amp;"|"&amp;G$6&amp;"|1",'Quote Lines'!$M$3:$M$805,"Y")=0,"",SUMIFS('Quote Lines'!$L$3:$L$805,'Quote Lines'!$P$3:$P$805,$A108&amp;"|"&amp;G$6&amp;"|1",'Quote Lines'!$M$3:$M$805,"Y"))</f>
        <v>1</v>
      </c>
      <c r="X108" s="81" t="n">
        <f aca="false">IF(COUNTIFS('Quote Lines'!$P$3:$P$805,$A108&amp;"|"&amp;H$6&amp;"|1",'Quote Lines'!$M$3:$M$805,"Y")=0,"",SUMIFS('Quote Lines'!$L$3:$L$805,'Quote Lines'!$P$3:$P$805,$A108&amp;"|"&amp;H$6&amp;"|1",'Quote Lines'!$M$3:$M$805,"Y"))</f>
        <v>1</v>
      </c>
      <c r="Y108" s="81"/>
      <c r="Z108" s="81"/>
      <c r="AA108" s="82" t="n">
        <f aca="false">IF(ISNUMBER(G108),1+SUMPRODUCT(ISNUMBER($G108:$J108)*($G108:$J108&lt;G108)),"")</f>
        <v>1</v>
      </c>
      <c r="AB108" s="82" t="n">
        <f aca="false">IF(ISNUMBER(H108),1+SUMPRODUCT(ISNUMBER($G108:$J108)*($G108:$J108&lt;H108)),"")</f>
        <v>2</v>
      </c>
      <c r="AC108" s="82" t="str">
        <f aca="false">IF(ISNUMBER(I108),1+SUMPRODUCT(ISNUMBER($G108:$J108)*($G108:$J108&lt;I108)),"")</f>
        <v/>
      </c>
      <c r="AD108" s="82" t="str">
        <f aca="false">IF(ISNUMBER(J108),1+SUMPRODUCT(ISNUMBER($G108:$J108)*($G108:$J108&lt;J108)),"")</f>
        <v/>
      </c>
      <c r="AE108" s="82" t="n">
        <f aca="false">IF(NOT(ISNUMBER(G108)),0,IF($S108&lt;2,5,IF(AA108=1,1,IF(G108=MAX($G108:$J108),4,IF(AA108=2,2,3)))))</f>
        <v>1</v>
      </c>
      <c r="AF108" s="82" t="n">
        <f aca="false">IF(NOT(ISNUMBER(H108)),0,IF($S108&lt;2,5,IF(AB108=1,1,IF(H108=MAX($G108:$J108),4,IF(AB108=2,2,3)))))</f>
        <v>4</v>
      </c>
      <c r="AG108" s="82" t="n">
        <f aca="false">IF(NOT(ISNUMBER(I108)),0,IF($S108&lt;2,5,IF(AC108=1,1,IF(I108=MAX($G108:$J108),4,IF(AC108=2,2,3)))))</f>
        <v>0</v>
      </c>
      <c r="AH108" s="82" t="n">
        <f aca="false">IF(NOT(ISNUMBER(J108)),0,IF($S108&lt;2,5,IF(AD108=1,1,IF(J108=MAX($G108:$J108),4,IF(AD108=2,2,3)))))</f>
        <v>0</v>
      </c>
      <c r="AI108" s="83" t="n">
        <f aca="false">IF($S108&gt;=2,IF(ISNUMBER(G108),G108*$F108,MIN($G108:$J108)*$F108),0)</f>
        <v>10.73</v>
      </c>
      <c r="AJ108" s="83" t="n">
        <f aca="false">IF($S108&gt;=2,IF(ISNUMBER(H108),H108*$F108,MIN($G108:$J108)*$F108),0)</f>
        <v>29.11</v>
      </c>
      <c r="AK108" s="83" t="n">
        <f aca="false">IF($S108&gt;=2,IF(ISNUMBER(I108),I108*$F108,MIN($G108:$J108)*$F108),0)</f>
        <v>10.73</v>
      </c>
      <c r="AL108" s="83" t="n">
        <f aca="false">IF($S108&gt;=2,IF(ISNUMBER(J108),J108*$F108,MIN($G108:$J108)*$F108),0)</f>
        <v>10.73</v>
      </c>
      <c r="AM108" s="84" t="n">
        <f aca="false">IF($S108&gt;=2,$R108+ROW()/1000000,"")</f>
        <v>18.380108</v>
      </c>
      <c r="AN108" s="83" t="n">
        <f aca="false">IF($S108&gt;=2,MAX(G108:J108),"")</f>
        <v>29.11</v>
      </c>
      <c r="AO108" s="82" t="str">
        <f aca="false">IF($S108&gt;=2,INDEX($G$6:$J$6,MATCH(MAX(G108:J108),G108:J108,0)),"")</f>
        <v>HD Fowler</v>
      </c>
      <c r="AP108" s="83" t="n">
        <f aca="false">IF($S108&gt;=2,MIN(G108:J108)*$F108,0)</f>
        <v>10.73</v>
      </c>
      <c r="AQ108" s="82" t="str">
        <f aca="false">IF($S108&gt;=2,INDEX($G$6:$J$6,MATCH(MIN(G108:J108),G108:J108,0)),"")</f>
        <v>Ferguson</v>
      </c>
    </row>
    <row r="109" customFormat="false" ht="15" hidden="false" customHeight="true" outlineLevel="0" collapsed="false">
      <c r="A109" s="70" t="s">
        <v>372</v>
      </c>
      <c r="B109" s="71" t="s">
        <v>130</v>
      </c>
      <c r="C109" s="72" t="s">
        <v>340</v>
      </c>
      <c r="D109" s="73" t="s">
        <v>373</v>
      </c>
      <c r="E109" s="74" t="s">
        <v>133</v>
      </c>
      <c r="F109" s="75" t="n">
        <v>1</v>
      </c>
      <c r="G109" s="85" t="s">
        <v>138</v>
      </c>
      <c r="H109" s="76" t="n">
        <f aca="false">IF(COUNTIF('Quote Lines'!$P$3:$P$805,$A109&amp;"|"&amp;H$6&amp;"|1")=0,"—",SUMIFS('Quote Lines'!$O$3:$O$805,'Quote Lines'!$P$3:$P$805,$A109&amp;"|"&amp;H$6&amp;"|1")/SUMIFS('Quote Lines'!$L$3:$L$805,'Quote Lines'!$P$3:$P$805,$A109&amp;"|"&amp;H$6&amp;"|1"))</f>
        <v>23.57</v>
      </c>
      <c r="I109" s="85" t="s">
        <v>138</v>
      </c>
      <c r="J109" s="85" t="s">
        <v>138</v>
      </c>
      <c r="K109" s="14" t="str">
        <f aca="false">IF(ISNUMBER(G109),G109*$F109,"—")</f>
        <v>—</v>
      </c>
      <c r="L109" s="14" t="n">
        <f aca="false">IF(ISNUMBER(H109),H109*$F109,"—")</f>
        <v>23.57</v>
      </c>
      <c r="M109" s="14" t="str">
        <f aca="false">IF(ISNUMBER(I109),I109*$F109,"—")</f>
        <v>—</v>
      </c>
      <c r="N109" s="14" t="str">
        <f aca="false">IF(ISNUMBER(J109),J109*$F109,"—")</f>
        <v>—</v>
      </c>
      <c r="O109" s="77" t="n">
        <f aca="false">IF($S109=0,"—",MIN(G109:J109))</f>
        <v>23.57</v>
      </c>
      <c r="P109" s="42" t="str">
        <f aca="false">IF($S109=0,"—",IF(COUNTIF(G109:J109,O109)&gt;1,"Tie",INDEX($G$6:$J$6,MATCH(O109,G109:J109,0))))</f>
        <v>HD Fowler</v>
      </c>
      <c r="Q109" s="48" t="str">
        <f aca="false">IF($S109&gt;=2,MAX(G109:J109)/MIN(G109:J109)-1,"—")</f>
        <v>—</v>
      </c>
      <c r="R109" s="78" t="str">
        <f aca="false">IF($S109&gt;=2,(MAX(G109:J109)-MIN(G109:J109))*$F109,"—")</f>
        <v>—</v>
      </c>
      <c r="S109" s="18" t="n">
        <f aca="false">COUNT(G109:J109)</f>
        <v>1</v>
      </c>
      <c r="T109" s="79" t="str">
        <f aca="false">IF($S109&lt;=1,IF($S109=1,"Single quote","—"),"Like-for-like")</f>
        <v>Single quote</v>
      </c>
      <c r="U109" s="79" t="str">
        <f aca="false">IF(COUNT(W109:Z109)&lt;2,"",IF(MAX(W109:Z109)=MIN(W109:Z109),"OK","Qty differs"))</f>
        <v/>
      </c>
      <c r="V109" s="80"/>
      <c r="W109" s="81"/>
      <c r="X109" s="81" t="n">
        <f aca="false">IF(COUNTIFS('Quote Lines'!$P$3:$P$805,$A109&amp;"|"&amp;H$6&amp;"|1",'Quote Lines'!$M$3:$M$805,"Y")=0,"",SUMIFS('Quote Lines'!$L$3:$L$805,'Quote Lines'!$P$3:$P$805,$A109&amp;"|"&amp;H$6&amp;"|1",'Quote Lines'!$M$3:$M$805,"Y"))</f>
        <v>1</v>
      </c>
      <c r="Y109" s="81"/>
      <c r="Z109" s="81"/>
      <c r="AA109" s="82" t="str">
        <f aca="false">IF(ISNUMBER(G109),1+SUMPRODUCT(ISNUMBER($G109:$J109)*($G109:$J109&lt;G109)),"")</f>
        <v/>
      </c>
      <c r="AB109" s="82" t="n">
        <f aca="false">IF(ISNUMBER(H109),1+SUMPRODUCT(ISNUMBER($G109:$J109)*($G109:$J109&lt;H109)),"")</f>
        <v>1</v>
      </c>
      <c r="AC109" s="82" t="str">
        <f aca="false">IF(ISNUMBER(I109),1+SUMPRODUCT(ISNUMBER($G109:$J109)*($G109:$J109&lt;I109)),"")</f>
        <v/>
      </c>
      <c r="AD109" s="82" t="str">
        <f aca="false">IF(ISNUMBER(J109),1+SUMPRODUCT(ISNUMBER($G109:$J109)*($G109:$J109&lt;J109)),"")</f>
        <v/>
      </c>
      <c r="AE109" s="82" t="n">
        <f aca="false">IF(NOT(ISNUMBER(G109)),0,IF($S109&lt;2,5,IF(AA109=1,1,IF(G109=MAX($G109:$J109),4,IF(AA109=2,2,3)))))</f>
        <v>0</v>
      </c>
      <c r="AF109" s="82" t="n">
        <f aca="false">IF(NOT(ISNUMBER(H109)),0,IF($S109&lt;2,5,IF(AB109=1,1,IF(H109=MAX($G109:$J109),4,IF(AB109=2,2,3)))))</f>
        <v>5</v>
      </c>
      <c r="AG109" s="82" t="n">
        <f aca="false">IF(NOT(ISNUMBER(I109)),0,IF($S109&lt;2,5,IF(AC109=1,1,IF(I109=MAX($G109:$J109),4,IF(AC109=2,2,3)))))</f>
        <v>0</v>
      </c>
      <c r="AH109" s="82" t="n">
        <f aca="false">IF(NOT(ISNUMBER(J109)),0,IF($S109&lt;2,5,IF(AD109=1,1,IF(J109=MAX($G109:$J109),4,IF(AD109=2,2,3)))))</f>
        <v>0</v>
      </c>
      <c r="AI109" s="83" t="n">
        <f aca="false">IF($S109&gt;=2,IF(ISNUMBER(G109),G109*$F109,MIN($G109:$J109)*$F109),0)</f>
        <v>0</v>
      </c>
      <c r="AJ109" s="83" t="n">
        <f aca="false">IF($S109&gt;=2,IF(ISNUMBER(H109),H109*$F109,MIN($G109:$J109)*$F109),0)</f>
        <v>0</v>
      </c>
      <c r="AK109" s="83" t="n">
        <f aca="false">IF($S109&gt;=2,IF(ISNUMBER(I109),I109*$F109,MIN($G109:$J109)*$F109),0)</f>
        <v>0</v>
      </c>
      <c r="AL109" s="83" t="n">
        <f aca="false">IF($S109&gt;=2,IF(ISNUMBER(J109),J109*$F109,MIN($G109:$J109)*$F109),0)</f>
        <v>0</v>
      </c>
      <c r="AM109" s="84" t="str">
        <f aca="false">IF($S109&gt;=2,$R109+ROW()/1000000,"")</f>
        <v/>
      </c>
      <c r="AN109" s="83" t="str">
        <f aca="false">IF($S109&gt;=2,MAX(G109:J109),"")</f>
        <v/>
      </c>
      <c r="AO109" s="82" t="str">
        <f aca="false">IF($S109&gt;=2,INDEX($G$6:$J$6,MATCH(MAX(G109:J109),G109:J109,0)),"")</f>
        <v/>
      </c>
      <c r="AP109" s="83" t="n">
        <f aca="false">IF($S109&gt;=2,MIN(G109:J109)*$F109,0)</f>
        <v>0</v>
      </c>
      <c r="AQ109" s="82" t="str">
        <f aca="false">IF($S109&gt;=2,INDEX($G$6:$J$6,MATCH(MIN(G109:J109),G109:J109,0)),"")</f>
        <v/>
      </c>
    </row>
    <row r="110" customFormat="false" ht="15" hidden="false" customHeight="true" outlineLevel="0" collapsed="false">
      <c r="A110" s="70" t="s">
        <v>374</v>
      </c>
      <c r="B110" s="71" t="s">
        <v>130</v>
      </c>
      <c r="C110" s="72" t="s">
        <v>340</v>
      </c>
      <c r="D110" s="73" t="s">
        <v>375</v>
      </c>
      <c r="E110" s="74" t="s">
        <v>133</v>
      </c>
      <c r="F110" s="75" t="n">
        <v>4</v>
      </c>
      <c r="G110" s="76" t="n">
        <f aca="false">IF(COUNTIF('Quote Lines'!$P$3:$P$805,$A110&amp;"|"&amp;G$6&amp;"|1")=0,"—",SUMIFS('Quote Lines'!$O$3:$O$805,'Quote Lines'!$P$3:$P$805,$A110&amp;"|"&amp;G$6&amp;"|1")/SUMIFS('Quote Lines'!$L$3:$L$805,'Quote Lines'!$P$3:$P$805,$A110&amp;"|"&amp;G$6&amp;"|1"))</f>
        <v>10.85</v>
      </c>
      <c r="H110" s="76" t="n">
        <f aca="false">IF(COUNTIF('Quote Lines'!$P$3:$P$805,$A110&amp;"|"&amp;H$6&amp;"|1")=0,"—",SUMIFS('Quote Lines'!$O$3:$O$805,'Quote Lines'!$P$3:$P$805,$A110&amp;"|"&amp;H$6&amp;"|1")/SUMIFS('Quote Lines'!$L$3:$L$805,'Quote Lines'!$P$3:$P$805,$A110&amp;"|"&amp;H$6&amp;"|1"))</f>
        <v>29.28</v>
      </c>
      <c r="I110" s="85" t="s">
        <v>138</v>
      </c>
      <c r="J110" s="85" t="s">
        <v>138</v>
      </c>
      <c r="K110" s="14" t="n">
        <f aca="false">IF(ISNUMBER(G110),G110*$F110,"—")</f>
        <v>43.4</v>
      </c>
      <c r="L110" s="14" t="n">
        <f aca="false">IF(ISNUMBER(H110),H110*$F110,"—")</f>
        <v>117.12</v>
      </c>
      <c r="M110" s="14" t="str">
        <f aca="false">IF(ISNUMBER(I110),I110*$F110,"—")</f>
        <v>—</v>
      </c>
      <c r="N110" s="14" t="str">
        <f aca="false">IF(ISNUMBER(J110),J110*$F110,"—")</f>
        <v>—</v>
      </c>
      <c r="O110" s="77" t="n">
        <f aca="false">IF($S110=0,"—",MIN(G110:J110))</f>
        <v>10.85</v>
      </c>
      <c r="P110" s="42" t="str">
        <f aca="false">IF($S110=0,"—",IF(COUNTIF(G110:J110,O110)&gt;1,"Tie",INDEX($G$6:$J$6,MATCH(O110,G110:J110,0))))</f>
        <v>Ferguson</v>
      </c>
      <c r="Q110" s="48" t="n">
        <f aca="false">IF($S110&gt;=2,MAX(G110:J110)/MIN(G110:J110)-1,"—")</f>
        <v>1.69861751152074</v>
      </c>
      <c r="R110" s="78" t="n">
        <f aca="false">IF($S110&gt;=2,(MAX(G110:J110)-MIN(G110:J110))*$F110,"—")</f>
        <v>73.72</v>
      </c>
      <c r="S110" s="18" t="n">
        <f aca="false">COUNT(G110:J110)</f>
        <v>2</v>
      </c>
      <c r="T110" s="79" t="str">
        <f aca="false">IF($S110&lt;=1,IF($S110=1,"Single quote","—"),"Alt spec – verify")</f>
        <v>Alt spec – verify</v>
      </c>
      <c r="U110" s="79" t="str">
        <f aca="false">IF(COUNT(W110:Z110)&lt;2,"",IF(MAX(W110:Z110)=MIN(W110:Z110),"OK","Qty differs"))</f>
        <v>Qty differs</v>
      </c>
      <c r="V110" s="80" t="s">
        <v>376</v>
      </c>
      <c r="W110" s="81" t="n">
        <f aca="false">IF(COUNTIFS('Quote Lines'!$P$3:$P$805,$A110&amp;"|"&amp;G$6&amp;"|1",'Quote Lines'!$M$3:$M$805,"Y")=0,"",SUMIFS('Quote Lines'!$L$3:$L$805,'Quote Lines'!$P$3:$P$805,$A110&amp;"|"&amp;G$6&amp;"|1",'Quote Lines'!$M$3:$M$805,"Y"))</f>
        <v>4</v>
      </c>
      <c r="X110" s="81" t="n">
        <f aca="false">IF(COUNTIFS('Quote Lines'!$P$3:$P$805,$A110&amp;"|"&amp;H$6&amp;"|1",'Quote Lines'!$M$3:$M$805,"Y")=0,"",SUMIFS('Quote Lines'!$L$3:$L$805,'Quote Lines'!$P$3:$P$805,$A110&amp;"|"&amp;H$6&amp;"|1",'Quote Lines'!$M$3:$M$805,"Y"))</f>
        <v>3</v>
      </c>
      <c r="Y110" s="81"/>
      <c r="Z110" s="81"/>
      <c r="AA110" s="82" t="n">
        <f aca="false">IF(ISNUMBER(G110),1+SUMPRODUCT(ISNUMBER($G110:$J110)*($G110:$J110&lt;G110)),"")</f>
        <v>1</v>
      </c>
      <c r="AB110" s="82" t="n">
        <f aca="false">IF(ISNUMBER(H110),1+SUMPRODUCT(ISNUMBER($G110:$J110)*($G110:$J110&lt;H110)),"")</f>
        <v>2</v>
      </c>
      <c r="AC110" s="82" t="str">
        <f aca="false">IF(ISNUMBER(I110),1+SUMPRODUCT(ISNUMBER($G110:$J110)*($G110:$J110&lt;I110)),"")</f>
        <v/>
      </c>
      <c r="AD110" s="82" t="str">
        <f aca="false">IF(ISNUMBER(J110),1+SUMPRODUCT(ISNUMBER($G110:$J110)*($G110:$J110&lt;J110)),"")</f>
        <v/>
      </c>
      <c r="AE110" s="82" t="n">
        <f aca="false">IF(NOT(ISNUMBER(G110)),0,IF($S110&lt;2,5,IF(AA110=1,1,IF(G110=MAX($G110:$J110),4,IF(AA110=2,2,3)))))</f>
        <v>1</v>
      </c>
      <c r="AF110" s="82" t="n">
        <f aca="false">IF(NOT(ISNUMBER(H110)),0,IF($S110&lt;2,5,IF(AB110=1,1,IF(H110=MAX($G110:$J110),4,IF(AB110=2,2,3)))))</f>
        <v>4</v>
      </c>
      <c r="AG110" s="82" t="n">
        <f aca="false">IF(NOT(ISNUMBER(I110)),0,IF($S110&lt;2,5,IF(AC110=1,1,IF(I110=MAX($G110:$J110),4,IF(AC110=2,2,3)))))</f>
        <v>0</v>
      </c>
      <c r="AH110" s="82" t="n">
        <f aca="false">IF(NOT(ISNUMBER(J110)),0,IF($S110&lt;2,5,IF(AD110=1,1,IF(J110=MAX($G110:$J110),4,IF(AD110=2,2,3)))))</f>
        <v>0</v>
      </c>
      <c r="AI110" s="83" t="n">
        <f aca="false">IF($S110&gt;=2,IF(ISNUMBER(G110),G110*$F110,MIN($G110:$J110)*$F110),0)</f>
        <v>43.4</v>
      </c>
      <c r="AJ110" s="83" t="n">
        <f aca="false">IF($S110&gt;=2,IF(ISNUMBER(H110),H110*$F110,MIN($G110:$J110)*$F110),0)</f>
        <v>117.12</v>
      </c>
      <c r="AK110" s="83" t="n">
        <f aca="false">IF($S110&gt;=2,IF(ISNUMBER(I110),I110*$F110,MIN($G110:$J110)*$F110),0)</f>
        <v>43.4</v>
      </c>
      <c r="AL110" s="83" t="n">
        <f aca="false">IF($S110&gt;=2,IF(ISNUMBER(J110),J110*$F110,MIN($G110:$J110)*$F110),0)</f>
        <v>43.4</v>
      </c>
      <c r="AM110" s="84" t="n">
        <f aca="false">IF($S110&gt;=2,$R110+ROW()/1000000,"")</f>
        <v>73.72011</v>
      </c>
      <c r="AN110" s="83" t="n">
        <f aca="false">IF($S110&gt;=2,MAX(G110:J110),"")</f>
        <v>29.28</v>
      </c>
      <c r="AO110" s="82" t="str">
        <f aca="false">IF($S110&gt;=2,INDEX($G$6:$J$6,MATCH(MAX(G110:J110),G110:J110,0)),"")</f>
        <v>HD Fowler</v>
      </c>
      <c r="AP110" s="83" t="n">
        <f aca="false">IF($S110&gt;=2,MIN(G110:J110)*$F110,0)</f>
        <v>43.4</v>
      </c>
      <c r="AQ110" s="82" t="str">
        <f aca="false">IF($S110&gt;=2,INDEX($G$6:$J$6,MATCH(MIN(G110:J110),G110:J110,0)),"")</f>
        <v>Ferguson</v>
      </c>
    </row>
    <row r="111" customFormat="false" ht="15" hidden="false" customHeight="true" outlineLevel="0" collapsed="false">
      <c r="A111" s="70" t="s">
        <v>377</v>
      </c>
      <c r="B111" s="71" t="s">
        <v>130</v>
      </c>
      <c r="C111" s="72" t="s">
        <v>340</v>
      </c>
      <c r="D111" s="73" t="s">
        <v>378</v>
      </c>
      <c r="E111" s="74" t="s">
        <v>133</v>
      </c>
      <c r="F111" s="75" t="n">
        <v>1</v>
      </c>
      <c r="G111" s="85" t="s">
        <v>138</v>
      </c>
      <c r="H111" s="76" t="n">
        <f aca="false">IF(COUNTIF('Quote Lines'!$P$3:$P$805,$A111&amp;"|"&amp;H$6&amp;"|1")=0,"—",SUMIFS('Quote Lines'!$O$3:$O$805,'Quote Lines'!$P$3:$P$805,$A111&amp;"|"&amp;H$6&amp;"|1")/SUMIFS('Quote Lines'!$L$3:$L$805,'Quote Lines'!$P$3:$P$805,$A111&amp;"|"&amp;H$6&amp;"|1"))</f>
        <v>378.56</v>
      </c>
      <c r="I111" s="85" t="s">
        <v>138</v>
      </c>
      <c r="J111" s="85" t="s">
        <v>138</v>
      </c>
      <c r="K111" s="14" t="str">
        <f aca="false">IF(ISNUMBER(G111),G111*$F111,"—")</f>
        <v>—</v>
      </c>
      <c r="L111" s="14" t="n">
        <f aca="false">IF(ISNUMBER(H111),H111*$F111,"—")</f>
        <v>378.56</v>
      </c>
      <c r="M111" s="14" t="str">
        <f aca="false">IF(ISNUMBER(I111),I111*$F111,"—")</f>
        <v>—</v>
      </c>
      <c r="N111" s="14" t="str">
        <f aca="false">IF(ISNUMBER(J111),J111*$F111,"—")</f>
        <v>—</v>
      </c>
      <c r="O111" s="77" t="n">
        <f aca="false">IF($S111=0,"—",MIN(G111:J111))</f>
        <v>378.56</v>
      </c>
      <c r="P111" s="42" t="str">
        <f aca="false">IF($S111=0,"—",IF(COUNTIF(G111:J111,O111)&gt;1,"Tie",INDEX($G$6:$J$6,MATCH(O111,G111:J111,0))))</f>
        <v>HD Fowler</v>
      </c>
      <c r="Q111" s="48" t="str">
        <f aca="false">IF($S111&gt;=2,MAX(G111:J111)/MIN(G111:J111)-1,"—")</f>
        <v>—</v>
      </c>
      <c r="R111" s="78" t="str">
        <f aca="false">IF($S111&gt;=2,(MAX(G111:J111)-MIN(G111:J111))*$F111,"—")</f>
        <v>—</v>
      </c>
      <c r="S111" s="18" t="n">
        <f aca="false">COUNT(G111:J111)</f>
        <v>1</v>
      </c>
      <c r="T111" s="79" t="str">
        <f aca="false">IF($S111&lt;=1,IF($S111=1,"Single quote","—"),"Like-for-like")</f>
        <v>Single quote</v>
      </c>
      <c r="U111" s="79" t="str">
        <f aca="false">IF(COUNT(W111:Z111)&lt;2,"",IF(MAX(W111:Z111)=MIN(W111:Z111),"OK","Qty differs"))</f>
        <v/>
      </c>
      <c r="V111" s="80"/>
      <c r="W111" s="81"/>
      <c r="X111" s="81" t="n">
        <f aca="false">IF(COUNTIFS('Quote Lines'!$P$3:$P$805,$A111&amp;"|"&amp;H$6&amp;"|1",'Quote Lines'!$M$3:$M$805,"Y")=0,"",SUMIFS('Quote Lines'!$L$3:$L$805,'Quote Lines'!$P$3:$P$805,$A111&amp;"|"&amp;H$6&amp;"|1",'Quote Lines'!$M$3:$M$805,"Y"))</f>
        <v>1</v>
      </c>
      <c r="Y111" s="81"/>
      <c r="Z111" s="81"/>
      <c r="AA111" s="82" t="str">
        <f aca="false">IF(ISNUMBER(G111),1+SUMPRODUCT(ISNUMBER($G111:$J111)*($G111:$J111&lt;G111)),"")</f>
        <v/>
      </c>
      <c r="AB111" s="82" t="n">
        <f aca="false">IF(ISNUMBER(H111),1+SUMPRODUCT(ISNUMBER($G111:$J111)*($G111:$J111&lt;H111)),"")</f>
        <v>1</v>
      </c>
      <c r="AC111" s="82" t="str">
        <f aca="false">IF(ISNUMBER(I111),1+SUMPRODUCT(ISNUMBER($G111:$J111)*($G111:$J111&lt;I111)),"")</f>
        <v/>
      </c>
      <c r="AD111" s="82" t="str">
        <f aca="false">IF(ISNUMBER(J111),1+SUMPRODUCT(ISNUMBER($G111:$J111)*($G111:$J111&lt;J111)),"")</f>
        <v/>
      </c>
      <c r="AE111" s="82" t="n">
        <f aca="false">IF(NOT(ISNUMBER(G111)),0,IF($S111&lt;2,5,IF(AA111=1,1,IF(G111=MAX($G111:$J111),4,IF(AA111=2,2,3)))))</f>
        <v>0</v>
      </c>
      <c r="AF111" s="82" t="n">
        <f aca="false">IF(NOT(ISNUMBER(H111)),0,IF($S111&lt;2,5,IF(AB111=1,1,IF(H111=MAX($G111:$J111),4,IF(AB111=2,2,3)))))</f>
        <v>5</v>
      </c>
      <c r="AG111" s="82" t="n">
        <f aca="false">IF(NOT(ISNUMBER(I111)),0,IF($S111&lt;2,5,IF(AC111=1,1,IF(I111=MAX($G111:$J111),4,IF(AC111=2,2,3)))))</f>
        <v>0</v>
      </c>
      <c r="AH111" s="82" t="n">
        <f aca="false">IF(NOT(ISNUMBER(J111)),0,IF($S111&lt;2,5,IF(AD111=1,1,IF(J111=MAX($G111:$J111),4,IF(AD111=2,2,3)))))</f>
        <v>0</v>
      </c>
      <c r="AI111" s="83" t="n">
        <f aca="false">IF($S111&gt;=2,IF(ISNUMBER(G111),G111*$F111,MIN($G111:$J111)*$F111),0)</f>
        <v>0</v>
      </c>
      <c r="AJ111" s="83" t="n">
        <f aca="false">IF($S111&gt;=2,IF(ISNUMBER(H111),H111*$F111,MIN($G111:$J111)*$F111),0)</f>
        <v>0</v>
      </c>
      <c r="AK111" s="83" t="n">
        <f aca="false">IF($S111&gt;=2,IF(ISNUMBER(I111),I111*$F111,MIN($G111:$J111)*$F111),0)</f>
        <v>0</v>
      </c>
      <c r="AL111" s="83" t="n">
        <f aca="false">IF($S111&gt;=2,IF(ISNUMBER(J111),J111*$F111,MIN($G111:$J111)*$F111),0)</f>
        <v>0</v>
      </c>
      <c r="AM111" s="84" t="str">
        <f aca="false">IF($S111&gt;=2,$R111+ROW()/1000000,"")</f>
        <v/>
      </c>
      <c r="AN111" s="83" t="str">
        <f aca="false">IF($S111&gt;=2,MAX(G111:J111),"")</f>
        <v/>
      </c>
      <c r="AO111" s="82" t="str">
        <f aca="false">IF($S111&gt;=2,INDEX($G$6:$J$6,MATCH(MAX(G111:J111),G111:J111,0)),"")</f>
        <v/>
      </c>
      <c r="AP111" s="83" t="n">
        <f aca="false">IF($S111&gt;=2,MIN(G111:J111)*$F111,0)</f>
        <v>0</v>
      </c>
      <c r="AQ111" s="82" t="str">
        <f aca="false">IF($S111&gt;=2,INDEX($G$6:$J$6,MATCH(MIN(G111:J111),G111:J111,0)),"")</f>
        <v/>
      </c>
    </row>
    <row r="112" customFormat="false" ht="15" hidden="false" customHeight="true" outlineLevel="0" collapsed="false">
      <c r="A112" s="70" t="s">
        <v>379</v>
      </c>
      <c r="B112" s="71" t="s">
        <v>130</v>
      </c>
      <c r="C112" s="72" t="s">
        <v>340</v>
      </c>
      <c r="D112" s="73" t="s">
        <v>380</v>
      </c>
      <c r="E112" s="74" t="s">
        <v>133</v>
      </c>
      <c r="F112" s="75" t="n">
        <v>1</v>
      </c>
      <c r="G112" s="85" t="s">
        <v>138</v>
      </c>
      <c r="H112" s="85" t="s">
        <v>138</v>
      </c>
      <c r="I112" s="76" t="n">
        <f aca="false">IF(COUNTIF('Quote Lines'!$P$3:$P$805,$A112&amp;"|"&amp;I$6&amp;"|1")=0,"—",SUMIFS('Quote Lines'!$O$3:$O$805,'Quote Lines'!$P$3:$P$805,$A112&amp;"|"&amp;I$6&amp;"|1")/SUMIFS('Quote Lines'!$L$3:$L$805,'Quote Lines'!$P$3:$P$805,$A112&amp;"|"&amp;I$6&amp;"|1"))</f>
        <v>0.73</v>
      </c>
      <c r="J112" s="85" t="s">
        <v>138</v>
      </c>
      <c r="K112" s="14" t="str">
        <f aca="false">IF(ISNUMBER(G112),G112*$F112,"—")</f>
        <v>—</v>
      </c>
      <c r="L112" s="14" t="str">
        <f aca="false">IF(ISNUMBER(H112),H112*$F112,"—")</f>
        <v>—</v>
      </c>
      <c r="M112" s="14" t="n">
        <f aca="false">IF(ISNUMBER(I112),I112*$F112,"—")</f>
        <v>0.73</v>
      </c>
      <c r="N112" s="14" t="str">
        <f aca="false">IF(ISNUMBER(J112),J112*$F112,"—")</f>
        <v>—</v>
      </c>
      <c r="O112" s="77" t="n">
        <f aca="false">IF($S112=0,"—",MIN(G112:J112))</f>
        <v>0.73</v>
      </c>
      <c r="P112" s="42" t="str">
        <f aca="false">IF($S112=0,"—",IF(COUNTIF(G112:J112,O112)&gt;1,"Tie",INDEX($G$6:$J$6,MATCH(O112,G112:J112,0))))</f>
        <v>Mountainland</v>
      </c>
      <c r="Q112" s="48" t="str">
        <f aca="false">IF($S112&gt;=2,MAX(G112:J112)/MIN(G112:J112)-1,"—")</f>
        <v>—</v>
      </c>
      <c r="R112" s="78" t="str">
        <f aca="false">IF($S112&gt;=2,(MAX(G112:J112)-MIN(G112:J112))*$F112,"—")</f>
        <v>—</v>
      </c>
      <c r="S112" s="18" t="n">
        <f aca="false">COUNT(G112:J112)</f>
        <v>1</v>
      </c>
      <c r="T112" s="79" t="str">
        <f aca="false">IF($S112&lt;=1,IF($S112=1,"Single quote","—"),"Like-for-like")</f>
        <v>Single quote</v>
      </c>
      <c r="U112" s="79" t="str">
        <f aca="false">IF(COUNT(W112:Z112)&lt;2,"",IF(MAX(W112:Z112)=MIN(W112:Z112),"OK","Qty differs"))</f>
        <v/>
      </c>
      <c r="V112" s="80" t="s">
        <v>381</v>
      </c>
      <c r="W112" s="81"/>
      <c r="X112" s="81"/>
      <c r="Y112" s="81" t="n">
        <f aca="false">IF(COUNTIFS('Quote Lines'!$P$3:$P$805,$A112&amp;"|"&amp;I$6&amp;"|1",'Quote Lines'!$M$3:$M$805,"Y")=0,"",SUMIFS('Quote Lines'!$L$3:$L$805,'Quote Lines'!$P$3:$P$805,$A112&amp;"|"&amp;I$6&amp;"|1",'Quote Lines'!$M$3:$M$805,"Y"))</f>
        <v>1</v>
      </c>
      <c r="Z112" s="81"/>
      <c r="AA112" s="82" t="str">
        <f aca="false">IF(ISNUMBER(G112),1+SUMPRODUCT(ISNUMBER($G112:$J112)*($G112:$J112&lt;G112)),"")</f>
        <v/>
      </c>
      <c r="AB112" s="82" t="str">
        <f aca="false">IF(ISNUMBER(H112),1+SUMPRODUCT(ISNUMBER($G112:$J112)*($G112:$J112&lt;H112)),"")</f>
        <v/>
      </c>
      <c r="AC112" s="82" t="n">
        <f aca="false">IF(ISNUMBER(I112),1+SUMPRODUCT(ISNUMBER($G112:$J112)*($G112:$J112&lt;I112)),"")</f>
        <v>1</v>
      </c>
      <c r="AD112" s="82" t="str">
        <f aca="false">IF(ISNUMBER(J112),1+SUMPRODUCT(ISNUMBER($G112:$J112)*($G112:$J112&lt;J112)),"")</f>
        <v/>
      </c>
      <c r="AE112" s="82" t="n">
        <f aca="false">IF(NOT(ISNUMBER(G112)),0,IF($S112&lt;2,5,IF(AA112=1,1,IF(G112=MAX($G112:$J112),4,IF(AA112=2,2,3)))))</f>
        <v>0</v>
      </c>
      <c r="AF112" s="82" t="n">
        <f aca="false">IF(NOT(ISNUMBER(H112)),0,IF($S112&lt;2,5,IF(AB112=1,1,IF(H112=MAX($G112:$J112),4,IF(AB112=2,2,3)))))</f>
        <v>0</v>
      </c>
      <c r="AG112" s="82" t="n">
        <f aca="false">IF(NOT(ISNUMBER(I112)),0,IF($S112&lt;2,5,IF(AC112=1,1,IF(I112=MAX($G112:$J112),4,IF(AC112=2,2,3)))))</f>
        <v>5</v>
      </c>
      <c r="AH112" s="82" t="n">
        <f aca="false">IF(NOT(ISNUMBER(J112)),0,IF($S112&lt;2,5,IF(AD112=1,1,IF(J112=MAX($G112:$J112),4,IF(AD112=2,2,3)))))</f>
        <v>0</v>
      </c>
      <c r="AI112" s="83" t="n">
        <f aca="false">IF($S112&gt;=2,IF(ISNUMBER(G112),G112*$F112,MIN($G112:$J112)*$F112),0)</f>
        <v>0</v>
      </c>
      <c r="AJ112" s="83" t="n">
        <f aca="false">IF($S112&gt;=2,IF(ISNUMBER(H112),H112*$F112,MIN($G112:$J112)*$F112),0)</f>
        <v>0</v>
      </c>
      <c r="AK112" s="83" t="n">
        <f aca="false">IF($S112&gt;=2,IF(ISNUMBER(I112),I112*$F112,MIN($G112:$J112)*$F112),0)</f>
        <v>0</v>
      </c>
      <c r="AL112" s="83" t="n">
        <f aca="false">IF($S112&gt;=2,IF(ISNUMBER(J112),J112*$F112,MIN($G112:$J112)*$F112),0)</f>
        <v>0</v>
      </c>
      <c r="AM112" s="84" t="str">
        <f aca="false">IF($S112&gt;=2,$R112+ROW()/1000000,"")</f>
        <v/>
      </c>
      <c r="AN112" s="83" t="str">
        <f aca="false">IF($S112&gt;=2,MAX(G112:J112),"")</f>
        <v/>
      </c>
      <c r="AO112" s="82" t="str">
        <f aca="false">IF($S112&gt;=2,INDEX($G$6:$J$6,MATCH(MAX(G112:J112),G112:J112,0)),"")</f>
        <v/>
      </c>
      <c r="AP112" s="83" t="n">
        <f aca="false">IF($S112&gt;=2,MIN(G112:J112)*$F112,0)</f>
        <v>0</v>
      </c>
      <c r="AQ112" s="82" t="str">
        <f aca="false">IF($S112&gt;=2,INDEX($G$6:$J$6,MATCH(MIN(G112:J112),G112:J112,0)),"")</f>
        <v/>
      </c>
    </row>
    <row r="113" customFormat="false" ht="15" hidden="false" customHeight="true" outlineLevel="0" collapsed="false">
      <c r="A113" s="70" t="s">
        <v>382</v>
      </c>
      <c r="B113" s="71" t="s">
        <v>130</v>
      </c>
      <c r="C113" s="72" t="s">
        <v>340</v>
      </c>
      <c r="D113" s="73" t="s">
        <v>383</v>
      </c>
      <c r="E113" s="74" t="s">
        <v>133</v>
      </c>
      <c r="F113" s="75" t="n">
        <v>1</v>
      </c>
      <c r="G113" s="76" t="n">
        <f aca="false">IF(COUNTIF('Quote Lines'!$P$3:$P$805,$A113&amp;"|"&amp;G$6&amp;"|1")=0,"—",SUMIFS('Quote Lines'!$O$3:$O$805,'Quote Lines'!$P$3:$P$805,$A113&amp;"|"&amp;G$6&amp;"|1")/SUMIFS('Quote Lines'!$L$3:$L$805,'Quote Lines'!$P$3:$P$805,$A113&amp;"|"&amp;G$6&amp;"|1"))</f>
        <v>4.07</v>
      </c>
      <c r="H113" s="76" t="n">
        <f aca="false">IF(COUNTIF('Quote Lines'!$P$3:$P$805,$A113&amp;"|"&amp;H$6&amp;"|1")=0,"—",SUMIFS('Quote Lines'!$O$3:$O$805,'Quote Lines'!$P$3:$P$805,$A113&amp;"|"&amp;H$6&amp;"|1")/SUMIFS('Quote Lines'!$L$3:$L$805,'Quote Lines'!$P$3:$P$805,$A113&amp;"|"&amp;H$6&amp;"|1"))</f>
        <v>4.44</v>
      </c>
      <c r="I113" s="85" t="s">
        <v>138</v>
      </c>
      <c r="J113" s="85" t="s">
        <v>138</v>
      </c>
      <c r="K113" s="14" t="n">
        <f aca="false">IF(ISNUMBER(G113),G113*$F113,"—")</f>
        <v>4.07</v>
      </c>
      <c r="L113" s="14" t="n">
        <f aca="false">IF(ISNUMBER(H113),H113*$F113,"—")</f>
        <v>4.44</v>
      </c>
      <c r="M113" s="14" t="str">
        <f aca="false">IF(ISNUMBER(I113),I113*$F113,"—")</f>
        <v>—</v>
      </c>
      <c r="N113" s="14" t="str">
        <f aca="false">IF(ISNUMBER(J113),J113*$F113,"—")</f>
        <v>—</v>
      </c>
      <c r="O113" s="77" t="n">
        <f aca="false">IF($S113=0,"—",MIN(G113:J113))</f>
        <v>4.07</v>
      </c>
      <c r="P113" s="42" t="str">
        <f aca="false">IF($S113=0,"—",IF(COUNTIF(G113:J113,O113)&gt;1,"Tie",INDEX($G$6:$J$6,MATCH(O113,G113:J113,0))))</f>
        <v>Ferguson</v>
      </c>
      <c r="Q113" s="48" t="n">
        <f aca="false">IF($S113&gt;=2,MAX(G113:J113)/MIN(G113:J113)-1,"—")</f>
        <v>0.0909090909090908</v>
      </c>
      <c r="R113" s="78" t="n">
        <f aca="false">IF($S113&gt;=2,(MAX(G113:J113)-MIN(G113:J113))*$F113,"—")</f>
        <v>0.37</v>
      </c>
      <c r="S113" s="18" t="n">
        <f aca="false">COUNT(G113:J113)</f>
        <v>2</v>
      </c>
      <c r="T113" s="79" t="str">
        <f aca="false">IF($S113&lt;=1,IF($S113=1,"Single quote","—"),"Alt spec – verify")</f>
        <v>Alt spec – verify</v>
      </c>
      <c r="U113" s="79" t="str">
        <f aca="false">IF(COUNT(W113:Z113)&lt;2,"",IF(MAX(W113:Z113)=MIN(W113:Z113),"OK","Qty differs"))</f>
        <v>OK</v>
      </c>
      <c r="V113" s="80" t="s">
        <v>371</v>
      </c>
      <c r="W113" s="81" t="n">
        <f aca="false">IF(COUNTIFS('Quote Lines'!$P$3:$P$805,$A113&amp;"|"&amp;G$6&amp;"|1",'Quote Lines'!$M$3:$M$805,"Y")=0,"",SUMIFS('Quote Lines'!$L$3:$L$805,'Quote Lines'!$P$3:$P$805,$A113&amp;"|"&amp;G$6&amp;"|1",'Quote Lines'!$M$3:$M$805,"Y"))</f>
        <v>1</v>
      </c>
      <c r="X113" s="81" t="n">
        <f aca="false">IF(COUNTIFS('Quote Lines'!$P$3:$P$805,$A113&amp;"|"&amp;H$6&amp;"|1",'Quote Lines'!$M$3:$M$805,"Y")=0,"",SUMIFS('Quote Lines'!$L$3:$L$805,'Quote Lines'!$P$3:$P$805,$A113&amp;"|"&amp;H$6&amp;"|1",'Quote Lines'!$M$3:$M$805,"Y"))</f>
        <v>1</v>
      </c>
      <c r="Y113" s="81"/>
      <c r="Z113" s="81"/>
      <c r="AA113" s="82" t="n">
        <f aca="false">IF(ISNUMBER(G113),1+SUMPRODUCT(ISNUMBER($G113:$J113)*($G113:$J113&lt;G113)),"")</f>
        <v>1</v>
      </c>
      <c r="AB113" s="82" t="n">
        <f aca="false">IF(ISNUMBER(H113),1+SUMPRODUCT(ISNUMBER($G113:$J113)*($G113:$J113&lt;H113)),"")</f>
        <v>2</v>
      </c>
      <c r="AC113" s="82" t="str">
        <f aca="false">IF(ISNUMBER(I113),1+SUMPRODUCT(ISNUMBER($G113:$J113)*($G113:$J113&lt;I113)),"")</f>
        <v/>
      </c>
      <c r="AD113" s="82" t="str">
        <f aca="false">IF(ISNUMBER(J113),1+SUMPRODUCT(ISNUMBER($G113:$J113)*($G113:$J113&lt;J113)),"")</f>
        <v/>
      </c>
      <c r="AE113" s="82" t="n">
        <f aca="false">IF(NOT(ISNUMBER(G113)),0,IF($S113&lt;2,5,IF(AA113=1,1,IF(G113=MAX($G113:$J113),4,IF(AA113=2,2,3)))))</f>
        <v>1</v>
      </c>
      <c r="AF113" s="82" t="n">
        <f aca="false">IF(NOT(ISNUMBER(H113)),0,IF($S113&lt;2,5,IF(AB113=1,1,IF(H113=MAX($G113:$J113),4,IF(AB113=2,2,3)))))</f>
        <v>4</v>
      </c>
      <c r="AG113" s="82" t="n">
        <f aca="false">IF(NOT(ISNUMBER(I113)),0,IF($S113&lt;2,5,IF(AC113=1,1,IF(I113=MAX($G113:$J113),4,IF(AC113=2,2,3)))))</f>
        <v>0</v>
      </c>
      <c r="AH113" s="82" t="n">
        <f aca="false">IF(NOT(ISNUMBER(J113)),0,IF($S113&lt;2,5,IF(AD113=1,1,IF(J113=MAX($G113:$J113),4,IF(AD113=2,2,3)))))</f>
        <v>0</v>
      </c>
      <c r="AI113" s="83" t="n">
        <f aca="false">IF($S113&gt;=2,IF(ISNUMBER(G113),G113*$F113,MIN($G113:$J113)*$F113),0)</f>
        <v>4.07</v>
      </c>
      <c r="AJ113" s="83" t="n">
        <f aca="false">IF($S113&gt;=2,IF(ISNUMBER(H113),H113*$F113,MIN($G113:$J113)*$F113),0)</f>
        <v>4.44</v>
      </c>
      <c r="AK113" s="83" t="n">
        <f aca="false">IF($S113&gt;=2,IF(ISNUMBER(I113),I113*$F113,MIN($G113:$J113)*$F113),0)</f>
        <v>4.07</v>
      </c>
      <c r="AL113" s="83" t="n">
        <f aca="false">IF($S113&gt;=2,IF(ISNUMBER(J113),J113*$F113,MIN($G113:$J113)*$F113),0)</f>
        <v>4.07</v>
      </c>
      <c r="AM113" s="84" t="n">
        <f aca="false">IF($S113&gt;=2,$R113+ROW()/1000000,"")</f>
        <v>0.370113</v>
      </c>
      <c r="AN113" s="83" t="n">
        <f aca="false">IF($S113&gt;=2,MAX(G113:J113),"")</f>
        <v>4.44</v>
      </c>
      <c r="AO113" s="82" t="str">
        <f aca="false">IF($S113&gt;=2,INDEX($G$6:$J$6,MATCH(MAX(G113:J113),G113:J113,0)),"")</f>
        <v>HD Fowler</v>
      </c>
      <c r="AP113" s="83" t="n">
        <f aca="false">IF($S113&gt;=2,MIN(G113:J113)*$F113,0)</f>
        <v>4.07</v>
      </c>
      <c r="AQ113" s="82" t="str">
        <f aca="false">IF($S113&gt;=2,INDEX($G$6:$J$6,MATCH(MIN(G113:J113),G113:J113,0)),"")</f>
        <v>Ferguson</v>
      </c>
    </row>
    <row r="114" customFormat="false" ht="15" hidden="false" customHeight="true" outlineLevel="0" collapsed="false">
      <c r="A114" s="70" t="s">
        <v>384</v>
      </c>
      <c r="B114" s="71" t="s">
        <v>130</v>
      </c>
      <c r="C114" s="72" t="s">
        <v>340</v>
      </c>
      <c r="D114" s="73" t="s">
        <v>385</v>
      </c>
      <c r="E114" s="74" t="s">
        <v>133</v>
      </c>
      <c r="F114" s="75" t="n">
        <v>2</v>
      </c>
      <c r="G114" s="76" t="n">
        <f aca="false">IF(COUNTIF('Quote Lines'!$P$3:$P$805,$A114&amp;"|"&amp;G$6&amp;"|1")=0,"—",SUMIFS('Quote Lines'!$O$3:$O$805,'Quote Lines'!$P$3:$P$805,$A114&amp;"|"&amp;G$6&amp;"|1")/SUMIFS('Quote Lines'!$L$3:$L$805,'Quote Lines'!$P$3:$P$805,$A114&amp;"|"&amp;G$6&amp;"|1"))</f>
        <v>22.1</v>
      </c>
      <c r="H114" s="76" t="n">
        <f aca="false">IF(COUNTIF('Quote Lines'!$P$3:$P$805,$A114&amp;"|"&amp;H$6&amp;"|1")=0,"—",SUMIFS('Quote Lines'!$O$3:$O$805,'Quote Lines'!$P$3:$P$805,$A114&amp;"|"&amp;H$6&amp;"|1")/SUMIFS('Quote Lines'!$L$3:$L$805,'Quote Lines'!$P$3:$P$805,$A114&amp;"|"&amp;H$6&amp;"|1"))</f>
        <v>12.63</v>
      </c>
      <c r="I114" s="76" t="n">
        <f aca="false">IF(COUNTIF('Quote Lines'!$P$3:$P$805,$A114&amp;"|"&amp;I$6&amp;"|1")=0,"—",SUMIFS('Quote Lines'!$O$3:$O$805,'Quote Lines'!$P$3:$P$805,$A114&amp;"|"&amp;I$6&amp;"|1")/SUMIFS('Quote Lines'!$L$3:$L$805,'Quote Lines'!$P$3:$P$805,$A114&amp;"|"&amp;I$6&amp;"|1"))</f>
        <v>14.69</v>
      </c>
      <c r="J114" s="76" t="n">
        <f aca="false">IF(COUNTIF('Quote Lines'!$P$3:$P$805,$A114&amp;"|"&amp;J$6&amp;"|1")=0,"—",SUMIFS('Quote Lines'!$O$3:$O$805,'Quote Lines'!$P$3:$P$805,$A114&amp;"|"&amp;J$6&amp;"|1")/SUMIFS('Quote Lines'!$L$3:$L$805,'Quote Lines'!$P$3:$P$805,$A114&amp;"|"&amp;J$6&amp;"|1"))</f>
        <v>17.75</v>
      </c>
      <c r="K114" s="14" t="n">
        <f aca="false">IF(ISNUMBER(G114),G114*$F114,"—")</f>
        <v>44.2</v>
      </c>
      <c r="L114" s="14" t="n">
        <f aca="false">IF(ISNUMBER(H114),H114*$F114,"—")</f>
        <v>25.26</v>
      </c>
      <c r="M114" s="14" t="n">
        <f aca="false">IF(ISNUMBER(I114),I114*$F114,"—")</f>
        <v>29.38</v>
      </c>
      <c r="N114" s="14" t="n">
        <f aca="false">IF(ISNUMBER(J114),J114*$F114,"—")</f>
        <v>35.5</v>
      </c>
      <c r="O114" s="77" t="n">
        <f aca="false">IF($S114=0,"—",MIN(G114:J114))</f>
        <v>12.63</v>
      </c>
      <c r="P114" s="42" t="str">
        <f aca="false">IF($S114=0,"—",IF(COUNTIF(G114:J114,O114)&gt;1,"Tie",INDEX($G$6:$J$6,MATCH(O114,G114:J114,0))))</f>
        <v>HD Fowler</v>
      </c>
      <c r="Q114" s="48" t="n">
        <f aca="false">IF($S114&gt;=2,MAX(G114:J114)/MIN(G114:J114)-1,"—")</f>
        <v>0.749802058590657</v>
      </c>
      <c r="R114" s="78" t="n">
        <f aca="false">IF($S114&gt;=2,(MAX(G114:J114)-MIN(G114:J114))*$F114,"—")</f>
        <v>18.94</v>
      </c>
      <c r="S114" s="18" t="n">
        <f aca="false">COUNT(G114:J114)</f>
        <v>4</v>
      </c>
      <c r="T114" s="79" t="str">
        <f aca="false">IF($S114&lt;=1,IF($S114=1,"Single quote","—"),"Like-for-like")</f>
        <v>Like-for-like</v>
      </c>
      <c r="U114" s="79" t="str">
        <f aca="false">IF(COUNT(W114:Z114)&lt;2,"",IF(MAX(W114:Z114)=MIN(W114:Z114),"OK","Qty differs"))</f>
        <v>Qty differs</v>
      </c>
      <c r="V114" s="80"/>
      <c r="W114" s="81" t="n">
        <f aca="false">IF(COUNTIFS('Quote Lines'!$P$3:$P$805,$A114&amp;"|"&amp;G$6&amp;"|1",'Quote Lines'!$M$3:$M$805,"Y")=0,"",SUMIFS('Quote Lines'!$L$3:$L$805,'Quote Lines'!$P$3:$P$805,$A114&amp;"|"&amp;G$6&amp;"|1",'Quote Lines'!$M$3:$M$805,"Y"))</f>
        <v>2</v>
      </c>
      <c r="X114" s="81" t="n">
        <f aca="false">IF(COUNTIFS('Quote Lines'!$P$3:$P$805,$A114&amp;"|"&amp;H$6&amp;"|1",'Quote Lines'!$M$3:$M$805,"Y")=0,"",SUMIFS('Quote Lines'!$L$3:$L$805,'Quote Lines'!$P$3:$P$805,$A114&amp;"|"&amp;H$6&amp;"|1",'Quote Lines'!$M$3:$M$805,"Y"))</f>
        <v>2</v>
      </c>
      <c r="Y114" s="81" t="n">
        <f aca="false">IF(COUNTIFS('Quote Lines'!$P$3:$P$805,$A114&amp;"|"&amp;I$6&amp;"|1",'Quote Lines'!$M$3:$M$805,"Y")=0,"",SUMIFS('Quote Lines'!$L$3:$L$805,'Quote Lines'!$P$3:$P$805,$A114&amp;"|"&amp;I$6&amp;"|1",'Quote Lines'!$M$3:$M$805,"Y"))</f>
        <v>1</v>
      </c>
      <c r="Z114" s="81" t="n">
        <f aca="false">IF(COUNTIFS('Quote Lines'!$P$3:$P$805,$A114&amp;"|"&amp;J$6&amp;"|1",'Quote Lines'!$M$3:$M$805,"Y")=0,"",SUMIFS('Quote Lines'!$L$3:$L$805,'Quote Lines'!$P$3:$P$805,$A114&amp;"|"&amp;J$6&amp;"|1",'Quote Lines'!$M$3:$M$805,"Y"))</f>
        <v>2</v>
      </c>
      <c r="AA114" s="82" t="n">
        <f aca="false">IF(ISNUMBER(G114),1+SUMPRODUCT(ISNUMBER($G114:$J114)*($G114:$J114&lt;G114)),"")</f>
        <v>4</v>
      </c>
      <c r="AB114" s="82" t="n">
        <f aca="false">IF(ISNUMBER(H114),1+SUMPRODUCT(ISNUMBER($G114:$J114)*($G114:$J114&lt;H114)),"")</f>
        <v>1</v>
      </c>
      <c r="AC114" s="82" t="n">
        <f aca="false">IF(ISNUMBER(I114),1+SUMPRODUCT(ISNUMBER($G114:$J114)*($G114:$J114&lt;I114)),"")</f>
        <v>2</v>
      </c>
      <c r="AD114" s="82" t="n">
        <f aca="false">IF(ISNUMBER(J114),1+SUMPRODUCT(ISNUMBER($G114:$J114)*($G114:$J114&lt;J114)),"")</f>
        <v>3</v>
      </c>
      <c r="AE114" s="82" t="n">
        <f aca="false">IF(NOT(ISNUMBER(G114)),0,IF($S114&lt;2,5,IF(AA114=1,1,IF(G114=MAX($G114:$J114),4,IF(AA114=2,2,3)))))</f>
        <v>4</v>
      </c>
      <c r="AF114" s="82" t="n">
        <f aca="false">IF(NOT(ISNUMBER(H114)),0,IF($S114&lt;2,5,IF(AB114=1,1,IF(H114=MAX($G114:$J114),4,IF(AB114=2,2,3)))))</f>
        <v>1</v>
      </c>
      <c r="AG114" s="82" t="n">
        <f aca="false">IF(NOT(ISNUMBER(I114)),0,IF($S114&lt;2,5,IF(AC114=1,1,IF(I114=MAX($G114:$J114),4,IF(AC114=2,2,3)))))</f>
        <v>2</v>
      </c>
      <c r="AH114" s="82" t="n">
        <f aca="false">IF(NOT(ISNUMBER(J114)),0,IF($S114&lt;2,5,IF(AD114=1,1,IF(J114=MAX($G114:$J114),4,IF(AD114=2,2,3)))))</f>
        <v>3</v>
      </c>
      <c r="AI114" s="83" t="n">
        <f aca="false">IF($S114&gt;=2,IF(ISNUMBER(G114),G114*$F114,MIN($G114:$J114)*$F114),0)</f>
        <v>44.2</v>
      </c>
      <c r="AJ114" s="83" t="n">
        <f aca="false">IF($S114&gt;=2,IF(ISNUMBER(H114),H114*$F114,MIN($G114:$J114)*$F114),0)</f>
        <v>25.26</v>
      </c>
      <c r="AK114" s="83" t="n">
        <f aca="false">IF($S114&gt;=2,IF(ISNUMBER(I114),I114*$F114,MIN($G114:$J114)*$F114),0)</f>
        <v>29.38</v>
      </c>
      <c r="AL114" s="83" t="n">
        <f aca="false">IF($S114&gt;=2,IF(ISNUMBER(J114),J114*$F114,MIN($G114:$J114)*$F114),0)</f>
        <v>35.5</v>
      </c>
      <c r="AM114" s="84" t="n">
        <f aca="false">IF($S114&gt;=2,$R114+ROW()/1000000,"")</f>
        <v>18.940114</v>
      </c>
      <c r="AN114" s="83" t="n">
        <f aca="false">IF($S114&gt;=2,MAX(G114:J114),"")</f>
        <v>22.1</v>
      </c>
      <c r="AO114" s="82" t="str">
        <f aca="false">IF($S114&gt;=2,INDEX($G$6:$J$6,MATCH(MAX(G114:J114),G114:J114,0)),"")</f>
        <v>Ferguson</v>
      </c>
      <c r="AP114" s="83" t="n">
        <f aca="false">IF($S114&gt;=2,MIN(G114:J114)*$F114,0)</f>
        <v>25.26</v>
      </c>
      <c r="AQ114" s="82" t="str">
        <f aca="false">IF($S114&gt;=2,INDEX($G$6:$J$6,MATCH(MIN(G114:J114),G114:J114,0)),"")</f>
        <v>HD Fowler</v>
      </c>
    </row>
    <row r="115" customFormat="false" ht="15" hidden="false" customHeight="true" outlineLevel="0" collapsed="false">
      <c r="A115" s="70" t="s">
        <v>386</v>
      </c>
      <c r="B115" s="71" t="s">
        <v>130</v>
      </c>
      <c r="C115" s="72" t="s">
        <v>340</v>
      </c>
      <c r="D115" s="73" t="s">
        <v>387</v>
      </c>
      <c r="E115" s="74" t="s">
        <v>133</v>
      </c>
      <c r="F115" s="75" t="n">
        <v>1</v>
      </c>
      <c r="G115" s="85" t="s">
        <v>138</v>
      </c>
      <c r="H115" s="76" t="n">
        <f aca="false">IF(COUNTIF('Quote Lines'!$P$3:$P$805,$A115&amp;"|"&amp;H$6&amp;"|1")=0,"—",SUMIFS('Quote Lines'!$O$3:$O$805,'Quote Lines'!$P$3:$P$805,$A115&amp;"|"&amp;H$6&amp;"|1")/SUMIFS('Quote Lines'!$L$3:$L$805,'Quote Lines'!$P$3:$P$805,$A115&amp;"|"&amp;H$6&amp;"|1"))</f>
        <v>14.71</v>
      </c>
      <c r="I115" s="85" t="s">
        <v>138</v>
      </c>
      <c r="J115" s="85" t="s">
        <v>138</v>
      </c>
      <c r="K115" s="14" t="str">
        <f aca="false">IF(ISNUMBER(G115),G115*$F115,"—")</f>
        <v>—</v>
      </c>
      <c r="L115" s="14" t="n">
        <f aca="false">IF(ISNUMBER(H115),H115*$F115,"—")</f>
        <v>14.71</v>
      </c>
      <c r="M115" s="14" t="str">
        <f aca="false">IF(ISNUMBER(I115),I115*$F115,"—")</f>
        <v>—</v>
      </c>
      <c r="N115" s="14" t="str">
        <f aca="false">IF(ISNUMBER(J115),J115*$F115,"—")</f>
        <v>—</v>
      </c>
      <c r="O115" s="77" t="n">
        <f aca="false">IF($S115=0,"—",MIN(G115:J115))</f>
        <v>14.71</v>
      </c>
      <c r="P115" s="42" t="str">
        <f aca="false">IF($S115=0,"—",IF(COUNTIF(G115:J115,O115)&gt;1,"Tie",INDEX($G$6:$J$6,MATCH(O115,G115:J115,0))))</f>
        <v>HD Fowler</v>
      </c>
      <c r="Q115" s="48" t="str">
        <f aca="false">IF($S115&gt;=2,MAX(G115:J115)/MIN(G115:J115)-1,"—")</f>
        <v>—</v>
      </c>
      <c r="R115" s="78" t="str">
        <f aca="false">IF($S115&gt;=2,(MAX(G115:J115)-MIN(G115:J115))*$F115,"—")</f>
        <v>—</v>
      </c>
      <c r="S115" s="18" t="n">
        <f aca="false">COUNT(G115:J115)</f>
        <v>1</v>
      </c>
      <c r="T115" s="79" t="str">
        <f aca="false">IF($S115&lt;=1,IF($S115=1,"Single quote","—"),"Like-for-like")</f>
        <v>Single quote</v>
      </c>
      <c r="U115" s="79" t="str">
        <f aca="false">IF(COUNT(W115:Z115)&lt;2,"",IF(MAX(W115:Z115)=MIN(W115:Z115),"OK","Qty differs"))</f>
        <v/>
      </c>
      <c r="V115" s="80"/>
      <c r="W115" s="81"/>
      <c r="X115" s="81" t="n">
        <f aca="false">IF(COUNTIFS('Quote Lines'!$P$3:$P$805,$A115&amp;"|"&amp;H$6&amp;"|1",'Quote Lines'!$M$3:$M$805,"Y")=0,"",SUMIFS('Quote Lines'!$L$3:$L$805,'Quote Lines'!$P$3:$P$805,$A115&amp;"|"&amp;H$6&amp;"|1",'Quote Lines'!$M$3:$M$805,"Y"))</f>
        <v>1</v>
      </c>
      <c r="Y115" s="81"/>
      <c r="Z115" s="81"/>
      <c r="AA115" s="82" t="str">
        <f aca="false">IF(ISNUMBER(G115),1+SUMPRODUCT(ISNUMBER($G115:$J115)*($G115:$J115&lt;G115)),"")</f>
        <v/>
      </c>
      <c r="AB115" s="82" t="n">
        <f aca="false">IF(ISNUMBER(H115),1+SUMPRODUCT(ISNUMBER($G115:$J115)*($G115:$J115&lt;H115)),"")</f>
        <v>1</v>
      </c>
      <c r="AC115" s="82" t="str">
        <f aca="false">IF(ISNUMBER(I115),1+SUMPRODUCT(ISNUMBER($G115:$J115)*($G115:$J115&lt;I115)),"")</f>
        <v/>
      </c>
      <c r="AD115" s="82" t="str">
        <f aca="false">IF(ISNUMBER(J115),1+SUMPRODUCT(ISNUMBER($G115:$J115)*($G115:$J115&lt;J115)),"")</f>
        <v/>
      </c>
      <c r="AE115" s="82" t="n">
        <f aca="false">IF(NOT(ISNUMBER(G115)),0,IF($S115&lt;2,5,IF(AA115=1,1,IF(G115=MAX($G115:$J115),4,IF(AA115=2,2,3)))))</f>
        <v>0</v>
      </c>
      <c r="AF115" s="82" t="n">
        <f aca="false">IF(NOT(ISNUMBER(H115)),0,IF($S115&lt;2,5,IF(AB115=1,1,IF(H115=MAX($G115:$J115),4,IF(AB115=2,2,3)))))</f>
        <v>5</v>
      </c>
      <c r="AG115" s="82" t="n">
        <f aca="false">IF(NOT(ISNUMBER(I115)),0,IF($S115&lt;2,5,IF(AC115=1,1,IF(I115=MAX($G115:$J115),4,IF(AC115=2,2,3)))))</f>
        <v>0</v>
      </c>
      <c r="AH115" s="82" t="n">
        <f aca="false">IF(NOT(ISNUMBER(J115)),0,IF($S115&lt;2,5,IF(AD115=1,1,IF(J115=MAX($G115:$J115),4,IF(AD115=2,2,3)))))</f>
        <v>0</v>
      </c>
      <c r="AI115" s="83" t="n">
        <f aca="false">IF($S115&gt;=2,IF(ISNUMBER(G115),G115*$F115,MIN($G115:$J115)*$F115),0)</f>
        <v>0</v>
      </c>
      <c r="AJ115" s="83" t="n">
        <f aca="false">IF($S115&gt;=2,IF(ISNUMBER(H115),H115*$F115,MIN($G115:$J115)*$F115),0)</f>
        <v>0</v>
      </c>
      <c r="AK115" s="83" t="n">
        <f aca="false">IF($S115&gt;=2,IF(ISNUMBER(I115),I115*$F115,MIN($G115:$J115)*$F115),0)</f>
        <v>0</v>
      </c>
      <c r="AL115" s="83" t="n">
        <f aca="false">IF($S115&gt;=2,IF(ISNUMBER(J115),J115*$F115,MIN($G115:$J115)*$F115),0)</f>
        <v>0</v>
      </c>
      <c r="AM115" s="84" t="str">
        <f aca="false">IF($S115&gt;=2,$R115+ROW()/1000000,"")</f>
        <v/>
      </c>
      <c r="AN115" s="83" t="str">
        <f aca="false">IF($S115&gt;=2,MAX(G115:J115),"")</f>
        <v/>
      </c>
      <c r="AO115" s="82" t="str">
        <f aca="false">IF($S115&gt;=2,INDEX($G$6:$J$6,MATCH(MAX(G115:J115),G115:J115,0)),"")</f>
        <v/>
      </c>
      <c r="AP115" s="83" t="n">
        <f aca="false">IF($S115&gt;=2,MIN(G115:J115)*$F115,0)</f>
        <v>0</v>
      </c>
      <c r="AQ115" s="82" t="str">
        <f aca="false">IF($S115&gt;=2,INDEX($G$6:$J$6,MATCH(MIN(G115:J115),G115:J115,0)),"")</f>
        <v/>
      </c>
    </row>
    <row r="116" customFormat="false" ht="15" hidden="false" customHeight="true" outlineLevel="0" collapsed="false">
      <c r="A116" s="70" t="s">
        <v>388</v>
      </c>
      <c r="B116" s="71" t="s">
        <v>130</v>
      </c>
      <c r="C116" s="72" t="s">
        <v>340</v>
      </c>
      <c r="D116" s="73" t="s">
        <v>389</v>
      </c>
      <c r="E116" s="74" t="s">
        <v>133</v>
      </c>
      <c r="F116" s="75" t="n">
        <v>1</v>
      </c>
      <c r="G116" s="85" t="s">
        <v>138</v>
      </c>
      <c r="H116" s="85" t="s">
        <v>138</v>
      </c>
      <c r="I116" s="85" t="s">
        <v>138</v>
      </c>
      <c r="J116" s="76" t="n">
        <f aca="false">IF(COUNTIF('Quote Lines'!$P$3:$P$805,$A116&amp;"|"&amp;J$6&amp;"|1")=0,"—",SUMIFS('Quote Lines'!$O$3:$O$805,'Quote Lines'!$P$3:$P$805,$A116&amp;"|"&amp;J$6&amp;"|1")/SUMIFS('Quote Lines'!$L$3:$L$805,'Quote Lines'!$P$3:$P$805,$A116&amp;"|"&amp;J$6&amp;"|1"))</f>
        <v>27.1</v>
      </c>
      <c r="K116" s="14" t="str">
        <f aca="false">IF(ISNUMBER(G116),G116*$F116,"—")</f>
        <v>—</v>
      </c>
      <c r="L116" s="14" t="str">
        <f aca="false">IF(ISNUMBER(H116),H116*$F116,"—")</f>
        <v>—</v>
      </c>
      <c r="M116" s="14" t="str">
        <f aca="false">IF(ISNUMBER(I116),I116*$F116,"—")</f>
        <v>—</v>
      </c>
      <c r="N116" s="14" t="n">
        <f aca="false">IF(ISNUMBER(J116),J116*$F116,"—")</f>
        <v>27.1</v>
      </c>
      <c r="O116" s="77" t="n">
        <f aca="false">IF($S116=0,"—",MIN(G116:J116))</f>
        <v>27.1</v>
      </c>
      <c r="P116" s="42" t="str">
        <f aca="false">IF($S116=0,"—",IF(COUNTIF(G116:J116,O116)&gt;1,"Tie",INDEX($G$6:$J$6,MATCH(O116,G116:J116,0))))</f>
        <v>Scholzen</v>
      </c>
      <c r="Q116" s="48" t="str">
        <f aca="false">IF($S116&gt;=2,MAX(G116:J116)/MIN(G116:J116)-1,"—")</f>
        <v>—</v>
      </c>
      <c r="R116" s="78" t="str">
        <f aca="false">IF($S116&gt;=2,(MAX(G116:J116)-MIN(G116:J116))*$F116,"—")</f>
        <v>—</v>
      </c>
      <c r="S116" s="18" t="n">
        <f aca="false">COUNT(G116:J116)</f>
        <v>1</v>
      </c>
      <c r="T116" s="79" t="str">
        <f aca="false">IF($S116&lt;=1,IF($S116=1,"Single quote","—"),"Like-for-like")</f>
        <v>Single quote</v>
      </c>
      <c r="U116" s="79" t="str">
        <f aca="false">IF(COUNT(W116:Z116)&lt;2,"",IF(MAX(W116:Z116)=MIN(W116:Z116),"OK","Qty differs"))</f>
        <v/>
      </c>
      <c r="V116" s="80"/>
      <c r="W116" s="81"/>
      <c r="X116" s="81"/>
      <c r="Y116" s="81"/>
      <c r="Z116" s="81" t="n">
        <f aca="false">IF(COUNTIFS('Quote Lines'!$P$3:$P$805,$A116&amp;"|"&amp;J$6&amp;"|1",'Quote Lines'!$M$3:$M$805,"Y")=0,"",SUMIFS('Quote Lines'!$L$3:$L$805,'Quote Lines'!$P$3:$P$805,$A116&amp;"|"&amp;J$6&amp;"|1",'Quote Lines'!$M$3:$M$805,"Y"))</f>
        <v>1</v>
      </c>
      <c r="AA116" s="82" t="str">
        <f aca="false">IF(ISNUMBER(G116),1+SUMPRODUCT(ISNUMBER($G116:$J116)*($G116:$J116&lt;G116)),"")</f>
        <v/>
      </c>
      <c r="AB116" s="82" t="str">
        <f aca="false">IF(ISNUMBER(H116),1+SUMPRODUCT(ISNUMBER($G116:$J116)*($G116:$J116&lt;H116)),"")</f>
        <v/>
      </c>
      <c r="AC116" s="82" t="str">
        <f aca="false">IF(ISNUMBER(I116),1+SUMPRODUCT(ISNUMBER($G116:$J116)*($G116:$J116&lt;I116)),"")</f>
        <v/>
      </c>
      <c r="AD116" s="82" t="n">
        <f aca="false">IF(ISNUMBER(J116),1+SUMPRODUCT(ISNUMBER($G116:$J116)*($G116:$J116&lt;J116)),"")</f>
        <v>1</v>
      </c>
      <c r="AE116" s="82" t="n">
        <f aca="false">IF(NOT(ISNUMBER(G116)),0,IF($S116&lt;2,5,IF(AA116=1,1,IF(G116=MAX($G116:$J116),4,IF(AA116=2,2,3)))))</f>
        <v>0</v>
      </c>
      <c r="AF116" s="82" t="n">
        <f aca="false">IF(NOT(ISNUMBER(H116)),0,IF($S116&lt;2,5,IF(AB116=1,1,IF(H116=MAX($G116:$J116),4,IF(AB116=2,2,3)))))</f>
        <v>0</v>
      </c>
      <c r="AG116" s="82" t="n">
        <f aca="false">IF(NOT(ISNUMBER(I116)),0,IF($S116&lt;2,5,IF(AC116=1,1,IF(I116=MAX($G116:$J116),4,IF(AC116=2,2,3)))))</f>
        <v>0</v>
      </c>
      <c r="AH116" s="82" t="n">
        <f aca="false">IF(NOT(ISNUMBER(J116)),0,IF($S116&lt;2,5,IF(AD116=1,1,IF(J116=MAX($G116:$J116),4,IF(AD116=2,2,3)))))</f>
        <v>5</v>
      </c>
      <c r="AI116" s="83" t="n">
        <f aca="false">IF($S116&gt;=2,IF(ISNUMBER(G116),G116*$F116,MIN($G116:$J116)*$F116),0)</f>
        <v>0</v>
      </c>
      <c r="AJ116" s="83" t="n">
        <f aca="false">IF($S116&gt;=2,IF(ISNUMBER(H116),H116*$F116,MIN($G116:$J116)*$F116),0)</f>
        <v>0</v>
      </c>
      <c r="AK116" s="83" t="n">
        <f aca="false">IF($S116&gt;=2,IF(ISNUMBER(I116),I116*$F116,MIN($G116:$J116)*$F116),0)</f>
        <v>0</v>
      </c>
      <c r="AL116" s="83" t="n">
        <f aca="false">IF($S116&gt;=2,IF(ISNUMBER(J116),J116*$F116,MIN($G116:$J116)*$F116),0)</f>
        <v>0</v>
      </c>
      <c r="AM116" s="84" t="str">
        <f aca="false">IF($S116&gt;=2,$R116+ROW()/1000000,"")</f>
        <v/>
      </c>
      <c r="AN116" s="83" t="str">
        <f aca="false">IF($S116&gt;=2,MAX(G116:J116),"")</f>
        <v/>
      </c>
      <c r="AO116" s="82" t="str">
        <f aca="false">IF($S116&gt;=2,INDEX($G$6:$J$6,MATCH(MAX(G116:J116),G116:J116,0)),"")</f>
        <v/>
      </c>
      <c r="AP116" s="83" t="n">
        <f aca="false">IF($S116&gt;=2,MIN(G116:J116)*$F116,0)</f>
        <v>0</v>
      </c>
      <c r="AQ116" s="82" t="str">
        <f aca="false">IF($S116&gt;=2,INDEX($G$6:$J$6,MATCH(MIN(G116:J116),G116:J116,0)),"")</f>
        <v/>
      </c>
    </row>
    <row r="117" customFormat="false" ht="15" hidden="false" customHeight="true" outlineLevel="0" collapsed="false">
      <c r="A117" s="70" t="s">
        <v>390</v>
      </c>
      <c r="B117" s="71" t="s">
        <v>130</v>
      </c>
      <c r="C117" s="72" t="s">
        <v>340</v>
      </c>
      <c r="D117" s="73" t="s">
        <v>391</v>
      </c>
      <c r="E117" s="74" t="s">
        <v>133</v>
      </c>
      <c r="F117" s="75" t="n">
        <v>1</v>
      </c>
      <c r="G117" s="76" t="n">
        <f aca="false">IF(COUNTIF('Quote Lines'!$P$3:$P$805,$A117&amp;"|"&amp;G$6&amp;"|1")=0,"—",SUMIFS('Quote Lines'!$O$3:$O$805,'Quote Lines'!$P$3:$P$805,$A117&amp;"|"&amp;G$6&amp;"|1")/SUMIFS('Quote Lines'!$L$3:$L$805,'Quote Lines'!$P$3:$P$805,$A117&amp;"|"&amp;G$6&amp;"|1"))</f>
        <v>150.41</v>
      </c>
      <c r="H117" s="85" t="s">
        <v>138</v>
      </c>
      <c r="I117" s="85" t="s">
        <v>138</v>
      </c>
      <c r="J117" s="76" t="n">
        <f aca="false">IF(COUNTIF('Quote Lines'!$P$3:$P$805,$A117&amp;"|"&amp;J$6&amp;"|1")=0,"—",SUMIFS('Quote Lines'!$O$3:$O$805,'Quote Lines'!$P$3:$P$805,$A117&amp;"|"&amp;J$6&amp;"|1")/SUMIFS('Quote Lines'!$L$3:$L$805,'Quote Lines'!$P$3:$P$805,$A117&amp;"|"&amp;J$6&amp;"|1"))</f>
        <v>149.97</v>
      </c>
      <c r="K117" s="14" t="n">
        <f aca="false">IF(ISNUMBER(G117),G117*$F117,"—")</f>
        <v>150.41</v>
      </c>
      <c r="L117" s="14" t="str">
        <f aca="false">IF(ISNUMBER(H117),H117*$F117,"—")</f>
        <v>—</v>
      </c>
      <c r="M117" s="14" t="str">
        <f aca="false">IF(ISNUMBER(I117),I117*$F117,"—")</f>
        <v>—</v>
      </c>
      <c r="N117" s="14" t="n">
        <f aca="false">IF(ISNUMBER(J117),J117*$F117,"—")</f>
        <v>149.97</v>
      </c>
      <c r="O117" s="77" t="n">
        <f aca="false">IF($S117=0,"—",MIN(G117:J117))</f>
        <v>149.97</v>
      </c>
      <c r="P117" s="42" t="str">
        <f aca="false">IF($S117=0,"—",IF(COUNTIF(G117:J117,O117)&gt;1,"Tie",INDEX($G$6:$J$6,MATCH(O117,G117:J117,0))))</f>
        <v>Scholzen</v>
      </c>
      <c r="Q117" s="48" t="n">
        <f aca="false">IF($S117&gt;=2,MAX(G117:J117)/MIN(G117:J117)-1,"—")</f>
        <v>0.00293392011735683</v>
      </c>
      <c r="R117" s="78" t="n">
        <f aca="false">IF($S117&gt;=2,(MAX(G117:J117)-MIN(G117:J117))*$F117,"—")</f>
        <v>0.439999999999998</v>
      </c>
      <c r="S117" s="18" t="n">
        <f aca="false">COUNT(G117:J117)</f>
        <v>2</v>
      </c>
      <c r="T117" s="79" t="str">
        <f aca="false">IF($S117&lt;=1,IF($S117=1,"Single quote","—"),"Like-for-like")</f>
        <v>Like-for-like</v>
      </c>
      <c r="U117" s="79" t="str">
        <f aca="false">IF(COUNT(W117:Z117)&lt;2,"",IF(MAX(W117:Z117)=MIN(W117:Z117),"OK","Qty differs"))</f>
        <v>OK</v>
      </c>
      <c r="V117" s="80"/>
      <c r="W117" s="81" t="n">
        <f aca="false">IF(COUNTIFS('Quote Lines'!$P$3:$P$805,$A117&amp;"|"&amp;G$6&amp;"|1",'Quote Lines'!$M$3:$M$805,"Y")=0,"",SUMIFS('Quote Lines'!$L$3:$L$805,'Quote Lines'!$P$3:$P$805,$A117&amp;"|"&amp;G$6&amp;"|1",'Quote Lines'!$M$3:$M$805,"Y"))</f>
        <v>1</v>
      </c>
      <c r="X117" s="81"/>
      <c r="Y117" s="81"/>
      <c r="Z117" s="81" t="n">
        <f aca="false">IF(COUNTIFS('Quote Lines'!$P$3:$P$805,$A117&amp;"|"&amp;J$6&amp;"|1",'Quote Lines'!$M$3:$M$805,"Y")=0,"",SUMIFS('Quote Lines'!$L$3:$L$805,'Quote Lines'!$P$3:$P$805,$A117&amp;"|"&amp;J$6&amp;"|1",'Quote Lines'!$M$3:$M$805,"Y"))</f>
        <v>1</v>
      </c>
      <c r="AA117" s="82" t="n">
        <f aca="false">IF(ISNUMBER(G117),1+SUMPRODUCT(ISNUMBER($G117:$J117)*($G117:$J117&lt;G117)),"")</f>
        <v>2</v>
      </c>
      <c r="AB117" s="82" t="str">
        <f aca="false">IF(ISNUMBER(H117),1+SUMPRODUCT(ISNUMBER($G117:$J117)*($G117:$J117&lt;H117)),"")</f>
        <v/>
      </c>
      <c r="AC117" s="82" t="str">
        <f aca="false">IF(ISNUMBER(I117),1+SUMPRODUCT(ISNUMBER($G117:$J117)*($G117:$J117&lt;I117)),"")</f>
        <v/>
      </c>
      <c r="AD117" s="82" t="n">
        <f aca="false">IF(ISNUMBER(J117),1+SUMPRODUCT(ISNUMBER($G117:$J117)*($G117:$J117&lt;J117)),"")</f>
        <v>1</v>
      </c>
      <c r="AE117" s="82" t="n">
        <f aca="false">IF(NOT(ISNUMBER(G117)),0,IF($S117&lt;2,5,IF(AA117=1,1,IF(G117=MAX($G117:$J117),4,IF(AA117=2,2,3)))))</f>
        <v>4</v>
      </c>
      <c r="AF117" s="82" t="n">
        <f aca="false">IF(NOT(ISNUMBER(H117)),0,IF($S117&lt;2,5,IF(AB117=1,1,IF(H117=MAX($G117:$J117),4,IF(AB117=2,2,3)))))</f>
        <v>0</v>
      </c>
      <c r="AG117" s="82" t="n">
        <f aca="false">IF(NOT(ISNUMBER(I117)),0,IF($S117&lt;2,5,IF(AC117=1,1,IF(I117=MAX($G117:$J117),4,IF(AC117=2,2,3)))))</f>
        <v>0</v>
      </c>
      <c r="AH117" s="82" t="n">
        <f aca="false">IF(NOT(ISNUMBER(J117)),0,IF($S117&lt;2,5,IF(AD117=1,1,IF(J117=MAX($G117:$J117),4,IF(AD117=2,2,3)))))</f>
        <v>1</v>
      </c>
      <c r="AI117" s="83" t="n">
        <f aca="false">IF($S117&gt;=2,IF(ISNUMBER(G117),G117*$F117,MIN($G117:$J117)*$F117),0)</f>
        <v>150.41</v>
      </c>
      <c r="AJ117" s="83" t="n">
        <f aca="false">IF($S117&gt;=2,IF(ISNUMBER(H117),H117*$F117,MIN($G117:$J117)*$F117),0)</f>
        <v>149.97</v>
      </c>
      <c r="AK117" s="83" t="n">
        <f aca="false">IF($S117&gt;=2,IF(ISNUMBER(I117),I117*$F117,MIN($G117:$J117)*$F117),0)</f>
        <v>149.97</v>
      </c>
      <c r="AL117" s="83" t="n">
        <f aca="false">IF($S117&gt;=2,IF(ISNUMBER(J117),J117*$F117,MIN($G117:$J117)*$F117),0)</f>
        <v>149.97</v>
      </c>
      <c r="AM117" s="84" t="n">
        <f aca="false">IF($S117&gt;=2,$R117+ROW()/1000000,"")</f>
        <v>0.440116999999998</v>
      </c>
      <c r="AN117" s="83" t="n">
        <f aca="false">IF($S117&gt;=2,MAX(G117:J117),"")</f>
        <v>150.41</v>
      </c>
      <c r="AO117" s="82" t="str">
        <f aca="false">IF($S117&gt;=2,INDEX($G$6:$J$6,MATCH(MAX(G117:J117),G117:J117,0)),"")</f>
        <v>Ferguson</v>
      </c>
      <c r="AP117" s="83" t="n">
        <f aca="false">IF($S117&gt;=2,MIN(G117:J117)*$F117,0)</f>
        <v>149.97</v>
      </c>
      <c r="AQ117" s="82" t="str">
        <f aca="false">IF($S117&gt;=2,INDEX($G$6:$J$6,MATCH(MIN(G117:J117),G117:J117,0)),"")</f>
        <v>Scholzen</v>
      </c>
    </row>
    <row r="118" customFormat="false" ht="27.75" hidden="false" customHeight="true" outlineLevel="0" collapsed="false">
      <c r="A118" s="70" t="s">
        <v>392</v>
      </c>
      <c r="B118" s="71" t="s">
        <v>130</v>
      </c>
      <c r="C118" s="72" t="s">
        <v>340</v>
      </c>
      <c r="D118" s="73" t="s">
        <v>393</v>
      </c>
      <c r="E118" s="74" t="s">
        <v>133</v>
      </c>
      <c r="F118" s="75" t="n">
        <v>4</v>
      </c>
      <c r="G118" s="76" t="n">
        <f aca="false">IF(COUNTIF('Quote Lines'!$P$3:$P$805,$A118&amp;"|"&amp;G$6&amp;"|1")=0,"—",SUMIFS('Quote Lines'!$O$3:$O$805,'Quote Lines'!$P$3:$P$805,$A118&amp;"|"&amp;G$6&amp;"|1")/SUMIFS('Quote Lines'!$L$3:$L$805,'Quote Lines'!$P$3:$P$805,$A118&amp;"|"&amp;G$6&amp;"|1"))</f>
        <v>434.52</v>
      </c>
      <c r="H118" s="76" t="n">
        <f aca="false">IF(COUNTIF('Quote Lines'!$P$3:$P$805,$A118&amp;"|"&amp;H$6&amp;"|1")=0,"—",SUMIFS('Quote Lines'!$O$3:$O$805,'Quote Lines'!$P$3:$P$805,$A118&amp;"|"&amp;H$6&amp;"|1")/SUMIFS('Quote Lines'!$L$3:$L$805,'Quote Lines'!$P$3:$P$805,$A118&amp;"|"&amp;H$6&amp;"|1"))</f>
        <v>372.41</v>
      </c>
      <c r="I118" s="76" t="n">
        <f aca="false">IF(COUNTIF('Quote Lines'!$P$3:$P$805,$A118&amp;"|"&amp;I$6&amp;"|1")=0,"—",SUMIFS('Quote Lines'!$O$3:$O$805,'Quote Lines'!$P$3:$P$805,$A118&amp;"|"&amp;I$6&amp;"|1")/SUMIFS('Quote Lines'!$L$3:$L$805,'Quote Lines'!$P$3:$P$805,$A118&amp;"|"&amp;I$6&amp;"|1"))</f>
        <v>481.973333333333</v>
      </c>
      <c r="J118" s="76" t="n">
        <f aca="false">IF(COUNTIF('Quote Lines'!$P$3:$P$805,$A118&amp;"|"&amp;J$6&amp;"|1")=0,"—",SUMIFS('Quote Lines'!$O$3:$O$805,'Quote Lines'!$P$3:$P$805,$A118&amp;"|"&amp;J$6&amp;"|1")/SUMIFS('Quote Lines'!$L$3:$L$805,'Quote Lines'!$P$3:$P$805,$A118&amp;"|"&amp;J$6&amp;"|1"))</f>
        <v>144.28</v>
      </c>
      <c r="K118" s="14" t="n">
        <f aca="false">IF(ISNUMBER(G118),G118*$F118,"—")</f>
        <v>1738.08</v>
      </c>
      <c r="L118" s="14" t="n">
        <f aca="false">IF(ISNUMBER(H118),H118*$F118,"—")</f>
        <v>1489.64</v>
      </c>
      <c r="M118" s="14" t="n">
        <f aca="false">IF(ISNUMBER(I118),I118*$F118,"—")</f>
        <v>1927.89333333333</v>
      </c>
      <c r="N118" s="14" t="n">
        <f aca="false">IF(ISNUMBER(J118),J118*$F118,"—")</f>
        <v>577.12</v>
      </c>
      <c r="O118" s="77" t="n">
        <f aca="false">IF($S118=0,"—",MIN(G118:J118))</f>
        <v>144.28</v>
      </c>
      <c r="P118" s="42" t="str">
        <f aca="false">IF($S118=0,"—",IF(COUNTIF(G118:J118,O118)&gt;1,"Tie",INDEX($G$6:$J$6,MATCH(O118,G118:J118,0))))</f>
        <v>Scholzen</v>
      </c>
      <c r="Q118" s="48" t="n">
        <f aca="false">IF($S118&gt;=2,MAX(G118:J118)/MIN(G118:J118)-1,"—")</f>
        <v>2.34054153959893</v>
      </c>
      <c r="R118" s="78" t="n">
        <f aca="false">IF($S118&gt;=2,(MAX(G118:J118)-MIN(G118:J118))*$F118,"—")</f>
        <v>1350.77333333333</v>
      </c>
      <c r="S118" s="18" t="n">
        <f aca="false">COUNT(G118:J118)</f>
        <v>4</v>
      </c>
      <c r="T118" s="79" t="str">
        <f aca="false">IF($S118&lt;=1,IF($S118=1,"Single quote","—"),"Alt spec – verify")</f>
        <v>Alt spec – verify</v>
      </c>
      <c r="U118" s="79" t="str">
        <f aca="false">IF(COUNT(W118:Z118)&lt;2,"",IF(MAX(W118:Z118)=MIN(W118:Z118),"OK","Qty differs"))</f>
        <v>Qty differs</v>
      </c>
      <c r="V118" s="80" t="s">
        <v>394</v>
      </c>
      <c r="W118" s="81" t="n">
        <f aca="false">IF(COUNTIFS('Quote Lines'!$P$3:$P$805,$A118&amp;"|"&amp;G$6&amp;"|1",'Quote Lines'!$M$3:$M$805,"Y")=0,"",SUMIFS('Quote Lines'!$L$3:$L$805,'Quote Lines'!$P$3:$P$805,$A118&amp;"|"&amp;G$6&amp;"|1",'Quote Lines'!$M$3:$M$805,"Y"))</f>
        <v>4</v>
      </c>
      <c r="X118" s="81" t="n">
        <f aca="false">IF(COUNTIFS('Quote Lines'!$P$3:$P$805,$A118&amp;"|"&amp;H$6&amp;"|1",'Quote Lines'!$M$3:$M$805,"Y")=0,"",SUMIFS('Quote Lines'!$L$3:$L$805,'Quote Lines'!$P$3:$P$805,$A118&amp;"|"&amp;H$6&amp;"|1",'Quote Lines'!$M$3:$M$805,"Y"))</f>
        <v>4</v>
      </c>
      <c r="Y118" s="81" t="n">
        <f aca="false">IF(COUNTIFS('Quote Lines'!$P$3:$P$805,$A118&amp;"|"&amp;I$6&amp;"|1",'Quote Lines'!$M$3:$M$805,"Y")=0,"",SUMIFS('Quote Lines'!$L$3:$L$805,'Quote Lines'!$P$3:$P$805,$A118&amp;"|"&amp;I$6&amp;"|1",'Quote Lines'!$M$3:$M$805,"Y"))</f>
        <v>3</v>
      </c>
      <c r="Z118" s="81" t="n">
        <f aca="false">IF(COUNTIFS('Quote Lines'!$P$3:$P$805,$A118&amp;"|"&amp;J$6&amp;"|1",'Quote Lines'!$M$3:$M$805,"Y")=0,"",SUMIFS('Quote Lines'!$L$3:$L$805,'Quote Lines'!$P$3:$P$805,$A118&amp;"|"&amp;J$6&amp;"|1",'Quote Lines'!$M$3:$M$805,"Y"))</f>
        <v>3</v>
      </c>
      <c r="AA118" s="82" t="n">
        <f aca="false">IF(ISNUMBER(G118),1+SUMPRODUCT(ISNUMBER($G118:$J118)*($G118:$J118&lt;G118)),"")</f>
        <v>3</v>
      </c>
      <c r="AB118" s="82" t="n">
        <f aca="false">IF(ISNUMBER(H118),1+SUMPRODUCT(ISNUMBER($G118:$J118)*($G118:$J118&lt;H118)),"")</f>
        <v>2</v>
      </c>
      <c r="AC118" s="82" t="n">
        <f aca="false">IF(ISNUMBER(I118),1+SUMPRODUCT(ISNUMBER($G118:$J118)*($G118:$J118&lt;I118)),"")</f>
        <v>4</v>
      </c>
      <c r="AD118" s="82" t="n">
        <f aca="false">IF(ISNUMBER(J118),1+SUMPRODUCT(ISNUMBER($G118:$J118)*($G118:$J118&lt;J118)),"")</f>
        <v>1</v>
      </c>
      <c r="AE118" s="82" t="n">
        <f aca="false">IF(NOT(ISNUMBER(G118)),0,IF($S118&lt;2,5,IF(AA118=1,1,IF(G118=MAX($G118:$J118),4,IF(AA118=2,2,3)))))</f>
        <v>3</v>
      </c>
      <c r="AF118" s="82" t="n">
        <f aca="false">IF(NOT(ISNUMBER(H118)),0,IF($S118&lt;2,5,IF(AB118=1,1,IF(H118=MAX($G118:$J118),4,IF(AB118=2,2,3)))))</f>
        <v>2</v>
      </c>
      <c r="AG118" s="82" t="n">
        <f aca="false">IF(NOT(ISNUMBER(I118)),0,IF($S118&lt;2,5,IF(AC118=1,1,IF(I118=MAX($G118:$J118),4,IF(AC118=2,2,3)))))</f>
        <v>4</v>
      </c>
      <c r="AH118" s="82" t="n">
        <f aca="false">IF(NOT(ISNUMBER(J118)),0,IF($S118&lt;2,5,IF(AD118=1,1,IF(J118=MAX($G118:$J118),4,IF(AD118=2,2,3)))))</f>
        <v>1</v>
      </c>
      <c r="AI118" s="83" t="n">
        <f aca="false">IF($S118&gt;=2,IF(ISNUMBER(G118),G118*$F118,MIN($G118:$J118)*$F118),0)</f>
        <v>1738.08</v>
      </c>
      <c r="AJ118" s="83" t="n">
        <f aca="false">IF($S118&gt;=2,IF(ISNUMBER(H118),H118*$F118,MIN($G118:$J118)*$F118),0)</f>
        <v>1489.64</v>
      </c>
      <c r="AK118" s="83" t="n">
        <f aca="false">IF($S118&gt;=2,IF(ISNUMBER(I118),I118*$F118,MIN($G118:$J118)*$F118),0)</f>
        <v>1927.89333333333</v>
      </c>
      <c r="AL118" s="83" t="n">
        <f aca="false">IF($S118&gt;=2,IF(ISNUMBER(J118),J118*$F118,MIN($G118:$J118)*$F118),0)</f>
        <v>577.12</v>
      </c>
      <c r="AM118" s="84" t="n">
        <f aca="false">IF($S118&gt;=2,$R118+ROW()/1000000,"")</f>
        <v>1350.77345133333</v>
      </c>
      <c r="AN118" s="83" t="n">
        <f aca="false">IF($S118&gt;=2,MAX(G118:J118),"")</f>
        <v>481.973333333333</v>
      </c>
      <c r="AO118" s="82" t="str">
        <f aca="false">IF($S118&gt;=2,INDEX($G$6:$J$6,MATCH(MAX(G118:J118),G118:J118,0)),"")</f>
        <v>Mountainland</v>
      </c>
      <c r="AP118" s="83" t="n">
        <f aca="false">IF($S118&gt;=2,MIN(G118:J118)*$F118,0)</f>
        <v>577.12</v>
      </c>
      <c r="AQ118" s="82" t="str">
        <f aca="false">IF($S118&gt;=2,INDEX($G$6:$J$6,MATCH(MIN(G118:J118),G118:J118,0)),"")</f>
        <v>Scholzen</v>
      </c>
    </row>
    <row r="119" customFormat="false" ht="15" hidden="false" customHeight="true" outlineLevel="0" collapsed="false">
      <c r="A119" s="70" t="s">
        <v>395</v>
      </c>
      <c r="B119" s="71" t="s">
        <v>130</v>
      </c>
      <c r="C119" s="72" t="s">
        <v>340</v>
      </c>
      <c r="D119" s="73" t="s">
        <v>396</v>
      </c>
      <c r="E119" s="74" t="s">
        <v>133</v>
      </c>
      <c r="F119" s="75" t="n">
        <v>1</v>
      </c>
      <c r="G119" s="85" t="s">
        <v>138</v>
      </c>
      <c r="H119" s="76" t="n">
        <f aca="false">IF(COUNTIF('Quote Lines'!$P$3:$P$805,$A119&amp;"|"&amp;H$6&amp;"|1")=0,"—",SUMIFS('Quote Lines'!$O$3:$O$805,'Quote Lines'!$P$3:$P$805,$A119&amp;"|"&amp;H$6&amp;"|1")/SUMIFS('Quote Lines'!$L$3:$L$805,'Quote Lines'!$P$3:$P$805,$A119&amp;"|"&amp;H$6&amp;"|1"))</f>
        <v>70</v>
      </c>
      <c r="I119" s="76" t="n">
        <f aca="false">IF(COUNTIF('Quote Lines'!$P$3:$P$805,$A119&amp;"|"&amp;I$6&amp;"|1")=0,"—",SUMIFS('Quote Lines'!$O$3:$O$805,'Quote Lines'!$P$3:$P$805,$A119&amp;"|"&amp;I$6&amp;"|1")/SUMIFS('Quote Lines'!$L$3:$L$805,'Quote Lines'!$P$3:$P$805,$A119&amp;"|"&amp;I$6&amp;"|1"))</f>
        <v>281.25</v>
      </c>
      <c r="J119" s="76" t="n">
        <f aca="false">IF(COUNTIF('Quote Lines'!$P$3:$P$805,$A119&amp;"|"&amp;J$6&amp;"|1")=0,"—",SUMIFS('Quote Lines'!$O$3:$O$805,'Quote Lines'!$P$3:$P$805,$A119&amp;"|"&amp;J$6&amp;"|1")/SUMIFS('Quote Lines'!$L$3:$L$805,'Quote Lines'!$P$3:$P$805,$A119&amp;"|"&amp;J$6&amp;"|1"))</f>
        <v>96</v>
      </c>
      <c r="K119" s="14" t="str">
        <f aca="false">IF(ISNUMBER(G119),G119*$F119,"—")</f>
        <v>—</v>
      </c>
      <c r="L119" s="14" t="n">
        <f aca="false">IF(ISNUMBER(H119),H119*$F119,"—")</f>
        <v>70</v>
      </c>
      <c r="M119" s="14" t="n">
        <f aca="false">IF(ISNUMBER(I119),I119*$F119,"—")</f>
        <v>281.25</v>
      </c>
      <c r="N119" s="14" t="n">
        <f aca="false">IF(ISNUMBER(J119),J119*$F119,"—")</f>
        <v>96</v>
      </c>
      <c r="O119" s="77" t="n">
        <f aca="false">IF($S119=0,"—",MIN(G119:J119))</f>
        <v>70</v>
      </c>
      <c r="P119" s="42" t="str">
        <f aca="false">IF($S119=0,"—",IF(COUNTIF(G119:J119,O119)&gt;1,"Tie",INDEX($G$6:$J$6,MATCH(O119,G119:J119,0))))</f>
        <v>HD Fowler</v>
      </c>
      <c r="Q119" s="48" t="n">
        <f aca="false">IF($S119&gt;=2,MAX(G119:J119)/MIN(G119:J119)-1,"—")</f>
        <v>3.01785714285714</v>
      </c>
      <c r="R119" s="78" t="n">
        <f aca="false">IF($S119&gt;=2,(MAX(G119:J119)-MIN(G119:J119))*$F119,"—")</f>
        <v>211.25</v>
      </c>
      <c r="S119" s="18" t="n">
        <f aca="false">COUNT(G119:J119)</f>
        <v>3</v>
      </c>
      <c r="T119" s="79" t="str">
        <f aca="false">IF($S119&lt;=1,IF($S119=1,"Single quote","—"),"Alt spec – verify")</f>
        <v>Alt spec – verify</v>
      </c>
      <c r="U119" s="79" t="str">
        <f aca="false">IF(COUNT(W119:Z119)&lt;2,"",IF(MAX(W119:Z119)=MIN(W119:Z119),"OK","Qty differs"))</f>
        <v>OK</v>
      </c>
      <c r="V119" s="80" t="s">
        <v>397</v>
      </c>
      <c r="W119" s="81"/>
      <c r="X119" s="81" t="n">
        <f aca="false">IF(COUNTIFS('Quote Lines'!$P$3:$P$805,$A119&amp;"|"&amp;H$6&amp;"|1",'Quote Lines'!$M$3:$M$805,"Y")=0,"",SUMIFS('Quote Lines'!$L$3:$L$805,'Quote Lines'!$P$3:$P$805,$A119&amp;"|"&amp;H$6&amp;"|1",'Quote Lines'!$M$3:$M$805,"Y"))</f>
        <v>1</v>
      </c>
      <c r="Y119" s="81" t="n">
        <f aca="false">IF(COUNTIFS('Quote Lines'!$P$3:$P$805,$A119&amp;"|"&amp;I$6&amp;"|1",'Quote Lines'!$M$3:$M$805,"Y")=0,"",SUMIFS('Quote Lines'!$L$3:$L$805,'Quote Lines'!$P$3:$P$805,$A119&amp;"|"&amp;I$6&amp;"|1",'Quote Lines'!$M$3:$M$805,"Y"))</f>
        <v>1</v>
      </c>
      <c r="Z119" s="81" t="n">
        <f aca="false">IF(COUNTIFS('Quote Lines'!$P$3:$P$805,$A119&amp;"|"&amp;J$6&amp;"|1",'Quote Lines'!$M$3:$M$805,"Y")=0,"",SUMIFS('Quote Lines'!$L$3:$L$805,'Quote Lines'!$P$3:$P$805,$A119&amp;"|"&amp;J$6&amp;"|1",'Quote Lines'!$M$3:$M$805,"Y"))</f>
        <v>1</v>
      </c>
      <c r="AA119" s="82" t="str">
        <f aca="false">IF(ISNUMBER(G119),1+SUMPRODUCT(ISNUMBER($G119:$J119)*($G119:$J119&lt;G119)),"")</f>
        <v/>
      </c>
      <c r="AB119" s="82" t="n">
        <f aca="false">IF(ISNUMBER(H119),1+SUMPRODUCT(ISNUMBER($G119:$J119)*($G119:$J119&lt;H119)),"")</f>
        <v>1</v>
      </c>
      <c r="AC119" s="82" t="n">
        <f aca="false">IF(ISNUMBER(I119),1+SUMPRODUCT(ISNUMBER($G119:$J119)*($G119:$J119&lt;I119)),"")</f>
        <v>3</v>
      </c>
      <c r="AD119" s="82" t="n">
        <f aca="false">IF(ISNUMBER(J119),1+SUMPRODUCT(ISNUMBER($G119:$J119)*($G119:$J119&lt;J119)),"")</f>
        <v>2</v>
      </c>
      <c r="AE119" s="82" t="n">
        <f aca="false">IF(NOT(ISNUMBER(G119)),0,IF($S119&lt;2,5,IF(AA119=1,1,IF(G119=MAX($G119:$J119),4,IF(AA119=2,2,3)))))</f>
        <v>0</v>
      </c>
      <c r="AF119" s="82" t="n">
        <f aca="false">IF(NOT(ISNUMBER(H119)),0,IF($S119&lt;2,5,IF(AB119=1,1,IF(H119=MAX($G119:$J119),4,IF(AB119=2,2,3)))))</f>
        <v>1</v>
      </c>
      <c r="AG119" s="82" t="n">
        <f aca="false">IF(NOT(ISNUMBER(I119)),0,IF($S119&lt;2,5,IF(AC119=1,1,IF(I119=MAX($G119:$J119),4,IF(AC119=2,2,3)))))</f>
        <v>4</v>
      </c>
      <c r="AH119" s="82" t="n">
        <f aca="false">IF(NOT(ISNUMBER(J119)),0,IF($S119&lt;2,5,IF(AD119=1,1,IF(J119=MAX($G119:$J119),4,IF(AD119=2,2,3)))))</f>
        <v>2</v>
      </c>
      <c r="AI119" s="83" t="n">
        <f aca="false">IF($S119&gt;=2,IF(ISNUMBER(G119),G119*$F119,MIN($G119:$J119)*$F119),0)</f>
        <v>70</v>
      </c>
      <c r="AJ119" s="83" t="n">
        <f aca="false">IF($S119&gt;=2,IF(ISNUMBER(H119),H119*$F119,MIN($G119:$J119)*$F119),0)</f>
        <v>70</v>
      </c>
      <c r="AK119" s="83" t="n">
        <f aca="false">IF($S119&gt;=2,IF(ISNUMBER(I119),I119*$F119,MIN($G119:$J119)*$F119),0)</f>
        <v>281.25</v>
      </c>
      <c r="AL119" s="83" t="n">
        <f aca="false">IF($S119&gt;=2,IF(ISNUMBER(J119),J119*$F119,MIN($G119:$J119)*$F119),0)</f>
        <v>96</v>
      </c>
      <c r="AM119" s="84" t="n">
        <f aca="false">IF($S119&gt;=2,$R119+ROW()/1000000,"")</f>
        <v>211.250119</v>
      </c>
      <c r="AN119" s="83" t="n">
        <f aca="false">IF($S119&gt;=2,MAX(G119:J119),"")</f>
        <v>281.25</v>
      </c>
      <c r="AO119" s="82" t="str">
        <f aca="false">IF($S119&gt;=2,INDEX($G$6:$J$6,MATCH(MAX(G119:J119),G119:J119,0)),"")</f>
        <v>Mountainland</v>
      </c>
      <c r="AP119" s="83" t="n">
        <f aca="false">IF($S119&gt;=2,MIN(G119:J119)*$F119,0)</f>
        <v>70</v>
      </c>
      <c r="AQ119" s="82" t="str">
        <f aca="false">IF($S119&gt;=2,INDEX($G$6:$J$6,MATCH(MIN(G119:J119),G119:J119,0)),"")</f>
        <v>HD Fowler</v>
      </c>
    </row>
    <row r="120" customFormat="false" ht="15" hidden="false" customHeight="true" outlineLevel="0" collapsed="false">
      <c r="A120" s="70" t="s">
        <v>398</v>
      </c>
      <c r="B120" s="71" t="s">
        <v>130</v>
      </c>
      <c r="C120" s="72" t="s">
        <v>261</v>
      </c>
      <c r="D120" s="73" t="s">
        <v>399</v>
      </c>
      <c r="E120" s="74" t="s">
        <v>133</v>
      </c>
      <c r="F120" s="75" t="n">
        <v>2</v>
      </c>
      <c r="G120" s="76" t="n">
        <f aca="false">IF(COUNTIF('Quote Lines'!$P$3:$P$805,$A120&amp;"|"&amp;G$6&amp;"|1")=0,"—",SUMIFS('Quote Lines'!$O$3:$O$805,'Quote Lines'!$P$3:$P$805,$A120&amp;"|"&amp;G$6&amp;"|1")/SUMIFS('Quote Lines'!$L$3:$L$805,'Quote Lines'!$P$3:$P$805,$A120&amp;"|"&amp;G$6&amp;"|1"))</f>
        <v>44.4</v>
      </c>
      <c r="H120" s="76" t="n">
        <f aca="false">IF(COUNTIF('Quote Lines'!$P$3:$P$805,$A120&amp;"|"&amp;H$6&amp;"|1")=0,"—",SUMIFS('Quote Lines'!$O$3:$O$805,'Quote Lines'!$P$3:$P$805,$A120&amp;"|"&amp;H$6&amp;"|1")/SUMIFS('Quote Lines'!$L$3:$L$805,'Quote Lines'!$P$3:$P$805,$A120&amp;"|"&amp;H$6&amp;"|1"))</f>
        <v>58.75</v>
      </c>
      <c r="I120" s="76" t="n">
        <f aca="false">IF(COUNTIF('Quote Lines'!$P$3:$P$805,$A120&amp;"|"&amp;I$6&amp;"|1")=0,"—",SUMIFS('Quote Lines'!$O$3:$O$805,'Quote Lines'!$P$3:$P$805,$A120&amp;"|"&amp;I$6&amp;"|1")/SUMIFS('Quote Lines'!$L$3:$L$805,'Quote Lines'!$P$3:$P$805,$A120&amp;"|"&amp;I$6&amp;"|1"))</f>
        <v>64.285</v>
      </c>
      <c r="J120" s="76" t="n">
        <f aca="false">IF(COUNTIF('Quote Lines'!$P$3:$P$805,$A120&amp;"|"&amp;J$6&amp;"|1")=0,"—",SUMIFS('Quote Lines'!$O$3:$O$805,'Quote Lines'!$P$3:$P$805,$A120&amp;"|"&amp;J$6&amp;"|1")/SUMIFS('Quote Lines'!$L$3:$L$805,'Quote Lines'!$P$3:$P$805,$A120&amp;"|"&amp;J$6&amp;"|1"))</f>
        <v>63.33</v>
      </c>
      <c r="K120" s="14" t="n">
        <f aca="false">IF(ISNUMBER(G120),G120*$F120,"—")</f>
        <v>88.8</v>
      </c>
      <c r="L120" s="14" t="n">
        <f aca="false">IF(ISNUMBER(H120),H120*$F120,"—")</f>
        <v>117.5</v>
      </c>
      <c r="M120" s="14" t="n">
        <f aca="false">IF(ISNUMBER(I120),I120*$F120,"—")</f>
        <v>128.57</v>
      </c>
      <c r="N120" s="14" t="n">
        <f aca="false">IF(ISNUMBER(J120),J120*$F120,"—")</f>
        <v>126.66</v>
      </c>
      <c r="O120" s="77" t="n">
        <f aca="false">IF($S120=0,"—",MIN(G120:J120))</f>
        <v>44.4</v>
      </c>
      <c r="P120" s="42" t="str">
        <f aca="false">IF($S120=0,"—",IF(COUNTIF(G120:J120,O120)&gt;1,"Tie",INDEX($G$6:$J$6,MATCH(O120,G120:J120,0))))</f>
        <v>Ferguson</v>
      </c>
      <c r="Q120" s="48" t="n">
        <f aca="false">IF($S120&gt;=2,MAX(G120:J120)/MIN(G120:J120)-1,"—")</f>
        <v>0.44786036036036</v>
      </c>
      <c r="R120" s="78" t="n">
        <f aca="false">IF($S120&gt;=2,(MAX(G120:J120)-MIN(G120:J120))*$F120,"—")</f>
        <v>39.77</v>
      </c>
      <c r="S120" s="18" t="n">
        <f aca="false">COUNT(G120:J120)</f>
        <v>4</v>
      </c>
      <c r="T120" s="79" t="str">
        <f aca="false">IF($S120&lt;=1,IF($S120=1,"Single quote","—"),"Alt spec – verify")</f>
        <v>Alt spec – verify</v>
      </c>
      <c r="U120" s="79" t="str">
        <f aca="false">IF(COUNT(W120:Z120)&lt;2,"",IF(MAX(W120:Z120)=MIN(W120:Z120),"OK","Qty differs"))</f>
        <v>Qty differs</v>
      </c>
      <c r="V120" s="80" t="s">
        <v>400</v>
      </c>
      <c r="W120" s="81" t="n">
        <f aca="false">IF(COUNTIFS('Quote Lines'!$P$3:$P$805,$A120&amp;"|"&amp;G$6&amp;"|1",'Quote Lines'!$M$3:$M$805,"Y")=0,"",SUMIFS('Quote Lines'!$L$3:$L$805,'Quote Lines'!$P$3:$P$805,$A120&amp;"|"&amp;G$6&amp;"|1",'Quote Lines'!$M$3:$M$805,"Y"))</f>
        <v>2</v>
      </c>
      <c r="X120" s="81" t="n">
        <f aca="false">IF(COUNTIFS('Quote Lines'!$P$3:$P$805,$A120&amp;"|"&amp;H$6&amp;"|1",'Quote Lines'!$M$3:$M$805,"Y")=0,"",SUMIFS('Quote Lines'!$L$3:$L$805,'Quote Lines'!$P$3:$P$805,$A120&amp;"|"&amp;H$6&amp;"|1",'Quote Lines'!$M$3:$M$805,"Y"))</f>
        <v>3</v>
      </c>
      <c r="Y120" s="81" t="n">
        <f aca="false">IF(COUNTIFS('Quote Lines'!$P$3:$P$805,$A120&amp;"|"&amp;I$6&amp;"|1",'Quote Lines'!$M$3:$M$805,"Y")=0,"",SUMIFS('Quote Lines'!$L$3:$L$805,'Quote Lines'!$P$3:$P$805,$A120&amp;"|"&amp;I$6&amp;"|1",'Quote Lines'!$M$3:$M$805,"Y"))</f>
        <v>2</v>
      </c>
      <c r="Z120" s="81" t="n">
        <f aca="false">IF(COUNTIFS('Quote Lines'!$P$3:$P$805,$A120&amp;"|"&amp;J$6&amp;"|1",'Quote Lines'!$M$3:$M$805,"Y")=0,"",SUMIFS('Quote Lines'!$L$3:$L$805,'Quote Lines'!$P$3:$P$805,$A120&amp;"|"&amp;J$6&amp;"|1",'Quote Lines'!$M$3:$M$805,"Y"))</f>
        <v>1</v>
      </c>
      <c r="AA120" s="82" t="n">
        <f aca="false">IF(ISNUMBER(G120),1+SUMPRODUCT(ISNUMBER($G120:$J120)*($G120:$J120&lt;G120)),"")</f>
        <v>1</v>
      </c>
      <c r="AB120" s="82" t="n">
        <f aca="false">IF(ISNUMBER(H120),1+SUMPRODUCT(ISNUMBER($G120:$J120)*($G120:$J120&lt;H120)),"")</f>
        <v>2</v>
      </c>
      <c r="AC120" s="82" t="n">
        <f aca="false">IF(ISNUMBER(I120),1+SUMPRODUCT(ISNUMBER($G120:$J120)*($G120:$J120&lt;I120)),"")</f>
        <v>4</v>
      </c>
      <c r="AD120" s="82" t="n">
        <f aca="false">IF(ISNUMBER(J120),1+SUMPRODUCT(ISNUMBER($G120:$J120)*($G120:$J120&lt;J120)),"")</f>
        <v>3</v>
      </c>
      <c r="AE120" s="82" t="n">
        <f aca="false">IF(NOT(ISNUMBER(G120)),0,IF($S120&lt;2,5,IF(AA120=1,1,IF(G120=MAX($G120:$J120),4,IF(AA120=2,2,3)))))</f>
        <v>1</v>
      </c>
      <c r="AF120" s="82" t="n">
        <f aca="false">IF(NOT(ISNUMBER(H120)),0,IF($S120&lt;2,5,IF(AB120=1,1,IF(H120=MAX($G120:$J120),4,IF(AB120=2,2,3)))))</f>
        <v>2</v>
      </c>
      <c r="AG120" s="82" t="n">
        <f aca="false">IF(NOT(ISNUMBER(I120)),0,IF($S120&lt;2,5,IF(AC120=1,1,IF(I120=MAX($G120:$J120),4,IF(AC120=2,2,3)))))</f>
        <v>4</v>
      </c>
      <c r="AH120" s="82" t="n">
        <f aca="false">IF(NOT(ISNUMBER(J120)),0,IF($S120&lt;2,5,IF(AD120=1,1,IF(J120=MAX($G120:$J120),4,IF(AD120=2,2,3)))))</f>
        <v>3</v>
      </c>
      <c r="AI120" s="83" t="n">
        <f aca="false">IF($S120&gt;=2,IF(ISNUMBER(G120),G120*$F120,MIN($G120:$J120)*$F120),0)</f>
        <v>88.8</v>
      </c>
      <c r="AJ120" s="83" t="n">
        <f aca="false">IF($S120&gt;=2,IF(ISNUMBER(H120),H120*$F120,MIN($G120:$J120)*$F120),0)</f>
        <v>117.5</v>
      </c>
      <c r="AK120" s="83" t="n">
        <f aca="false">IF($S120&gt;=2,IF(ISNUMBER(I120),I120*$F120,MIN($G120:$J120)*$F120),0)</f>
        <v>128.57</v>
      </c>
      <c r="AL120" s="83" t="n">
        <f aca="false">IF($S120&gt;=2,IF(ISNUMBER(J120),J120*$F120,MIN($G120:$J120)*$F120),0)</f>
        <v>126.66</v>
      </c>
      <c r="AM120" s="84" t="n">
        <f aca="false">IF($S120&gt;=2,$R120+ROW()/1000000,"")</f>
        <v>39.77012</v>
      </c>
      <c r="AN120" s="83" t="n">
        <f aca="false">IF($S120&gt;=2,MAX(G120:J120),"")</f>
        <v>64.285</v>
      </c>
      <c r="AO120" s="82" t="str">
        <f aca="false">IF($S120&gt;=2,INDEX($G$6:$J$6,MATCH(MAX(G120:J120),G120:J120,0)),"")</f>
        <v>Mountainland</v>
      </c>
      <c r="AP120" s="83" t="n">
        <f aca="false">IF($S120&gt;=2,MIN(G120:J120)*$F120,0)</f>
        <v>88.8</v>
      </c>
      <c r="AQ120" s="82" t="str">
        <f aca="false">IF($S120&gt;=2,INDEX($G$6:$J$6,MATCH(MIN(G120:J120),G120:J120,0)),"")</f>
        <v>Ferguson</v>
      </c>
    </row>
    <row r="121" customFormat="false" ht="15" hidden="false" customHeight="true" outlineLevel="0" collapsed="false">
      <c r="A121" s="70" t="s">
        <v>401</v>
      </c>
      <c r="B121" s="71" t="s">
        <v>130</v>
      </c>
      <c r="C121" s="72" t="s">
        <v>261</v>
      </c>
      <c r="D121" s="73" t="s">
        <v>402</v>
      </c>
      <c r="E121" s="74" t="s">
        <v>133</v>
      </c>
      <c r="F121" s="75" t="n">
        <v>4</v>
      </c>
      <c r="G121" s="76" t="n">
        <f aca="false">IF(COUNTIF('Quote Lines'!$P$3:$P$805,$A121&amp;"|"&amp;G$6&amp;"|1")=0,"—",SUMIFS('Quote Lines'!$O$3:$O$805,'Quote Lines'!$P$3:$P$805,$A121&amp;"|"&amp;G$6&amp;"|1")/SUMIFS('Quote Lines'!$L$3:$L$805,'Quote Lines'!$P$3:$P$805,$A121&amp;"|"&amp;G$6&amp;"|1"))</f>
        <v>36.06</v>
      </c>
      <c r="H121" s="76" t="n">
        <f aca="false">IF(COUNTIF('Quote Lines'!$P$3:$P$805,$A121&amp;"|"&amp;H$6&amp;"|1")=0,"—",SUMIFS('Quote Lines'!$O$3:$O$805,'Quote Lines'!$P$3:$P$805,$A121&amp;"|"&amp;H$6&amp;"|1")/SUMIFS('Quote Lines'!$L$3:$L$805,'Quote Lines'!$P$3:$P$805,$A121&amp;"|"&amp;H$6&amp;"|1"))</f>
        <v>10.17</v>
      </c>
      <c r="I121" s="76" t="n">
        <f aca="false">IF(COUNTIF('Quote Lines'!$P$3:$P$805,$A121&amp;"|"&amp;I$6&amp;"|1")=0,"—",SUMIFS('Quote Lines'!$O$3:$O$805,'Quote Lines'!$P$3:$P$805,$A121&amp;"|"&amp;I$6&amp;"|1")/SUMIFS('Quote Lines'!$L$3:$L$805,'Quote Lines'!$P$3:$P$805,$A121&amp;"|"&amp;I$6&amp;"|1"))</f>
        <v>12.04</v>
      </c>
      <c r="J121" s="76" t="n">
        <f aca="false">IF(COUNTIF('Quote Lines'!$P$3:$P$805,$A121&amp;"|"&amp;J$6&amp;"|1")=0,"—",SUMIFS('Quote Lines'!$O$3:$O$805,'Quote Lines'!$P$3:$P$805,$A121&amp;"|"&amp;J$6&amp;"|1")/SUMIFS('Quote Lines'!$L$3:$L$805,'Quote Lines'!$P$3:$P$805,$A121&amp;"|"&amp;J$6&amp;"|1"))</f>
        <v>8.65</v>
      </c>
      <c r="K121" s="14" t="n">
        <f aca="false">IF(ISNUMBER(G121),G121*$F121,"—")</f>
        <v>144.24</v>
      </c>
      <c r="L121" s="14" t="n">
        <f aca="false">IF(ISNUMBER(H121),H121*$F121,"—")</f>
        <v>40.68</v>
      </c>
      <c r="M121" s="14" t="n">
        <f aca="false">IF(ISNUMBER(I121),I121*$F121,"—")</f>
        <v>48.16</v>
      </c>
      <c r="N121" s="14" t="n">
        <f aca="false">IF(ISNUMBER(J121),J121*$F121,"—")</f>
        <v>34.6</v>
      </c>
      <c r="O121" s="77" t="n">
        <f aca="false">IF($S121=0,"—",MIN(G121:J121))</f>
        <v>8.65</v>
      </c>
      <c r="P121" s="42" t="str">
        <f aca="false">IF($S121=0,"—",IF(COUNTIF(G121:J121,O121)&gt;1,"Tie",INDEX($G$6:$J$6,MATCH(O121,G121:J121,0))))</f>
        <v>Scholzen</v>
      </c>
      <c r="Q121" s="48" t="n">
        <f aca="false">IF($S121&gt;=2,MAX(G121:J121)/MIN(G121:J121)-1,"—")</f>
        <v>3.16878612716763</v>
      </c>
      <c r="R121" s="78" t="n">
        <f aca="false">IF($S121&gt;=2,(MAX(G121:J121)-MIN(G121:J121))*$F121,"—")</f>
        <v>109.64</v>
      </c>
      <c r="S121" s="18" t="n">
        <f aca="false">COUNT(G121:J121)</f>
        <v>4</v>
      </c>
      <c r="T121" s="79" t="str">
        <f aca="false">IF($S121&lt;=1,IF($S121=1,"Single quote","—"),"Alt spec – verify")</f>
        <v>Alt spec – verify</v>
      </c>
      <c r="U121" s="79" t="str">
        <f aca="false">IF(COUNT(W121:Z121)&lt;2,"",IF(MAX(W121:Z121)=MIN(W121:Z121),"OK","Qty differs"))</f>
        <v>OK</v>
      </c>
      <c r="V121" s="80" t="s">
        <v>403</v>
      </c>
      <c r="W121" s="81" t="n">
        <f aca="false">IF(COUNTIFS('Quote Lines'!$P$3:$P$805,$A121&amp;"|"&amp;G$6&amp;"|1",'Quote Lines'!$M$3:$M$805,"Y")=0,"",SUMIFS('Quote Lines'!$L$3:$L$805,'Quote Lines'!$P$3:$P$805,$A121&amp;"|"&amp;G$6&amp;"|1",'Quote Lines'!$M$3:$M$805,"Y"))</f>
        <v>4</v>
      </c>
      <c r="X121" s="81" t="n">
        <f aca="false">IF(COUNTIFS('Quote Lines'!$P$3:$P$805,$A121&amp;"|"&amp;H$6&amp;"|1",'Quote Lines'!$M$3:$M$805,"Y")=0,"",SUMIFS('Quote Lines'!$L$3:$L$805,'Quote Lines'!$P$3:$P$805,$A121&amp;"|"&amp;H$6&amp;"|1",'Quote Lines'!$M$3:$M$805,"Y"))</f>
        <v>4</v>
      </c>
      <c r="Y121" s="81" t="n">
        <f aca="false">IF(COUNTIFS('Quote Lines'!$P$3:$P$805,$A121&amp;"|"&amp;I$6&amp;"|1",'Quote Lines'!$M$3:$M$805,"Y")=0,"",SUMIFS('Quote Lines'!$L$3:$L$805,'Quote Lines'!$P$3:$P$805,$A121&amp;"|"&amp;I$6&amp;"|1",'Quote Lines'!$M$3:$M$805,"Y"))</f>
        <v>4</v>
      </c>
      <c r="Z121" s="81" t="n">
        <f aca="false">IF(COUNTIFS('Quote Lines'!$P$3:$P$805,$A121&amp;"|"&amp;J$6&amp;"|1",'Quote Lines'!$M$3:$M$805,"Y")=0,"",SUMIFS('Quote Lines'!$L$3:$L$805,'Quote Lines'!$P$3:$P$805,$A121&amp;"|"&amp;J$6&amp;"|1",'Quote Lines'!$M$3:$M$805,"Y"))</f>
        <v>4</v>
      </c>
      <c r="AA121" s="82" t="n">
        <f aca="false">IF(ISNUMBER(G121),1+SUMPRODUCT(ISNUMBER($G121:$J121)*($G121:$J121&lt;G121)),"")</f>
        <v>4</v>
      </c>
      <c r="AB121" s="82" t="n">
        <f aca="false">IF(ISNUMBER(H121),1+SUMPRODUCT(ISNUMBER($G121:$J121)*($G121:$J121&lt;H121)),"")</f>
        <v>2</v>
      </c>
      <c r="AC121" s="82" t="n">
        <f aca="false">IF(ISNUMBER(I121),1+SUMPRODUCT(ISNUMBER($G121:$J121)*($G121:$J121&lt;I121)),"")</f>
        <v>3</v>
      </c>
      <c r="AD121" s="82" t="n">
        <f aca="false">IF(ISNUMBER(J121),1+SUMPRODUCT(ISNUMBER($G121:$J121)*($G121:$J121&lt;J121)),"")</f>
        <v>1</v>
      </c>
      <c r="AE121" s="82" t="n">
        <f aca="false">IF(NOT(ISNUMBER(G121)),0,IF($S121&lt;2,5,IF(AA121=1,1,IF(G121=MAX($G121:$J121),4,IF(AA121=2,2,3)))))</f>
        <v>4</v>
      </c>
      <c r="AF121" s="82" t="n">
        <f aca="false">IF(NOT(ISNUMBER(H121)),0,IF($S121&lt;2,5,IF(AB121=1,1,IF(H121=MAX($G121:$J121),4,IF(AB121=2,2,3)))))</f>
        <v>2</v>
      </c>
      <c r="AG121" s="82" t="n">
        <f aca="false">IF(NOT(ISNUMBER(I121)),0,IF($S121&lt;2,5,IF(AC121=1,1,IF(I121=MAX($G121:$J121),4,IF(AC121=2,2,3)))))</f>
        <v>3</v>
      </c>
      <c r="AH121" s="82" t="n">
        <f aca="false">IF(NOT(ISNUMBER(J121)),0,IF($S121&lt;2,5,IF(AD121=1,1,IF(J121=MAX($G121:$J121),4,IF(AD121=2,2,3)))))</f>
        <v>1</v>
      </c>
      <c r="AI121" s="83" t="n">
        <f aca="false">IF($S121&gt;=2,IF(ISNUMBER(G121),G121*$F121,MIN($G121:$J121)*$F121),0)</f>
        <v>144.24</v>
      </c>
      <c r="AJ121" s="83" t="n">
        <f aca="false">IF($S121&gt;=2,IF(ISNUMBER(H121),H121*$F121,MIN($G121:$J121)*$F121),0)</f>
        <v>40.68</v>
      </c>
      <c r="AK121" s="83" t="n">
        <f aca="false">IF($S121&gt;=2,IF(ISNUMBER(I121),I121*$F121,MIN($G121:$J121)*$F121),0)</f>
        <v>48.16</v>
      </c>
      <c r="AL121" s="83" t="n">
        <f aca="false">IF($S121&gt;=2,IF(ISNUMBER(J121),J121*$F121,MIN($G121:$J121)*$F121),0)</f>
        <v>34.6</v>
      </c>
      <c r="AM121" s="84" t="n">
        <f aca="false">IF($S121&gt;=2,$R121+ROW()/1000000,"")</f>
        <v>109.640121</v>
      </c>
      <c r="AN121" s="83" t="n">
        <f aca="false">IF($S121&gt;=2,MAX(G121:J121),"")</f>
        <v>36.06</v>
      </c>
      <c r="AO121" s="82" t="str">
        <f aca="false">IF($S121&gt;=2,INDEX($G$6:$J$6,MATCH(MAX(G121:J121),G121:J121,0)),"")</f>
        <v>Ferguson</v>
      </c>
      <c r="AP121" s="83" t="n">
        <f aca="false">IF($S121&gt;=2,MIN(G121:J121)*$F121,0)</f>
        <v>34.6</v>
      </c>
      <c r="AQ121" s="82" t="str">
        <f aca="false">IF($S121&gt;=2,INDEX($G$6:$J$6,MATCH(MIN(G121:J121),G121:J121,0)),"")</f>
        <v>Scholzen</v>
      </c>
    </row>
    <row r="122" customFormat="false" ht="15" hidden="false" customHeight="true" outlineLevel="0" collapsed="false">
      <c r="A122" s="70" t="s">
        <v>404</v>
      </c>
      <c r="B122" s="71" t="s">
        <v>130</v>
      </c>
      <c r="C122" s="72" t="s">
        <v>261</v>
      </c>
      <c r="D122" s="73" t="s">
        <v>405</v>
      </c>
      <c r="E122" s="74" t="s">
        <v>133</v>
      </c>
      <c r="F122" s="75" t="n">
        <v>6</v>
      </c>
      <c r="G122" s="85" t="s">
        <v>138</v>
      </c>
      <c r="H122" s="76" t="n">
        <f aca="false">IF(COUNTIF('Quote Lines'!$P$3:$P$805,$A122&amp;"|"&amp;H$6&amp;"|1")=0,"—",SUMIFS('Quote Lines'!$O$3:$O$805,'Quote Lines'!$P$3:$P$805,$A122&amp;"|"&amp;H$6&amp;"|1")/SUMIFS('Quote Lines'!$L$3:$L$805,'Quote Lines'!$P$3:$P$805,$A122&amp;"|"&amp;H$6&amp;"|1"))</f>
        <v>3.69</v>
      </c>
      <c r="I122" s="85" t="s">
        <v>138</v>
      </c>
      <c r="J122" s="76" t="n">
        <f aca="false">IF(COUNTIF('Quote Lines'!$P$3:$P$805,$A122&amp;"|"&amp;J$6&amp;"|1")=0,"—",SUMIFS('Quote Lines'!$O$3:$O$805,'Quote Lines'!$P$3:$P$805,$A122&amp;"|"&amp;J$6&amp;"|1")/SUMIFS('Quote Lines'!$L$3:$L$805,'Quote Lines'!$P$3:$P$805,$A122&amp;"|"&amp;J$6&amp;"|1"))</f>
        <v>3.02</v>
      </c>
      <c r="K122" s="14" t="str">
        <f aca="false">IF(ISNUMBER(G122),G122*$F122,"—")</f>
        <v>—</v>
      </c>
      <c r="L122" s="14" t="n">
        <f aca="false">IF(ISNUMBER(H122),H122*$F122,"—")</f>
        <v>22.14</v>
      </c>
      <c r="M122" s="14" t="str">
        <f aca="false">IF(ISNUMBER(I122),I122*$F122,"—")</f>
        <v>—</v>
      </c>
      <c r="N122" s="14" t="n">
        <f aca="false">IF(ISNUMBER(J122),J122*$F122,"—")</f>
        <v>18.12</v>
      </c>
      <c r="O122" s="77" t="n">
        <f aca="false">IF($S122=0,"—",MIN(G122:J122))</f>
        <v>3.02</v>
      </c>
      <c r="P122" s="42" t="str">
        <f aca="false">IF($S122=0,"—",IF(COUNTIF(G122:J122,O122)&gt;1,"Tie",INDEX($G$6:$J$6,MATCH(O122,G122:J122,0))))</f>
        <v>Scholzen</v>
      </c>
      <c r="Q122" s="48" t="n">
        <f aca="false">IF($S122&gt;=2,MAX(G122:J122)/MIN(G122:J122)-1,"—")</f>
        <v>0.221854304635762</v>
      </c>
      <c r="R122" s="78" t="n">
        <f aca="false">IF($S122&gt;=2,(MAX(G122:J122)-MIN(G122:J122))*$F122,"—")</f>
        <v>4.02</v>
      </c>
      <c r="S122" s="18" t="n">
        <f aca="false">COUNT(G122:J122)</f>
        <v>2</v>
      </c>
      <c r="T122" s="79" t="str">
        <f aca="false">IF($S122&lt;=1,IF($S122=1,"Single quote","—"),"Like-for-like")</f>
        <v>Like-for-like</v>
      </c>
      <c r="U122" s="79" t="str">
        <f aca="false">IF(COUNT(W122:Z122)&lt;2,"",IF(MAX(W122:Z122)=MIN(W122:Z122),"OK","Qty differs"))</f>
        <v>Qty differs</v>
      </c>
      <c r="V122" s="80"/>
      <c r="W122" s="81"/>
      <c r="X122" s="81" t="n">
        <f aca="false">IF(COUNTIFS('Quote Lines'!$P$3:$P$805,$A122&amp;"|"&amp;H$6&amp;"|1",'Quote Lines'!$M$3:$M$805,"Y")=0,"",SUMIFS('Quote Lines'!$L$3:$L$805,'Quote Lines'!$P$3:$P$805,$A122&amp;"|"&amp;H$6&amp;"|1",'Quote Lines'!$M$3:$M$805,"Y"))</f>
        <v>5</v>
      </c>
      <c r="Y122" s="81"/>
      <c r="Z122" s="81" t="n">
        <f aca="false">IF(COUNTIFS('Quote Lines'!$P$3:$P$805,$A122&amp;"|"&amp;J$6&amp;"|1",'Quote Lines'!$M$3:$M$805,"Y")=0,"",SUMIFS('Quote Lines'!$L$3:$L$805,'Quote Lines'!$P$3:$P$805,$A122&amp;"|"&amp;J$6&amp;"|1",'Quote Lines'!$M$3:$M$805,"Y"))</f>
        <v>6</v>
      </c>
      <c r="AA122" s="82" t="str">
        <f aca="false">IF(ISNUMBER(G122),1+SUMPRODUCT(ISNUMBER($G122:$J122)*($G122:$J122&lt;G122)),"")</f>
        <v/>
      </c>
      <c r="AB122" s="82" t="n">
        <f aca="false">IF(ISNUMBER(H122),1+SUMPRODUCT(ISNUMBER($G122:$J122)*($G122:$J122&lt;H122)),"")</f>
        <v>2</v>
      </c>
      <c r="AC122" s="82" t="str">
        <f aca="false">IF(ISNUMBER(I122),1+SUMPRODUCT(ISNUMBER($G122:$J122)*($G122:$J122&lt;I122)),"")</f>
        <v/>
      </c>
      <c r="AD122" s="82" t="n">
        <f aca="false">IF(ISNUMBER(J122),1+SUMPRODUCT(ISNUMBER($G122:$J122)*($G122:$J122&lt;J122)),"")</f>
        <v>1</v>
      </c>
      <c r="AE122" s="82" t="n">
        <f aca="false">IF(NOT(ISNUMBER(G122)),0,IF($S122&lt;2,5,IF(AA122=1,1,IF(G122=MAX($G122:$J122),4,IF(AA122=2,2,3)))))</f>
        <v>0</v>
      </c>
      <c r="AF122" s="82" t="n">
        <f aca="false">IF(NOT(ISNUMBER(H122)),0,IF($S122&lt;2,5,IF(AB122=1,1,IF(H122=MAX($G122:$J122),4,IF(AB122=2,2,3)))))</f>
        <v>4</v>
      </c>
      <c r="AG122" s="82" t="n">
        <f aca="false">IF(NOT(ISNUMBER(I122)),0,IF($S122&lt;2,5,IF(AC122=1,1,IF(I122=MAX($G122:$J122),4,IF(AC122=2,2,3)))))</f>
        <v>0</v>
      </c>
      <c r="AH122" s="82" t="n">
        <f aca="false">IF(NOT(ISNUMBER(J122)),0,IF($S122&lt;2,5,IF(AD122=1,1,IF(J122=MAX($G122:$J122),4,IF(AD122=2,2,3)))))</f>
        <v>1</v>
      </c>
      <c r="AI122" s="83" t="n">
        <f aca="false">IF($S122&gt;=2,IF(ISNUMBER(G122),G122*$F122,MIN($G122:$J122)*$F122),0)</f>
        <v>18.12</v>
      </c>
      <c r="AJ122" s="83" t="n">
        <f aca="false">IF($S122&gt;=2,IF(ISNUMBER(H122),H122*$F122,MIN($G122:$J122)*$F122),0)</f>
        <v>22.14</v>
      </c>
      <c r="AK122" s="83" t="n">
        <f aca="false">IF($S122&gt;=2,IF(ISNUMBER(I122),I122*$F122,MIN($G122:$J122)*$F122),0)</f>
        <v>18.12</v>
      </c>
      <c r="AL122" s="83" t="n">
        <f aca="false">IF($S122&gt;=2,IF(ISNUMBER(J122),J122*$F122,MIN($G122:$J122)*$F122),0)</f>
        <v>18.12</v>
      </c>
      <c r="AM122" s="84" t="n">
        <f aca="false">IF($S122&gt;=2,$R122+ROW()/1000000,"")</f>
        <v>4.020122</v>
      </c>
      <c r="AN122" s="83" t="n">
        <f aca="false">IF($S122&gt;=2,MAX(G122:J122),"")</f>
        <v>3.69</v>
      </c>
      <c r="AO122" s="82" t="str">
        <f aca="false">IF($S122&gt;=2,INDEX($G$6:$J$6,MATCH(MAX(G122:J122),G122:J122,0)),"")</f>
        <v>HD Fowler</v>
      </c>
      <c r="AP122" s="83" t="n">
        <f aca="false">IF($S122&gt;=2,MIN(G122:J122)*$F122,0)</f>
        <v>18.12</v>
      </c>
      <c r="AQ122" s="82" t="str">
        <f aca="false">IF($S122&gt;=2,INDEX($G$6:$J$6,MATCH(MIN(G122:J122),G122:J122,0)),"")</f>
        <v>Scholzen</v>
      </c>
    </row>
    <row r="123" customFormat="false" ht="27.75" hidden="false" customHeight="true" outlineLevel="0" collapsed="false">
      <c r="A123" s="70" t="s">
        <v>406</v>
      </c>
      <c r="B123" s="71" t="s">
        <v>130</v>
      </c>
      <c r="C123" s="72" t="s">
        <v>261</v>
      </c>
      <c r="D123" s="73" t="s">
        <v>407</v>
      </c>
      <c r="E123" s="74" t="s">
        <v>133</v>
      </c>
      <c r="F123" s="75" t="n">
        <v>2</v>
      </c>
      <c r="G123" s="76" t="n">
        <f aca="false">IF(COUNTIF('Quote Lines'!$P$3:$P$805,$A123&amp;"|"&amp;G$6&amp;"|1")=0,"—",SUMIFS('Quote Lines'!$O$3:$O$805,'Quote Lines'!$P$3:$P$805,$A123&amp;"|"&amp;G$6&amp;"|1")/SUMIFS('Quote Lines'!$L$3:$L$805,'Quote Lines'!$P$3:$P$805,$A123&amp;"|"&amp;G$6&amp;"|1"))</f>
        <v>24.25</v>
      </c>
      <c r="H123" s="85" t="s">
        <v>138</v>
      </c>
      <c r="I123" s="76" t="n">
        <f aca="false">IF(COUNTIF('Quote Lines'!$P$3:$P$805,$A123&amp;"|"&amp;I$6&amp;"|1")=0,"—",SUMIFS('Quote Lines'!$O$3:$O$805,'Quote Lines'!$P$3:$P$805,$A123&amp;"|"&amp;I$6&amp;"|1")/SUMIFS('Quote Lines'!$L$3:$L$805,'Quote Lines'!$P$3:$P$805,$A123&amp;"|"&amp;I$6&amp;"|1"))</f>
        <v>8.01</v>
      </c>
      <c r="J123" s="85" t="s">
        <v>138</v>
      </c>
      <c r="K123" s="14" t="n">
        <f aca="false">IF(ISNUMBER(G123),G123*$F123,"—")</f>
        <v>48.5</v>
      </c>
      <c r="L123" s="14" t="str">
        <f aca="false">IF(ISNUMBER(H123),H123*$F123,"—")</f>
        <v>—</v>
      </c>
      <c r="M123" s="14" t="n">
        <f aca="false">IF(ISNUMBER(I123),I123*$F123,"—")</f>
        <v>16.02</v>
      </c>
      <c r="N123" s="14" t="str">
        <f aca="false">IF(ISNUMBER(J123),J123*$F123,"—")</f>
        <v>—</v>
      </c>
      <c r="O123" s="77" t="n">
        <f aca="false">IF($S123=0,"—",MIN(G123:J123))</f>
        <v>8.01</v>
      </c>
      <c r="P123" s="42" t="str">
        <f aca="false">IF($S123=0,"—",IF(COUNTIF(G123:J123,O123)&gt;1,"Tie",INDEX($G$6:$J$6,MATCH(O123,G123:J123,0))))</f>
        <v>Mountainland</v>
      </c>
      <c r="Q123" s="48" t="n">
        <f aca="false">IF($S123&gt;=2,MAX(G123:J123)/MIN(G123:J123)-1,"—")</f>
        <v>2.02746566791511</v>
      </c>
      <c r="R123" s="78" t="n">
        <f aca="false">IF($S123&gt;=2,(MAX(G123:J123)-MIN(G123:J123))*$F123,"—")</f>
        <v>32.48</v>
      </c>
      <c r="S123" s="18" t="n">
        <f aca="false">COUNT(G123:J123)</f>
        <v>2</v>
      </c>
      <c r="T123" s="79" t="str">
        <f aca="false">IF($S123&lt;=1,IF($S123=1,"Single quote","—"),"Like-for-like")</f>
        <v>Like-for-like</v>
      </c>
      <c r="U123" s="79" t="str">
        <f aca="false">IF(COUNT(W123:Z123)&lt;2,"",IF(MAX(W123:Z123)=MIN(W123:Z123),"OK","Qty differs"))</f>
        <v>OK</v>
      </c>
      <c r="V123" s="80" t="s">
        <v>408</v>
      </c>
      <c r="W123" s="81" t="n">
        <f aca="false">IF(COUNTIFS('Quote Lines'!$P$3:$P$805,$A123&amp;"|"&amp;G$6&amp;"|1",'Quote Lines'!$M$3:$M$805,"Y")=0,"",SUMIFS('Quote Lines'!$L$3:$L$805,'Quote Lines'!$P$3:$P$805,$A123&amp;"|"&amp;G$6&amp;"|1",'Quote Lines'!$M$3:$M$805,"Y"))</f>
        <v>2</v>
      </c>
      <c r="X123" s="81"/>
      <c r="Y123" s="81" t="n">
        <f aca="false">IF(COUNTIFS('Quote Lines'!$P$3:$P$805,$A123&amp;"|"&amp;I$6&amp;"|1",'Quote Lines'!$M$3:$M$805,"Y")=0,"",SUMIFS('Quote Lines'!$L$3:$L$805,'Quote Lines'!$P$3:$P$805,$A123&amp;"|"&amp;I$6&amp;"|1",'Quote Lines'!$M$3:$M$805,"Y"))</f>
        <v>2</v>
      </c>
      <c r="Z123" s="81"/>
      <c r="AA123" s="82" t="n">
        <f aca="false">IF(ISNUMBER(G123),1+SUMPRODUCT(ISNUMBER($G123:$J123)*($G123:$J123&lt;G123)),"")</f>
        <v>2</v>
      </c>
      <c r="AB123" s="82" t="str">
        <f aca="false">IF(ISNUMBER(H123),1+SUMPRODUCT(ISNUMBER($G123:$J123)*($G123:$J123&lt;H123)),"")</f>
        <v/>
      </c>
      <c r="AC123" s="82" t="n">
        <f aca="false">IF(ISNUMBER(I123),1+SUMPRODUCT(ISNUMBER($G123:$J123)*($G123:$J123&lt;I123)),"")</f>
        <v>1</v>
      </c>
      <c r="AD123" s="82" t="str">
        <f aca="false">IF(ISNUMBER(J123),1+SUMPRODUCT(ISNUMBER($G123:$J123)*($G123:$J123&lt;J123)),"")</f>
        <v/>
      </c>
      <c r="AE123" s="82" t="n">
        <f aca="false">IF(NOT(ISNUMBER(G123)),0,IF($S123&lt;2,5,IF(AA123=1,1,IF(G123=MAX($G123:$J123),4,IF(AA123=2,2,3)))))</f>
        <v>4</v>
      </c>
      <c r="AF123" s="82" t="n">
        <f aca="false">IF(NOT(ISNUMBER(H123)),0,IF($S123&lt;2,5,IF(AB123=1,1,IF(H123=MAX($G123:$J123),4,IF(AB123=2,2,3)))))</f>
        <v>0</v>
      </c>
      <c r="AG123" s="82" t="n">
        <f aca="false">IF(NOT(ISNUMBER(I123)),0,IF($S123&lt;2,5,IF(AC123=1,1,IF(I123=MAX($G123:$J123),4,IF(AC123=2,2,3)))))</f>
        <v>1</v>
      </c>
      <c r="AH123" s="82" t="n">
        <f aca="false">IF(NOT(ISNUMBER(J123)),0,IF($S123&lt;2,5,IF(AD123=1,1,IF(J123=MAX($G123:$J123),4,IF(AD123=2,2,3)))))</f>
        <v>0</v>
      </c>
      <c r="AI123" s="83" t="n">
        <f aca="false">IF($S123&gt;=2,IF(ISNUMBER(G123),G123*$F123,MIN($G123:$J123)*$F123),0)</f>
        <v>48.5</v>
      </c>
      <c r="AJ123" s="83" t="n">
        <f aca="false">IF($S123&gt;=2,IF(ISNUMBER(H123),H123*$F123,MIN($G123:$J123)*$F123),0)</f>
        <v>16.02</v>
      </c>
      <c r="AK123" s="83" t="n">
        <f aca="false">IF($S123&gt;=2,IF(ISNUMBER(I123),I123*$F123,MIN($G123:$J123)*$F123),0)</f>
        <v>16.02</v>
      </c>
      <c r="AL123" s="83" t="n">
        <f aca="false">IF($S123&gt;=2,IF(ISNUMBER(J123),J123*$F123,MIN($G123:$J123)*$F123),0)</f>
        <v>16.02</v>
      </c>
      <c r="AM123" s="84" t="n">
        <f aca="false">IF($S123&gt;=2,$R123+ROW()/1000000,"")</f>
        <v>32.480123</v>
      </c>
      <c r="AN123" s="83" t="n">
        <f aca="false">IF($S123&gt;=2,MAX(G123:J123),"")</f>
        <v>24.25</v>
      </c>
      <c r="AO123" s="82" t="str">
        <f aca="false">IF($S123&gt;=2,INDEX($G$6:$J$6,MATCH(MAX(G123:J123),G123:J123,0)),"")</f>
        <v>Ferguson</v>
      </c>
      <c r="AP123" s="83" t="n">
        <f aca="false">IF($S123&gt;=2,MIN(G123:J123)*$F123,0)</f>
        <v>16.02</v>
      </c>
      <c r="AQ123" s="82" t="str">
        <f aca="false">IF($S123&gt;=2,INDEX($G$6:$J$6,MATCH(MIN(G123:J123),G123:J123,0)),"")</f>
        <v>Mountainland</v>
      </c>
    </row>
    <row r="124" customFormat="false" ht="15" hidden="false" customHeight="true" outlineLevel="0" collapsed="false">
      <c r="A124" s="70" t="s">
        <v>409</v>
      </c>
      <c r="B124" s="71" t="s">
        <v>130</v>
      </c>
      <c r="C124" s="72" t="s">
        <v>261</v>
      </c>
      <c r="D124" s="73" t="s">
        <v>410</v>
      </c>
      <c r="E124" s="74" t="s">
        <v>133</v>
      </c>
      <c r="F124" s="75" t="n">
        <v>2</v>
      </c>
      <c r="G124" s="85" t="s">
        <v>138</v>
      </c>
      <c r="H124" s="85" t="s">
        <v>138</v>
      </c>
      <c r="I124" s="76" t="n">
        <f aca="false">IF(COUNTIF('Quote Lines'!$P$3:$P$805,$A124&amp;"|"&amp;I$6&amp;"|1")=0,"—",SUMIFS('Quote Lines'!$O$3:$O$805,'Quote Lines'!$P$3:$P$805,$A124&amp;"|"&amp;I$6&amp;"|1")/SUMIFS('Quote Lines'!$L$3:$L$805,'Quote Lines'!$P$3:$P$805,$A124&amp;"|"&amp;I$6&amp;"|1"))</f>
        <v>11.885</v>
      </c>
      <c r="J124" s="85" t="s">
        <v>138</v>
      </c>
      <c r="K124" s="14" t="str">
        <f aca="false">IF(ISNUMBER(G124),G124*$F124,"—")</f>
        <v>—</v>
      </c>
      <c r="L124" s="14" t="str">
        <f aca="false">IF(ISNUMBER(H124),H124*$F124,"—")</f>
        <v>—</v>
      </c>
      <c r="M124" s="14" t="n">
        <f aca="false">IF(ISNUMBER(I124),I124*$F124,"—")</f>
        <v>23.77</v>
      </c>
      <c r="N124" s="14" t="str">
        <f aca="false">IF(ISNUMBER(J124),J124*$F124,"—")</f>
        <v>—</v>
      </c>
      <c r="O124" s="77" t="n">
        <f aca="false">IF($S124=0,"—",MIN(G124:J124))</f>
        <v>11.885</v>
      </c>
      <c r="P124" s="42" t="str">
        <f aca="false">IF($S124=0,"—",IF(COUNTIF(G124:J124,O124)&gt;1,"Tie",INDEX($G$6:$J$6,MATCH(O124,G124:J124,0))))</f>
        <v>Mountainland</v>
      </c>
      <c r="Q124" s="48" t="str">
        <f aca="false">IF($S124&gt;=2,MAX(G124:J124)/MIN(G124:J124)-1,"—")</f>
        <v>—</v>
      </c>
      <c r="R124" s="78" t="str">
        <f aca="false">IF($S124&gt;=2,(MAX(G124:J124)-MIN(G124:J124))*$F124,"—")</f>
        <v>—</v>
      </c>
      <c r="S124" s="18" t="n">
        <f aca="false">COUNT(G124:J124)</f>
        <v>1</v>
      </c>
      <c r="T124" s="79" t="str">
        <f aca="false">IF($S124&lt;=1,IF($S124=1,"Single quote","—"),"Like-for-like")</f>
        <v>Single quote</v>
      </c>
      <c r="U124" s="79" t="str">
        <f aca="false">IF(COUNT(W124:Z124)&lt;2,"",IF(MAX(W124:Z124)=MIN(W124:Z124),"OK","Qty differs"))</f>
        <v/>
      </c>
      <c r="V124" s="80"/>
      <c r="W124" s="81"/>
      <c r="X124" s="81"/>
      <c r="Y124" s="81" t="n">
        <f aca="false">IF(COUNTIFS('Quote Lines'!$P$3:$P$805,$A124&amp;"|"&amp;I$6&amp;"|1",'Quote Lines'!$M$3:$M$805,"Y")=0,"",SUMIFS('Quote Lines'!$L$3:$L$805,'Quote Lines'!$P$3:$P$805,$A124&amp;"|"&amp;I$6&amp;"|1",'Quote Lines'!$M$3:$M$805,"Y"))</f>
        <v>2</v>
      </c>
      <c r="Z124" s="81"/>
      <c r="AA124" s="82" t="str">
        <f aca="false">IF(ISNUMBER(G124),1+SUMPRODUCT(ISNUMBER($G124:$J124)*($G124:$J124&lt;G124)),"")</f>
        <v/>
      </c>
      <c r="AB124" s="82" t="str">
        <f aca="false">IF(ISNUMBER(H124),1+SUMPRODUCT(ISNUMBER($G124:$J124)*($G124:$J124&lt;H124)),"")</f>
        <v/>
      </c>
      <c r="AC124" s="82" t="n">
        <f aca="false">IF(ISNUMBER(I124),1+SUMPRODUCT(ISNUMBER($G124:$J124)*($G124:$J124&lt;I124)),"")</f>
        <v>1</v>
      </c>
      <c r="AD124" s="82" t="str">
        <f aca="false">IF(ISNUMBER(J124),1+SUMPRODUCT(ISNUMBER($G124:$J124)*($G124:$J124&lt;J124)),"")</f>
        <v/>
      </c>
      <c r="AE124" s="82" t="n">
        <f aca="false">IF(NOT(ISNUMBER(G124)),0,IF($S124&lt;2,5,IF(AA124=1,1,IF(G124=MAX($G124:$J124),4,IF(AA124=2,2,3)))))</f>
        <v>0</v>
      </c>
      <c r="AF124" s="82" t="n">
        <f aca="false">IF(NOT(ISNUMBER(H124)),0,IF($S124&lt;2,5,IF(AB124=1,1,IF(H124=MAX($G124:$J124),4,IF(AB124=2,2,3)))))</f>
        <v>0</v>
      </c>
      <c r="AG124" s="82" t="n">
        <f aca="false">IF(NOT(ISNUMBER(I124)),0,IF($S124&lt;2,5,IF(AC124=1,1,IF(I124=MAX($G124:$J124),4,IF(AC124=2,2,3)))))</f>
        <v>5</v>
      </c>
      <c r="AH124" s="82" t="n">
        <f aca="false">IF(NOT(ISNUMBER(J124)),0,IF($S124&lt;2,5,IF(AD124=1,1,IF(J124=MAX($G124:$J124),4,IF(AD124=2,2,3)))))</f>
        <v>0</v>
      </c>
      <c r="AI124" s="83" t="n">
        <f aca="false">IF($S124&gt;=2,IF(ISNUMBER(G124),G124*$F124,MIN($G124:$J124)*$F124),0)</f>
        <v>0</v>
      </c>
      <c r="AJ124" s="83" t="n">
        <f aca="false">IF($S124&gt;=2,IF(ISNUMBER(H124),H124*$F124,MIN($G124:$J124)*$F124),0)</f>
        <v>0</v>
      </c>
      <c r="AK124" s="83" t="n">
        <f aca="false">IF($S124&gt;=2,IF(ISNUMBER(I124),I124*$F124,MIN($G124:$J124)*$F124),0)</f>
        <v>0</v>
      </c>
      <c r="AL124" s="83" t="n">
        <f aca="false">IF($S124&gt;=2,IF(ISNUMBER(J124),J124*$F124,MIN($G124:$J124)*$F124),0)</f>
        <v>0</v>
      </c>
      <c r="AM124" s="84" t="str">
        <f aca="false">IF($S124&gt;=2,$R124+ROW()/1000000,"")</f>
        <v/>
      </c>
      <c r="AN124" s="83" t="str">
        <f aca="false">IF($S124&gt;=2,MAX(G124:J124),"")</f>
        <v/>
      </c>
      <c r="AO124" s="82" t="str">
        <f aca="false">IF($S124&gt;=2,INDEX($G$6:$J$6,MATCH(MAX(G124:J124),G124:J124,0)),"")</f>
        <v/>
      </c>
      <c r="AP124" s="83" t="n">
        <f aca="false">IF($S124&gt;=2,MIN(G124:J124)*$F124,0)</f>
        <v>0</v>
      </c>
      <c r="AQ124" s="82" t="str">
        <f aca="false">IF($S124&gt;=2,INDEX($G$6:$J$6,MATCH(MIN(G124:J124),G124:J124,0)),"")</f>
        <v/>
      </c>
    </row>
    <row r="125" customFormat="false" ht="15" hidden="false" customHeight="true" outlineLevel="0" collapsed="false">
      <c r="A125" s="70" t="s">
        <v>411</v>
      </c>
      <c r="B125" s="71" t="s">
        <v>130</v>
      </c>
      <c r="C125" s="72" t="s">
        <v>261</v>
      </c>
      <c r="D125" s="73" t="s">
        <v>412</v>
      </c>
      <c r="E125" s="74" t="s">
        <v>133</v>
      </c>
      <c r="F125" s="75" t="n">
        <v>2</v>
      </c>
      <c r="G125" s="76" t="n">
        <f aca="false">IF(COUNTIF('Quote Lines'!$P$3:$P$805,$A125&amp;"|"&amp;G$6&amp;"|1")=0,"—",SUMIFS('Quote Lines'!$O$3:$O$805,'Quote Lines'!$P$3:$P$805,$A125&amp;"|"&amp;G$6&amp;"|1")/SUMIFS('Quote Lines'!$L$3:$L$805,'Quote Lines'!$P$3:$P$805,$A125&amp;"|"&amp;G$6&amp;"|1"))</f>
        <v>78.61</v>
      </c>
      <c r="H125" s="85" t="s">
        <v>138</v>
      </c>
      <c r="I125" s="85" t="s">
        <v>138</v>
      </c>
      <c r="J125" s="85" t="s">
        <v>138</v>
      </c>
      <c r="K125" s="14" t="n">
        <f aca="false">IF(ISNUMBER(G125),G125*$F125,"—")</f>
        <v>157.22</v>
      </c>
      <c r="L125" s="14" t="str">
        <f aca="false">IF(ISNUMBER(H125),H125*$F125,"—")</f>
        <v>—</v>
      </c>
      <c r="M125" s="14" t="str">
        <f aca="false">IF(ISNUMBER(I125),I125*$F125,"—")</f>
        <v>—</v>
      </c>
      <c r="N125" s="14" t="str">
        <f aca="false">IF(ISNUMBER(J125),J125*$F125,"—")</f>
        <v>—</v>
      </c>
      <c r="O125" s="77" t="n">
        <f aca="false">IF($S125=0,"—",MIN(G125:J125))</f>
        <v>78.61</v>
      </c>
      <c r="P125" s="42" t="str">
        <f aca="false">IF($S125=0,"—",IF(COUNTIF(G125:J125,O125)&gt;1,"Tie",INDEX($G$6:$J$6,MATCH(O125,G125:J125,0))))</f>
        <v>Ferguson</v>
      </c>
      <c r="Q125" s="48" t="str">
        <f aca="false">IF($S125&gt;=2,MAX(G125:J125)/MIN(G125:J125)-1,"—")</f>
        <v>—</v>
      </c>
      <c r="R125" s="78" t="str">
        <f aca="false">IF($S125&gt;=2,(MAX(G125:J125)-MIN(G125:J125))*$F125,"—")</f>
        <v>—</v>
      </c>
      <c r="S125" s="18" t="n">
        <f aca="false">COUNT(G125:J125)</f>
        <v>1</v>
      </c>
      <c r="T125" s="79" t="str">
        <f aca="false">IF($S125&lt;=1,IF($S125=1,"Single quote","—"),"Like-for-like")</f>
        <v>Single quote</v>
      </c>
      <c r="U125" s="79" t="str">
        <f aca="false">IF(COUNT(W125:Z125)&lt;2,"",IF(MAX(W125:Z125)=MIN(W125:Z125),"OK","Qty differs"))</f>
        <v/>
      </c>
      <c r="V125" s="80"/>
      <c r="W125" s="81" t="n">
        <f aca="false">IF(COUNTIFS('Quote Lines'!$P$3:$P$805,$A125&amp;"|"&amp;G$6&amp;"|1",'Quote Lines'!$M$3:$M$805,"Y")=0,"",SUMIFS('Quote Lines'!$L$3:$L$805,'Quote Lines'!$P$3:$P$805,$A125&amp;"|"&amp;G$6&amp;"|1",'Quote Lines'!$M$3:$M$805,"Y"))</f>
        <v>2</v>
      </c>
      <c r="X125" s="81"/>
      <c r="Y125" s="81"/>
      <c r="Z125" s="81"/>
      <c r="AA125" s="82" t="n">
        <f aca="false">IF(ISNUMBER(G125),1+SUMPRODUCT(ISNUMBER($G125:$J125)*($G125:$J125&lt;G125)),"")</f>
        <v>1</v>
      </c>
      <c r="AB125" s="82" t="str">
        <f aca="false">IF(ISNUMBER(H125),1+SUMPRODUCT(ISNUMBER($G125:$J125)*($G125:$J125&lt;H125)),"")</f>
        <v/>
      </c>
      <c r="AC125" s="82" t="str">
        <f aca="false">IF(ISNUMBER(I125),1+SUMPRODUCT(ISNUMBER($G125:$J125)*($G125:$J125&lt;I125)),"")</f>
        <v/>
      </c>
      <c r="AD125" s="82" t="str">
        <f aca="false">IF(ISNUMBER(J125),1+SUMPRODUCT(ISNUMBER($G125:$J125)*($G125:$J125&lt;J125)),"")</f>
        <v/>
      </c>
      <c r="AE125" s="82" t="n">
        <f aca="false">IF(NOT(ISNUMBER(G125)),0,IF($S125&lt;2,5,IF(AA125=1,1,IF(G125=MAX($G125:$J125),4,IF(AA125=2,2,3)))))</f>
        <v>5</v>
      </c>
      <c r="AF125" s="82" t="n">
        <f aca="false">IF(NOT(ISNUMBER(H125)),0,IF($S125&lt;2,5,IF(AB125=1,1,IF(H125=MAX($G125:$J125),4,IF(AB125=2,2,3)))))</f>
        <v>0</v>
      </c>
      <c r="AG125" s="82" t="n">
        <f aca="false">IF(NOT(ISNUMBER(I125)),0,IF($S125&lt;2,5,IF(AC125=1,1,IF(I125=MAX($G125:$J125),4,IF(AC125=2,2,3)))))</f>
        <v>0</v>
      </c>
      <c r="AH125" s="82" t="n">
        <f aca="false">IF(NOT(ISNUMBER(J125)),0,IF($S125&lt;2,5,IF(AD125=1,1,IF(J125=MAX($G125:$J125),4,IF(AD125=2,2,3)))))</f>
        <v>0</v>
      </c>
      <c r="AI125" s="83" t="n">
        <f aca="false">IF($S125&gt;=2,IF(ISNUMBER(G125),G125*$F125,MIN($G125:$J125)*$F125),0)</f>
        <v>0</v>
      </c>
      <c r="AJ125" s="83" t="n">
        <f aca="false">IF($S125&gt;=2,IF(ISNUMBER(H125),H125*$F125,MIN($G125:$J125)*$F125),0)</f>
        <v>0</v>
      </c>
      <c r="AK125" s="83" t="n">
        <f aca="false">IF($S125&gt;=2,IF(ISNUMBER(I125),I125*$F125,MIN($G125:$J125)*$F125),0)</f>
        <v>0</v>
      </c>
      <c r="AL125" s="83" t="n">
        <f aca="false">IF($S125&gt;=2,IF(ISNUMBER(J125),J125*$F125,MIN($G125:$J125)*$F125),0)</f>
        <v>0</v>
      </c>
      <c r="AM125" s="84" t="str">
        <f aca="false">IF($S125&gt;=2,$R125+ROW()/1000000,"")</f>
        <v/>
      </c>
      <c r="AN125" s="83" t="str">
        <f aca="false">IF($S125&gt;=2,MAX(G125:J125),"")</f>
        <v/>
      </c>
      <c r="AO125" s="82" t="str">
        <f aca="false">IF($S125&gt;=2,INDEX($G$6:$J$6,MATCH(MAX(G125:J125),G125:J125,0)),"")</f>
        <v/>
      </c>
      <c r="AP125" s="83" t="n">
        <f aca="false">IF($S125&gt;=2,MIN(G125:J125)*$F125,0)</f>
        <v>0</v>
      </c>
      <c r="AQ125" s="82" t="str">
        <f aca="false">IF($S125&gt;=2,INDEX($G$6:$J$6,MATCH(MIN(G125:J125),G125:J125,0)),"")</f>
        <v/>
      </c>
    </row>
    <row r="126" customFormat="false" ht="15" hidden="false" customHeight="true" outlineLevel="0" collapsed="false">
      <c r="A126" s="70" t="s">
        <v>413</v>
      </c>
      <c r="B126" s="71" t="s">
        <v>130</v>
      </c>
      <c r="C126" s="72" t="s">
        <v>261</v>
      </c>
      <c r="D126" s="73" t="s">
        <v>414</v>
      </c>
      <c r="E126" s="74" t="s">
        <v>133</v>
      </c>
      <c r="F126" s="75" t="n">
        <v>2</v>
      </c>
      <c r="G126" s="85" t="s">
        <v>138</v>
      </c>
      <c r="H126" s="85" t="s">
        <v>138</v>
      </c>
      <c r="I126" s="76" t="n">
        <f aca="false">IF(COUNTIF('Quote Lines'!$P$3:$P$805,$A126&amp;"|"&amp;I$6&amp;"|1")=0,"—",SUMIFS('Quote Lines'!$O$3:$O$805,'Quote Lines'!$P$3:$P$805,$A126&amp;"|"&amp;I$6&amp;"|1")/SUMIFS('Quote Lines'!$L$3:$L$805,'Quote Lines'!$P$3:$P$805,$A126&amp;"|"&amp;I$6&amp;"|1"))</f>
        <v>29.88</v>
      </c>
      <c r="J126" s="76" t="n">
        <f aca="false">IF(COUNTIF('Quote Lines'!$P$3:$P$805,$A126&amp;"|"&amp;J$6&amp;"|1")=0,"—",SUMIFS('Quote Lines'!$O$3:$O$805,'Quote Lines'!$P$3:$P$805,$A126&amp;"|"&amp;J$6&amp;"|1")/SUMIFS('Quote Lines'!$L$3:$L$805,'Quote Lines'!$P$3:$P$805,$A126&amp;"|"&amp;J$6&amp;"|1"))</f>
        <v>59.62</v>
      </c>
      <c r="K126" s="14" t="str">
        <f aca="false">IF(ISNUMBER(G126),G126*$F126,"—")</f>
        <v>—</v>
      </c>
      <c r="L126" s="14" t="str">
        <f aca="false">IF(ISNUMBER(H126),H126*$F126,"—")</f>
        <v>—</v>
      </c>
      <c r="M126" s="14" t="n">
        <f aca="false">IF(ISNUMBER(I126),I126*$F126,"—")</f>
        <v>59.76</v>
      </c>
      <c r="N126" s="14" t="n">
        <f aca="false">IF(ISNUMBER(J126),J126*$F126,"—")</f>
        <v>119.24</v>
      </c>
      <c r="O126" s="77" t="n">
        <f aca="false">IF($S126=0,"—",MIN(G126:J126))</f>
        <v>29.88</v>
      </c>
      <c r="P126" s="42" t="str">
        <f aca="false">IF($S126=0,"—",IF(COUNTIF(G126:J126,O126)&gt;1,"Tie",INDEX($G$6:$J$6,MATCH(O126,G126:J126,0))))</f>
        <v>Mountainland</v>
      </c>
      <c r="Q126" s="48" t="n">
        <f aca="false">IF($S126&gt;=2,MAX(G126:J126)/MIN(G126:J126)-1,"—")</f>
        <v>0.995314591700134</v>
      </c>
      <c r="R126" s="78" t="n">
        <f aca="false">IF($S126&gt;=2,(MAX(G126:J126)-MIN(G126:J126))*$F126,"—")</f>
        <v>59.48</v>
      </c>
      <c r="S126" s="18" t="n">
        <f aca="false">COUNT(G126:J126)</f>
        <v>2</v>
      </c>
      <c r="T126" s="79" t="str">
        <f aca="false">IF($S126&lt;=1,IF($S126=1,"Single quote","—"),"Like-for-like")</f>
        <v>Like-for-like</v>
      </c>
      <c r="U126" s="79" t="str">
        <f aca="false">IF(COUNT(W126:Z126)&lt;2,"",IF(MAX(W126:Z126)=MIN(W126:Z126),"OK","Qty differs"))</f>
        <v>Qty differs</v>
      </c>
      <c r="V126" s="80"/>
      <c r="W126" s="81"/>
      <c r="X126" s="81"/>
      <c r="Y126" s="81" t="n">
        <f aca="false">IF(COUNTIFS('Quote Lines'!$P$3:$P$805,$A126&amp;"|"&amp;I$6&amp;"|1",'Quote Lines'!$M$3:$M$805,"Y")=0,"",SUMIFS('Quote Lines'!$L$3:$L$805,'Quote Lines'!$P$3:$P$805,$A126&amp;"|"&amp;I$6&amp;"|1",'Quote Lines'!$M$3:$M$805,"Y"))</f>
        <v>1</v>
      </c>
      <c r="Z126" s="81" t="n">
        <f aca="false">IF(COUNTIFS('Quote Lines'!$P$3:$P$805,$A126&amp;"|"&amp;J$6&amp;"|1",'Quote Lines'!$M$3:$M$805,"Y")=0,"",SUMIFS('Quote Lines'!$L$3:$L$805,'Quote Lines'!$P$3:$P$805,$A126&amp;"|"&amp;J$6&amp;"|1",'Quote Lines'!$M$3:$M$805,"Y"))</f>
        <v>2</v>
      </c>
      <c r="AA126" s="82" t="str">
        <f aca="false">IF(ISNUMBER(G126),1+SUMPRODUCT(ISNUMBER($G126:$J126)*($G126:$J126&lt;G126)),"")</f>
        <v/>
      </c>
      <c r="AB126" s="82" t="str">
        <f aca="false">IF(ISNUMBER(H126),1+SUMPRODUCT(ISNUMBER($G126:$J126)*($G126:$J126&lt;H126)),"")</f>
        <v/>
      </c>
      <c r="AC126" s="82" t="n">
        <f aca="false">IF(ISNUMBER(I126),1+SUMPRODUCT(ISNUMBER($G126:$J126)*($G126:$J126&lt;I126)),"")</f>
        <v>1</v>
      </c>
      <c r="AD126" s="82" t="n">
        <f aca="false">IF(ISNUMBER(J126),1+SUMPRODUCT(ISNUMBER($G126:$J126)*($G126:$J126&lt;J126)),"")</f>
        <v>2</v>
      </c>
      <c r="AE126" s="82" t="n">
        <f aca="false">IF(NOT(ISNUMBER(G126)),0,IF($S126&lt;2,5,IF(AA126=1,1,IF(G126=MAX($G126:$J126),4,IF(AA126=2,2,3)))))</f>
        <v>0</v>
      </c>
      <c r="AF126" s="82" t="n">
        <f aca="false">IF(NOT(ISNUMBER(H126)),0,IF($S126&lt;2,5,IF(AB126=1,1,IF(H126=MAX($G126:$J126),4,IF(AB126=2,2,3)))))</f>
        <v>0</v>
      </c>
      <c r="AG126" s="82" t="n">
        <f aca="false">IF(NOT(ISNUMBER(I126)),0,IF($S126&lt;2,5,IF(AC126=1,1,IF(I126=MAX($G126:$J126),4,IF(AC126=2,2,3)))))</f>
        <v>1</v>
      </c>
      <c r="AH126" s="82" t="n">
        <f aca="false">IF(NOT(ISNUMBER(J126)),0,IF($S126&lt;2,5,IF(AD126=1,1,IF(J126=MAX($G126:$J126),4,IF(AD126=2,2,3)))))</f>
        <v>4</v>
      </c>
      <c r="AI126" s="83" t="n">
        <f aca="false">IF($S126&gt;=2,IF(ISNUMBER(G126),G126*$F126,MIN($G126:$J126)*$F126),0)</f>
        <v>59.76</v>
      </c>
      <c r="AJ126" s="83" t="n">
        <f aca="false">IF($S126&gt;=2,IF(ISNUMBER(H126),H126*$F126,MIN($G126:$J126)*$F126),0)</f>
        <v>59.76</v>
      </c>
      <c r="AK126" s="83" t="n">
        <f aca="false">IF($S126&gt;=2,IF(ISNUMBER(I126),I126*$F126,MIN($G126:$J126)*$F126),0)</f>
        <v>59.76</v>
      </c>
      <c r="AL126" s="83" t="n">
        <f aca="false">IF($S126&gt;=2,IF(ISNUMBER(J126),J126*$F126,MIN($G126:$J126)*$F126),0)</f>
        <v>119.24</v>
      </c>
      <c r="AM126" s="84" t="n">
        <f aca="false">IF($S126&gt;=2,$R126+ROW()/1000000,"")</f>
        <v>59.480126</v>
      </c>
      <c r="AN126" s="83" t="n">
        <f aca="false">IF($S126&gt;=2,MAX(G126:J126),"")</f>
        <v>59.62</v>
      </c>
      <c r="AO126" s="82" t="str">
        <f aca="false">IF($S126&gt;=2,INDEX($G$6:$J$6,MATCH(MAX(G126:J126),G126:J126,0)),"")</f>
        <v>Scholzen</v>
      </c>
      <c r="AP126" s="83" t="n">
        <f aca="false">IF($S126&gt;=2,MIN(G126:J126)*$F126,0)</f>
        <v>59.76</v>
      </c>
      <c r="AQ126" s="82" t="str">
        <f aca="false">IF($S126&gt;=2,INDEX($G$6:$J$6,MATCH(MIN(G126:J126),G126:J126,0)),"")</f>
        <v>Mountainland</v>
      </c>
    </row>
    <row r="127" customFormat="false" ht="15" hidden="false" customHeight="true" outlineLevel="0" collapsed="false">
      <c r="A127" s="70" t="s">
        <v>415</v>
      </c>
      <c r="B127" s="71" t="s">
        <v>130</v>
      </c>
      <c r="C127" s="72" t="s">
        <v>261</v>
      </c>
      <c r="D127" s="73" t="s">
        <v>416</v>
      </c>
      <c r="E127" s="74" t="s">
        <v>133</v>
      </c>
      <c r="F127" s="75" t="n">
        <v>5</v>
      </c>
      <c r="G127" s="76" t="n">
        <f aca="false">IF(COUNTIF('Quote Lines'!$P$3:$P$805,$A127&amp;"|"&amp;G$6&amp;"|1")=0,"—",SUMIFS('Quote Lines'!$O$3:$O$805,'Quote Lines'!$P$3:$P$805,$A127&amp;"|"&amp;G$6&amp;"|1")/SUMIFS('Quote Lines'!$L$3:$L$805,'Quote Lines'!$P$3:$P$805,$A127&amp;"|"&amp;G$6&amp;"|1"))</f>
        <v>45.56</v>
      </c>
      <c r="H127" s="85" t="s">
        <v>138</v>
      </c>
      <c r="I127" s="76" t="n">
        <f aca="false">IF(COUNTIF('Quote Lines'!$P$3:$P$805,$A127&amp;"|"&amp;I$6&amp;"|1")=0,"—",SUMIFS('Quote Lines'!$O$3:$O$805,'Quote Lines'!$P$3:$P$805,$A127&amp;"|"&amp;I$6&amp;"|1")/SUMIFS('Quote Lines'!$L$3:$L$805,'Quote Lines'!$P$3:$P$805,$A127&amp;"|"&amp;I$6&amp;"|1"))</f>
        <v>44</v>
      </c>
      <c r="J127" s="85" t="s">
        <v>138</v>
      </c>
      <c r="K127" s="14" t="n">
        <f aca="false">IF(ISNUMBER(G127),G127*$F127,"—")</f>
        <v>227.8</v>
      </c>
      <c r="L127" s="14" t="str">
        <f aca="false">IF(ISNUMBER(H127),H127*$F127,"—")</f>
        <v>—</v>
      </c>
      <c r="M127" s="14" t="n">
        <f aca="false">IF(ISNUMBER(I127),I127*$F127,"—")</f>
        <v>220</v>
      </c>
      <c r="N127" s="14" t="str">
        <f aca="false">IF(ISNUMBER(J127),J127*$F127,"—")</f>
        <v>—</v>
      </c>
      <c r="O127" s="77" t="n">
        <f aca="false">IF($S127=0,"—",MIN(G127:J127))</f>
        <v>44</v>
      </c>
      <c r="P127" s="42" t="str">
        <f aca="false">IF($S127=0,"—",IF(COUNTIF(G127:J127,O127)&gt;1,"Tie",INDEX($G$6:$J$6,MATCH(O127,G127:J127,0))))</f>
        <v>Mountainland</v>
      </c>
      <c r="Q127" s="48" t="n">
        <f aca="false">IF($S127&gt;=2,MAX(G127:J127)/MIN(G127:J127)-1,"—")</f>
        <v>0.0354545454545454</v>
      </c>
      <c r="R127" s="78" t="n">
        <f aca="false">IF($S127&gt;=2,(MAX(G127:J127)-MIN(G127:J127))*$F127,"—")</f>
        <v>7.80000000000001</v>
      </c>
      <c r="S127" s="18" t="n">
        <f aca="false">COUNT(G127:J127)</f>
        <v>2</v>
      </c>
      <c r="T127" s="79" t="str">
        <f aca="false">IF($S127&lt;=1,IF($S127=1,"Single quote","—"),"Alt spec – verify")</f>
        <v>Alt spec – verify</v>
      </c>
      <c r="U127" s="79" t="str">
        <f aca="false">IF(COUNT(W127:Z127)&lt;2,"",IF(MAX(W127:Z127)=MIN(W127:Z127),"OK","Qty differs"))</f>
        <v>Qty differs</v>
      </c>
      <c r="V127" s="80" t="s">
        <v>417</v>
      </c>
      <c r="W127" s="81" t="n">
        <f aca="false">IF(COUNTIFS('Quote Lines'!$P$3:$P$805,$A127&amp;"|"&amp;G$6&amp;"|1",'Quote Lines'!$M$3:$M$805,"Y")=0,"",SUMIFS('Quote Lines'!$L$3:$L$805,'Quote Lines'!$P$3:$P$805,$A127&amp;"|"&amp;G$6&amp;"|1",'Quote Lines'!$M$3:$M$805,"Y"))</f>
        <v>5</v>
      </c>
      <c r="X127" s="81"/>
      <c r="Y127" s="81" t="n">
        <f aca="false">IF(COUNTIFS('Quote Lines'!$P$3:$P$805,$A127&amp;"|"&amp;I$6&amp;"|1",'Quote Lines'!$M$3:$M$805,"Y")=0,"",SUMIFS('Quote Lines'!$L$3:$L$805,'Quote Lines'!$P$3:$P$805,$A127&amp;"|"&amp;I$6&amp;"|1",'Quote Lines'!$M$3:$M$805,"Y"))</f>
        <v>1</v>
      </c>
      <c r="Z127" s="81"/>
      <c r="AA127" s="82" t="n">
        <f aca="false">IF(ISNUMBER(G127),1+SUMPRODUCT(ISNUMBER($G127:$J127)*($G127:$J127&lt;G127)),"")</f>
        <v>2</v>
      </c>
      <c r="AB127" s="82" t="str">
        <f aca="false">IF(ISNUMBER(H127),1+SUMPRODUCT(ISNUMBER($G127:$J127)*($G127:$J127&lt;H127)),"")</f>
        <v/>
      </c>
      <c r="AC127" s="82" t="n">
        <f aca="false">IF(ISNUMBER(I127),1+SUMPRODUCT(ISNUMBER($G127:$J127)*($G127:$J127&lt;I127)),"")</f>
        <v>1</v>
      </c>
      <c r="AD127" s="82" t="str">
        <f aca="false">IF(ISNUMBER(J127),1+SUMPRODUCT(ISNUMBER($G127:$J127)*($G127:$J127&lt;J127)),"")</f>
        <v/>
      </c>
      <c r="AE127" s="82" t="n">
        <f aca="false">IF(NOT(ISNUMBER(G127)),0,IF($S127&lt;2,5,IF(AA127=1,1,IF(G127=MAX($G127:$J127),4,IF(AA127=2,2,3)))))</f>
        <v>4</v>
      </c>
      <c r="AF127" s="82" t="n">
        <f aca="false">IF(NOT(ISNUMBER(H127)),0,IF($S127&lt;2,5,IF(AB127=1,1,IF(H127=MAX($G127:$J127),4,IF(AB127=2,2,3)))))</f>
        <v>0</v>
      </c>
      <c r="AG127" s="82" t="n">
        <f aca="false">IF(NOT(ISNUMBER(I127)),0,IF($S127&lt;2,5,IF(AC127=1,1,IF(I127=MAX($G127:$J127),4,IF(AC127=2,2,3)))))</f>
        <v>1</v>
      </c>
      <c r="AH127" s="82" t="n">
        <f aca="false">IF(NOT(ISNUMBER(J127)),0,IF($S127&lt;2,5,IF(AD127=1,1,IF(J127=MAX($G127:$J127),4,IF(AD127=2,2,3)))))</f>
        <v>0</v>
      </c>
      <c r="AI127" s="83" t="n">
        <f aca="false">IF($S127&gt;=2,IF(ISNUMBER(G127),G127*$F127,MIN($G127:$J127)*$F127),0)</f>
        <v>227.8</v>
      </c>
      <c r="AJ127" s="83" t="n">
        <f aca="false">IF($S127&gt;=2,IF(ISNUMBER(H127),H127*$F127,MIN($G127:$J127)*$F127),0)</f>
        <v>220</v>
      </c>
      <c r="AK127" s="83" t="n">
        <f aca="false">IF($S127&gt;=2,IF(ISNUMBER(I127),I127*$F127,MIN($G127:$J127)*$F127),0)</f>
        <v>220</v>
      </c>
      <c r="AL127" s="83" t="n">
        <f aca="false">IF($S127&gt;=2,IF(ISNUMBER(J127),J127*$F127,MIN($G127:$J127)*$F127),0)</f>
        <v>220</v>
      </c>
      <c r="AM127" s="84" t="n">
        <f aca="false">IF($S127&gt;=2,$R127+ROW()/1000000,"")</f>
        <v>7.80012700000001</v>
      </c>
      <c r="AN127" s="83" t="n">
        <f aca="false">IF($S127&gt;=2,MAX(G127:J127),"")</f>
        <v>45.56</v>
      </c>
      <c r="AO127" s="82" t="str">
        <f aca="false">IF($S127&gt;=2,INDEX($G$6:$J$6,MATCH(MAX(G127:J127),G127:J127,0)),"")</f>
        <v>Ferguson</v>
      </c>
      <c r="AP127" s="83" t="n">
        <f aca="false">IF($S127&gt;=2,MIN(G127:J127)*$F127,0)</f>
        <v>220</v>
      </c>
      <c r="AQ127" s="82" t="str">
        <f aca="false">IF($S127&gt;=2,INDEX($G$6:$J$6,MATCH(MIN(G127:J127),G127:J127,0)),"")</f>
        <v>Mountainland</v>
      </c>
    </row>
    <row r="128" customFormat="false" ht="15" hidden="false" customHeight="true" outlineLevel="0" collapsed="false">
      <c r="A128" s="70" t="s">
        <v>418</v>
      </c>
      <c r="B128" s="71" t="s">
        <v>130</v>
      </c>
      <c r="C128" s="72" t="s">
        <v>261</v>
      </c>
      <c r="D128" s="73" t="s">
        <v>419</v>
      </c>
      <c r="E128" s="74" t="s">
        <v>133</v>
      </c>
      <c r="F128" s="75" t="n">
        <v>2</v>
      </c>
      <c r="G128" s="76" t="n">
        <f aca="false">IF(COUNTIF('Quote Lines'!$P$3:$P$805,$A128&amp;"|"&amp;G$6&amp;"|1")=0,"—",SUMIFS('Quote Lines'!$O$3:$O$805,'Quote Lines'!$P$3:$P$805,$A128&amp;"|"&amp;G$6&amp;"|1")/SUMIFS('Quote Lines'!$L$3:$L$805,'Quote Lines'!$P$3:$P$805,$A128&amp;"|"&amp;G$6&amp;"|1"))</f>
        <v>59.2</v>
      </c>
      <c r="H128" s="85" t="s">
        <v>138</v>
      </c>
      <c r="I128" s="85" t="s">
        <v>138</v>
      </c>
      <c r="J128" s="85" t="s">
        <v>138</v>
      </c>
      <c r="K128" s="14" t="n">
        <f aca="false">IF(ISNUMBER(G128),G128*$F128,"—")</f>
        <v>118.4</v>
      </c>
      <c r="L128" s="14" t="str">
        <f aca="false">IF(ISNUMBER(H128),H128*$F128,"—")</f>
        <v>—</v>
      </c>
      <c r="M128" s="14" t="str">
        <f aca="false">IF(ISNUMBER(I128),I128*$F128,"—")</f>
        <v>—</v>
      </c>
      <c r="N128" s="14" t="str">
        <f aca="false">IF(ISNUMBER(J128),J128*$F128,"—")</f>
        <v>—</v>
      </c>
      <c r="O128" s="77" t="n">
        <f aca="false">IF($S128=0,"—",MIN(G128:J128))</f>
        <v>59.2</v>
      </c>
      <c r="P128" s="42" t="str">
        <f aca="false">IF($S128=0,"—",IF(COUNTIF(G128:J128,O128)&gt;1,"Tie",INDEX($G$6:$J$6,MATCH(O128,G128:J128,0))))</f>
        <v>Ferguson</v>
      </c>
      <c r="Q128" s="48" t="str">
        <f aca="false">IF($S128&gt;=2,MAX(G128:J128)/MIN(G128:J128)-1,"—")</f>
        <v>—</v>
      </c>
      <c r="R128" s="78" t="str">
        <f aca="false">IF($S128&gt;=2,(MAX(G128:J128)-MIN(G128:J128))*$F128,"—")</f>
        <v>—</v>
      </c>
      <c r="S128" s="18" t="n">
        <f aca="false">COUNT(G128:J128)</f>
        <v>1</v>
      </c>
      <c r="T128" s="79" t="str">
        <f aca="false">IF($S128&lt;=1,IF($S128=1,"Single quote","—"),"Like-for-like")</f>
        <v>Single quote</v>
      </c>
      <c r="U128" s="79" t="str">
        <f aca="false">IF(COUNT(W128:Z128)&lt;2,"",IF(MAX(W128:Z128)=MIN(W128:Z128),"OK","Qty differs"))</f>
        <v/>
      </c>
      <c r="V128" s="80"/>
      <c r="W128" s="81" t="n">
        <f aca="false">IF(COUNTIFS('Quote Lines'!$P$3:$P$805,$A128&amp;"|"&amp;G$6&amp;"|1",'Quote Lines'!$M$3:$M$805,"Y")=0,"",SUMIFS('Quote Lines'!$L$3:$L$805,'Quote Lines'!$P$3:$P$805,$A128&amp;"|"&amp;G$6&amp;"|1",'Quote Lines'!$M$3:$M$805,"Y"))</f>
        <v>2</v>
      </c>
      <c r="X128" s="81"/>
      <c r="Y128" s="81"/>
      <c r="Z128" s="81"/>
      <c r="AA128" s="82" t="n">
        <f aca="false">IF(ISNUMBER(G128),1+SUMPRODUCT(ISNUMBER($G128:$J128)*($G128:$J128&lt;G128)),"")</f>
        <v>1</v>
      </c>
      <c r="AB128" s="82" t="str">
        <f aca="false">IF(ISNUMBER(H128),1+SUMPRODUCT(ISNUMBER($G128:$J128)*($G128:$J128&lt;H128)),"")</f>
        <v/>
      </c>
      <c r="AC128" s="82" t="str">
        <f aca="false">IF(ISNUMBER(I128),1+SUMPRODUCT(ISNUMBER($G128:$J128)*($G128:$J128&lt;I128)),"")</f>
        <v/>
      </c>
      <c r="AD128" s="82" t="str">
        <f aca="false">IF(ISNUMBER(J128),1+SUMPRODUCT(ISNUMBER($G128:$J128)*($G128:$J128&lt;J128)),"")</f>
        <v/>
      </c>
      <c r="AE128" s="82" t="n">
        <f aca="false">IF(NOT(ISNUMBER(G128)),0,IF($S128&lt;2,5,IF(AA128=1,1,IF(G128=MAX($G128:$J128),4,IF(AA128=2,2,3)))))</f>
        <v>5</v>
      </c>
      <c r="AF128" s="82" t="n">
        <f aca="false">IF(NOT(ISNUMBER(H128)),0,IF($S128&lt;2,5,IF(AB128=1,1,IF(H128=MAX($G128:$J128),4,IF(AB128=2,2,3)))))</f>
        <v>0</v>
      </c>
      <c r="AG128" s="82" t="n">
        <f aca="false">IF(NOT(ISNUMBER(I128)),0,IF($S128&lt;2,5,IF(AC128=1,1,IF(I128=MAX($G128:$J128),4,IF(AC128=2,2,3)))))</f>
        <v>0</v>
      </c>
      <c r="AH128" s="82" t="n">
        <f aca="false">IF(NOT(ISNUMBER(J128)),0,IF($S128&lt;2,5,IF(AD128=1,1,IF(J128=MAX($G128:$J128),4,IF(AD128=2,2,3)))))</f>
        <v>0</v>
      </c>
      <c r="AI128" s="83" t="n">
        <f aca="false">IF($S128&gt;=2,IF(ISNUMBER(G128),G128*$F128,MIN($G128:$J128)*$F128),0)</f>
        <v>0</v>
      </c>
      <c r="AJ128" s="83" t="n">
        <f aca="false">IF($S128&gt;=2,IF(ISNUMBER(H128),H128*$F128,MIN($G128:$J128)*$F128),0)</f>
        <v>0</v>
      </c>
      <c r="AK128" s="83" t="n">
        <f aca="false">IF($S128&gt;=2,IF(ISNUMBER(I128),I128*$F128,MIN($G128:$J128)*$F128),0)</f>
        <v>0</v>
      </c>
      <c r="AL128" s="83" t="n">
        <f aca="false">IF($S128&gt;=2,IF(ISNUMBER(J128),J128*$F128,MIN($G128:$J128)*$F128),0)</f>
        <v>0</v>
      </c>
      <c r="AM128" s="84" t="str">
        <f aca="false">IF($S128&gt;=2,$R128+ROW()/1000000,"")</f>
        <v/>
      </c>
      <c r="AN128" s="83" t="str">
        <f aca="false">IF($S128&gt;=2,MAX(G128:J128),"")</f>
        <v/>
      </c>
      <c r="AO128" s="82" t="str">
        <f aca="false">IF($S128&gt;=2,INDEX($G$6:$J$6,MATCH(MAX(G128:J128),G128:J128,0)),"")</f>
        <v/>
      </c>
      <c r="AP128" s="83" t="n">
        <f aca="false">IF($S128&gt;=2,MIN(G128:J128)*$F128,0)</f>
        <v>0</v>
      </c>
      <c r="AQ128" s="82" t="str">
        <f aca="false">IF($S128&gt;=2,INDEX($G$6:$J$6,MATCH(MIN(G128:J128),G128:J128,0)),"")</f>
        <v/>
      </c>
    </row>
    <row r="129" customFormat="false" ht="15" hidden="false" customHeight="true" outlineLevel="0" collapsed="false">
      <c r="A129" s="70" t="s">
        <v>420</v>
      </c>
      <c r="B129" s="71" t="s">
        <v>130</v>
      </c>
      <c r="C129" s="72" t="s">
        <v>261</v>
      </c>
      <c r="D129" s="73" t="s">
        <v>421</v>
      </c>
      <c r="E129" s="74" t="s">
        <v>133</v>
      </c>
      <c r="F129" s="75" t="n">
        <v>2</v>
      </c>
      <c r="G129" s="85" t="s">
        <v>138</v>
      </c>
      <c r="H129" s="85" t="s">
        <v>138</v>
      </c>
      <c r="I129" s="76" t="n">
        <f aca="false">IF(COUNTIF('Quote Lines'!$P$3:$P$805,$A129&amp;"|"&amp;I$6&amp;"|1")=0,"—",SUMIFS('Quote Lines'!$O$3:$O$805,'Quote Lines'!$P$3:$P$805,$A129&amp;"|"&amp;I$6&amp;"|1")/SUMIFS('Quote Lines'!$L$3:$L$805,'Quote Lines'!$P$3:$P$805,$A129&amp;"|"&amp;I$6&amp;"|1"))</f>
        <v>65.705</v>
      </c>
      <c r="J129" s="76" t="n">
        <f aca="false">IF(COUNTIF('Quote Lines'!$P$3:$P$805,$A129&amp;"|"&amp;J$6&amp;"|1")=0,"—",SUMIFS('Quote Lines'!$O$3:$O$805,'Quote Lines'!$P$3:$P$805,$A129&amp;"|"&amp;J$6&amp;"|1")/SUMIFS('Quote Lines'!$L$3:$L$805,'Quote Lines'!$P$3:$P$805,$A129&amp;"|"&amp;J$6&amp;"|1"))</f>
        <v>107.49</v>
      </c>
      <c r="K129" s="14" t="str">
        <f aca="false">IF(ISNUMBER(G129),G129*$F129,"—")</f>
        <v>—</v>
      </c>
      <c r="L129" s="14" t="str">
        <f aca="false">IF(ISNUMBER(H129),H129*$F129,"—")</f>
        <v>—</v>
      </c>
      <c r="M129" s="14" t="n">
        <f aca="false">IF(ISNUMBER(I129),I129*$F129,"—")</f>
        <v>131.41</v>
      </c>
      <c r="N129" s="14" t="n">
        <f aca="false">IF(ISNUMBER(J129),J129*$F129,"—")</f>
        <v>214.98</v>
      </c>
      <c r="O129" s="77" t="n">
        <f aca="false">IF($S129=0,"—",MIN(G129:J129))</f>
        <v>65.705</v>
      </c>
      <c r="P129" s="42" t="str">
        <f aca="false">IF($S129=0,"—",IF(COUNTIF(G129:J129,O129)&gt;1,"Tie",INDEX($G$6:$J$6,MATCH(O129,G129:J129,0))))</f>
        <v>Mountainland</v>
      </c>
      <c r="Q129" s="48" t="n">
        <f aca="false">IF($S129&gt;=2,MAX(G129:J129)/MIN(G129:J129)-1,"—")</f>
        <v>0.635948557948406</v>
      </c>
      <c r="R129" s="78" t="n">
        <f aca="false">IF($S129&gt;=2,(MAX(G129:J129)-MIN(G129:J129))*$F129,"—")</f>
        <v>83.57</v>
      </c>
      <c r="S129" s="18" t="n">
        <f aca="false">COUNT(G129:J129)</f>
        <v>2</v>
      </c>
      <c r="T129" s="79" t="str">
        <f aca="false">IF($S129&lt;=1,IF($S129=1,"Single quote","—"),"Like-for-like")</f>
        <v>Like-for-like</v>
      </c>
      <c r="U129" s="79" t="str">
        <f aca="false">IF(COUNT(W129:Z129)&lt;2,"",IF(MAX(W129:Z129)=MIN(W129:Z129),"OK","Qty differs"))</f>
        <v>OK</v>
      </c>
      <c r="V129" s="80"/>
      <c r="W129" s="81"/>
      <c r="X129" s="81"/>
      <c r="Y129" s="81" t="n">
        <f aca="false">IF(COUNTIFS('Quote Lines'!$P$3:$P$805,$A129&amp;"|"&amp;I$6&amp;"|1",'Quote Lines'!$M$3:$M$805,"Y")=0,"",SUMIFS('Quote Lines'!$L$3:$L$805,'Quote Lines'!$P$3:$P$805,$A129&amp;"|"&amp;I$6&amp;"|1",'Quote Lines'!$M$3:$M$805,"Y"))</f>
        <v>2</v>
      </c>
      <c r="Z129" s="81" t="n">
        <f aca="false">IF(COUNTIFS('Quote Lines'!$P$3:$P$805,$A129&amp;"|"&amp;J$6&amp;"|1",'Quote Lines'!$M$3:$M$805,"Y")=0,"",SUMIFS('Quote Lines'!$L$3:$L$805,'Quote Lines'!$P$3:$P$805,$A129&amp;"|"&amp;J$6&amp;"|1",'Quote Lines'!$M$3:$M$805,"Y"))</f>
        <v>2</v>
      </c>
      <c r="AA129" s="82" t="str">
        <f aca="false">IF(ISNUMBER(G129),1+SUMPRODUCT(ISNUMBER($G129:$J129)*($G129:$J129&lt;G129)),"")</f>
        <v/>
      </c>
      <c r="AB129" s="82" t="str">
        <f aca="false">IF(ISNUMBER(H129),1+SUMPRODUCT(ISNUMBER($G129:$J129)*($G129:$J129&lt;H129)),"")</f>
        <v/>
      </c>
      <c r="AC129" s="82" t="n">
        <f aca="false">IF(ISNUMBER(I129),1+SUMPRODUCT(ISNUMBER($G129:$J129)*($G129:$J129&lt;I129)),"")</f>
        <v>1</v>
      </c>
      <c r="AD129" s="82" t="n">
        <f aca="false">IF(ISNUMBER(J129),1+SUMPRODUCT(ISNUMBER($G129:$J129)*($G129:$J129&lt;J129)),"")</f>
        <v>2</v>
      </c>
      <c r="AE129" s="82" t="n">
        <f aca="false">IF(NOT(ISNUMBER(G129)),0,IF($S129&lt;2,5,IF(AA129=1,1,IF(G129=MAX($G129:$J129),4,IF(AA129=2,2,3)))))</f>
        <v>0</v>
      </c>
      <c r="AF129" s="82" t="n">
        <f aca="false">IF(NOT(ISNUMBER(H129)),0,IF($S129&lt;2,5,IF(AB129=1,1,IF(H129=MAX($G129:$J129),4,IF(AB129=2,2,3)))))</f>
        <v>0</v>
      </c>
      <c r="AG129" s="82" t="n">
        <f aca="false">IF(NOT(ISNUMBER(I129)),0,IF($S129&lt;2,5,IF(AC129=1,1,IF(I129=MAX($G129:$J129),4,IF(AC129=2,2,3)))))</f>
        <v>1</v>
      </c>
      <c r="AH129" s="82" t="n">
        <f aca="false">IF(NOT(ISNUMBER(J129)),0,IF($S129&lt;2,5,IF(AD129=1,1,IF(J129=MAX($G129:$J129),4,IF(AD129=2,2,3)))))</f>
        <v>4</v>
      </c>
      <c r="AI129" s="83" t="n">
        <f aca="false">IF($S129&gt;=2,IF(ISNUMBER(G129),G129*$F129,MIN($G129:$J129)*$F129),0)</f>
        <v>131.41</v>
      </c>
      <c r="AJ129" s="83" t="n">
        <f aca="false">IF($S129&gt;=2,IF(ISNUMBER(H129),H129*$F129,MIN($G129:$J129)*$F129),0)</f>
        <v>131.41</v>
      </c>
      <c r="AK129" s="83" t="n">
        <f aca="false">IF($S129&gt;=2,IF(ISNUMBER(I129),I129*$F129,MIN($G129:$J129)*$F129),0)</f>
        <v>131.41</v>
      </c>
      <c r="AL129" s="83" t="n">
        <f aca="false">IF($S129&gt;=2,IF(ISNUMBER(J129),J129*$F129,MIN($G129:$J129)*$F129),0)</f>
        <v>214.98</v>
      </c>
      <c r="AM129" s="84" t="n">
        <f aca="false">IF($S129&gt;=2,$R129+ROW()/1000000,"")</f>
        <v>83.570129</v>
      </c>
      <c r="AN129" s="83" t="n">
        <f aca="false">IF($S129&gt;=2,MAX(G129:J129),"")</f>
        <v>107.49</v>
      </c>
      <c r="AO129" s="82" t="str">
        <f aca="false">IF($S129&gt;=2,INDEX($G$6:$J$6,MATCH(MAX(G129:J129),G129:J129,0)),"")</f>
        <v>Scholzen</v>
      </c>
      <c r="AP129" s="83" t="n">
        <f aca="false">IF($S129&gt;=2,MIN(G129:J129)*$F129,0)</f>
        <v>131.41</v>
      </c>
      <c r="AQ129" s="82" t="str">
        <f aca="false">IF($S129&gt;=2,INDEX($G$6:$J$6,MATCH(MIN(G129:J129),G129:J129,0)),"")</f>
        <v>Mountainland</v>
      </c>
    </row>
    <row r="130" customFormat="false" ht="15" hidden="false" customHeight="true" outlineLevel="0" collapsed="false">
      <c r="A130" s="70" t="s">
        <v>422</v>
      </c>
      <c r="B130" s="71" t="s">
        <v>130</v>
      </c>
      <c r="C130" s="72" t="s">
        <v>261</v>
      </c>
      <c r="D130" s="73" t="s">
        <v>423</v>
      </c>
      <c r="E130" s="74" t="s">
        <v>133</v>
      </c>
      <c r="F130" s="75" t="n">
        <v>2</v>
      </c>
      <c r="G130" s="85" t="s">
        <v>138</v>
      </c>
      <c r="H130" s="85" t="s">
        <v>138</v>
      </c>
      <c r="I130" s="76" t="n">
        <f aca="false">IF(COUNTIF('Quote Lines'!$P$3:$P$805,$A130&amp;"|"&amp;I$6&amp;"|1")=0,"—",SUMIFS('Quote Lines'!$O$3:$O$805,'Quote Lines'!$P$3:$P$805,$A130&amp;"|"&amp;I$6&amp;"|1")/SUMIFS('Quote Lines'!$L$3:$L$805,'Quote Lines'!$P$3:$P$805,$A130&amp;"|"&amp;I$6&amp;"|1"))</f>
        <v>9.695</v>
      </c>
      <c r="J130" s="85" t="s">
        <v>138</v>
      </c>
      <c r="K130" s="14" t="str">
        <f aca="false">IF(ISNUMBER(G130),G130*$F130,"—")</f>
        <v>—</v>
      </c>
      <c r="L130" s="14" t="str">
        <f aca="false">IF(ISNUMBER(H130),H130*$F130,"—")</f>
        <v>—</v>
      </c>
      <c r="M130" s="14" t="n">
        <f aca="false">IF(ISNUMBER(I130),I130*$F130,"—")</f>
        <v>19.39</v>
      </c>
      <c r="N130" s="14" t="str">
        <f aca="false">IF(ISNUMBER(J130),J130*$F130,"—")</f>
        <v>—</v>
      </c>
      <c r="O130" s="77" t="n">
        <f aca="false">IF($S130=0,"—",MIN(G130:J130))</f>
        <v>9.695</v>
      </c>
      <c r="P130" s="42" t="str">
        <f aca="false">IF($S130=0,"—",IF(COUNTIF(G130:J130,O130)&gt;1,"Tie",INDEX($G$6:$J$6,MATCH(O130,G130:J130,0))))</f>
        <v>Mountainland</v>
      </c>
      <c r="Q130" s="48" t="str">
        <f aca="false">IF($S130&gt;=2,MAX(G130:J130)/MIN(G130:J130)-1,"—")</f>
        <v>—</v>
      </c>
      <c r="R130" s="78" t="str">
        <f aca="false">IF($S130&gt;=2,(MAX(G130:J130)-MIN(G130:J130))*$F130,"—")</f>
        <v>—</v>
      </c>
      <c r="S130" s="18" t="n">
        <f aca="false">COUNT(G130:J130)</f>
        <v>1</v>
      </c>
      <c r="T130" s="79" t="str">
        <f aca="false">IF($S130&lt;=1,IF($S130=1,"Single quote","—"),"Like-for-like")</f>
        <v>Single quote</v>
      </c>
      <c r="U130" s="79" t="str">
        <f aca="false">IF(COUNT(W130:Z130)&lt;2,"",IF(MAX(W130:Z130)=MIN(W130:Z130),"OK","Qty differs"))</f>
        <v/>
      </c>
      <c r="V130" s="80"/>
      <c r="W130" s="81"/>
      <c r="X130" s="81"/>
      <c r="Y130" s="81" t="n">
        <f aca="false">IF(COUNTIFS('Quote Lines'!$P$3:$P$805,$A130&amp;"|"&amp;I$6&amp;"|1",'Quote Lines'!$M$3:$M$805,"Y")=0,"",SUMIFS('Quote Lines'!$L$3:$L$805,'Quote Lines'!$P$3:$P$805,$A130&amp;"|"&amp;I$6&amp;"|1",'Quote Lines'!$M$3:$M$805,"Y"))</f>
        <v>2</v>
      </c>
      <c r="Z130" s="81"/>
      <c r="AA130" s="82" t="str">
        <f aca="false">IF(ISNUMBER(G130),1+SUMPRODUCT(ISNUMBER($G130:$J130)*($G130:$J130&lt;G130)),"")</f>
        <v/>
      </c>
      <c r="AB130" s="82" t="str">
        <f aca="false">IF(ISNUMBER(H130),1+SUMPRODUCT(ISNUMBER($G130:$J130)*($G130:$J130&lt;H130)),"")</f>
        <v/>
      </c>
      <c r="AC130" s="82" t="n">
        <f aca="false">IF(ISNUMBER(I130),1+SUMPRODUCT(ISNUMBER($G130:$J130)*($G130:$J130&lt;I130)),"")</f>
        <v>1</v>
      </c>
      <c r="AD130" s="82" t="str">
        <f aca="false">IF(ISNUMBER(J130),1+SUMPRODUCT(ISNUMBER($G130:$J130)*($G130:$J130&lt;J130)),"")</f>
        <v/>
      </c>
      <c r="AE130" s="82" t="n">
        <f aca="false">IF(NOT(ISNUMBER(G130)),0,IF($S130&lt;2,5,IF(AA130=1,1,IF(G130=MAX($G130:$J130),4,IF(AA130=2,2,3)))))</f>
        <v>0</v>
      </c>
      <c r="AF130" s="82" t="n">
        <f aca="false">IF(NOT(ISNUMBER(H130)),0,IF($S130&lt;2,5,IF(AB130=1,1,IF(H130=MAX($G130:$J130),4,IF(AB130=2,2,3)))))</f>
        <v>0</v>
      </c>
      <c r="AG130" s="82" t="n">
        <f aca="false">IF(NOT(ISNUMBER(I130)),0,IF($S130&lt;2,5,IF(AC130=1,1,IF(I130=MAX($G130:$J130),4,IF(AC130=2,2,3)))))</f>
        <v>5</v>
      </c>
      <c r="AH130" s="82" t="n">
        <f aca="false">IF(NOT(ISNUMBER(J130)),0,IF($S130&lt;2,5,IF(AD130=1,1,IF(J130=MAX($G130:$J130),4,IF(AD130=2,2,3)))))</f>
        <v>0</v>
      </c>
      <c r="AI130" s="83" t="n">
        <f aca="false">IF($S130&gt;=2,IF(ISNUMBER(G130),G130*$F130,MIN($G130:$J130)*$F130),0)</f>
        <v>0</v>
      </c>
      <c r="AJ130" s="83" t="n">
        <f aca="false">IF($S130&gt;=2,IF(ISNUMBER(H130),H130*$F130,MIN($G130:$J130)*$F130),0)</f>
        <v>0</v>
      </c>
      <c r="AK130" s="83" t="n">
        <f aca="false">IF($S130&gt;=2,IF(ISNUMBER(I130),I130*$F130,MIN($G130:$J130)*$F130),0)</f>
        <v>0</v>
      </c>
      <c r="AL130" s="83" t="n">
        <f aca="false">IF($S130&gt;=2,IF(ISNUMBER(J130),J130*$F130,MIN($G130:$J130)*$F130),0)</f>
        <v>0</v>
      </c>
      <c r="AM130" s="84" t="str">
        <f aca="false">IF($S130&gt;=2,$R130+ROW()/1000000,"")</f>
        <v/>
      </c>
      <c r="AN130" s="83" t="str">
        <f aca="false">IF($S130&gt;=2,MAX(G130:J130),"")</f>
        <v/>
      </c>
      <c r="AO130" s="82" t="str">
        <f aca="false">IF($S130&gt;=2,INDEX($G$6:$J$6,MATCH(MAX(G130:J130),G130:J130,0)),"")</f>
        <v/>
      </c>
      <c r="AP130" s="83" t="n">
        <f aca="false">IF($S130&gt;=2,MIN(G130:J130)*$F130,0)</f>
        <v>0</v>
      </c>
      <c r="AQ130" s="82" t="str">
        <f aca="false">IF($S130&gt;=2,INDEX($G$6:$J$6,MATCH(MIN(G130:J130),G130:J130,0)),"")</f>
        <v/>
      </c>
    </row>
    <row r="131" customFormat="false" ht="15" hidden="false" customHeight="true" outlineLevel="0" collapsed="false">
      <c r="A131" s="70" t="s">
        <v>424</v>
      </c>
      <c r="B131" s="71" t="s">
        <v>130</v>
      </c>
      <c r="C131" s="72" t="s">
        <v>261</v>
      </c>
      <c r="D131" s="73" t="s">
        <v>425</v>
      </c>
      <c r="E131" s="74" t="s">
        <v>133</v>
      </c>
      <c r="F131" s="75" t="n">
        <v>3</v>
      </c>
      <c r="G131" s="85" t="s">
        <v>138</v>
      </c>
      <c r="H131" s="76" t="n">
        <f aca="false">IF(COUNTIF('Quote Lines'!$P$3:$P$805,$A131&amp;"|"&amp;H$6&amp;"|1")=0,"—",SUMIFS('Quote Lines'!$O$3:$O$805,'Quote Lines'!$P$3:$P$805,$A131&amp;"|"&amp;H$6&amp;"|1")/SUMIFS('Quote Lines'!$L$3:$L$805,'Quote Lines'!$P$3:$P$805,$A131&amp;"|"&amp;H$6&amp;"|1"))</f>
        <v>13.9</v>
      </c>
      <c r="I131" s="85" t="s">
        <v>138</v>
      </c>
      <c r="J131" s="76" t="n">
        <f aca="false">IF(COUNTIF('Quote Lines'!$P$3:$P$805,$A131&amp;"|"&amp;J$6&amp;"|1")=0,"—",SUMIFS('Quote Lines'!$O$3:$O$805,'Quote Lines'!$P$3:$P$805,$A131&amp;"|"&amp;J$6&amp;"|1")/SUMIFS('Quote Lines'!$L$3:$L$805,'Quote Lines'!$P$3:$P$805,$A131&amp;"|"&amp;J$6&amp;"|1"))</f>
        <v>12.52</v>
      </c>
      <c r="K131" s="14" t="str">
        <f aca="false">IF(ISNUMBER(G131),G131*$F131,"—")</f>
        <v>—</v>
      </c>
      <c r="L131" s="14" t="n">
        <f aca="false">IF(ISNUMBER(H131),H131*$F131,"—")</f>
        <v>41.7</v>
      </c>
      <c r="M131" s="14" t="str">
        <f aca="false">IF(ISNUMBER(I131),I131*$F131,"—")</f>
        <v>—</v>
      </c>
      <c r="N131" s="14" t="n">
        <f aca="false">IF(ISNUMBER(J131),J131*$F131,"—")</f>
        <v>37.56</v>
      </c>
      <c r="O131" s="77" t="n">
        <f aca="false">IF($S131=0,"—",MIN(G131:J131))</f>
        <v>12.52</v>
      </c>
      <c r="P131" s="42" t="str">
        <f aca="false">IF($S131=0,"—",IF(COUNTIF(G131:J131,O131)&gt;1,"Tie",INDEX($G$6:$J$6,MATCH(O131,G131:J131,0))))</f>
        <v>Scholzen</v>
      </c>
      <c r="Q131" s="48" t="n">
        <f aca="false">IF($S131&gt;=2,MAX(G131:J131)/MIN(G131:J131)-1,"—")</f>
        <v>0.110223642172524</v>
      </c>
      <c r="R131" s="78" t="n">
        <f aca="false">IF($S131&gt;=2,(MAX(G131:J131)-MIN(G131:J131))*$F131,"—")</f>
        <v>4.14</v>
      </c>
      <c r="S131" s="18" t="n">
        <f aca="false">COUNT(G131:J131)</f>
        <v>2</v>
      </c>
      <c r="T131" s="79" t="str">
        <f aca="false">IF($S131&lt;=1,IF($S131=1,"Single quote","—"),"Like-for-like")</f>
        <v>Like-for-like</v>
      </c>
      <c r="U131" s="79" t="str">
        <f aca="false">IF(COUNT(W131:Z131)&lt;2,"",IF(MAX(W131:Z131)=MIN(W131:Z131),"OK","Qty differs"))</f>
        <v>Qty differs</v>
      </c>
      <c r="V131" s="80"/>
      <c r="W131" s="81"/>
      <c r="X131" s="81" t="n">
        <f aca="false">IF(COUNTIFS('Quote Lines'!$P$3:$P$805,$A131&amp;"|"&amp;H$6&amp;"|1",'Quote Lines'!$M$3:$M$805,"Y")=0,"",SUMIFS('Quote Lines'!$L$3:$L$805,'Quote Lines'!$P$3:$P$805,$A131&amp;"|"&amp;H$6&amp;"|1",'Quote Lines'!$M$3:$M$805,"Y"))</f>
        <v>1</v>
      </c>
      <c r="Y131" s="81"/>
      <c r="Z131" s="81" t="n">
        <f aca="false">IF(COUNTIFS('Quote Lines'!$P$3:$P$805,$A131&amp;"|"&amp;J$6&amp;"|1",'Quote Lines'!$M$3:$M$805,"Y")=0,"",SUMIFS('Quote Lines'!$L$3:$L$805,'Quote Lines'!$P$3:$P$805,$A131&amp;"|"&amp;J$6&amp;"|1",'Quote Lines'!$M$3:$M$805,"Y"))</f>
        <v>3</v>
      </c>
      <c r="AA131" s="82" t="str">
        <f aca="false">IF(ISNUMBER(G131),1+SUMPRODUCT(ISNUMBER($G131:$J131)*($G131:$J131&lt;G131)),"")</f>
        <v/>
      </c>
      <c r="AB131" s="82" t="n">
        <f aca="false">IF(ISNUMBER(H131),1+SUMPRODUCT(ISNUMBER($G131:$J131)*($G131:$J131&lt;H131)),"")</f>
        <v>2</v>
      </c>
      <c r="AC131" s="82" t="str">
        <f aca="false">IF(ISNUMBER(I131),1+SUMPRODUCT(ISNUMBER($G131:$J131)*($G131:$J131&lt;I131)),"")</f>
        <v/>
      </c>
      <c r="AD131" s="82" t="n">
        <f aca="false">IF(ISNUMBER(J131),1+SUMPRODUCT(ISNUMBER($G131:$J131)*($G131:$J131&lt;J131)),"")</f>
        <v>1</v>
      </c>
      <c r="AE131" s="82" t="n">
        <f aca="false">IF(NOT(ISNUMBER(G131)),0,IF($S131&lt;2,5,IF(AA131=1,1,IF(G131=MAX($G131:$J131),4,IF(AA131=2,2,3)))))</f>
        <v>0</v>
      </c>
      <c r="AF131" s="82" t="n">
        <f aca="false">IF(NOT(ISNUMBER(H131)),0,IF($S131&lt;2,5,IF(AB131=1,1,IF(H131=MAX($G131:$J131),4,IF(AB131=2,2,3)))))</f>
        <v>4</v>
      </c>
      <c r="AG131" s="82" t="n">
        <f aca="false">IF(NOT(ISNUMBER(I131)),0,IF($S131&lt;2,5,IF(AC131=1,1,IF(I131=MAX($G131:$J131),4,IF(AC131=2,2,3)))))</f>
        <v>0</v>
      </c>
      <c r="AH131" s="82" t="n">
        <f aca="false">IF(NOT(ISNUMBER(J131)),0,IF($S131&lt;2,5,IF(AD131=1,1,IF(J131=MAX($G131:$J131),4,IF(AD131=2,2,3)))))</f>
        <v>1</v>
      </c>
      <c r="AI131" s="83" t="n">
        <f aca="false">IF($S131&gt;=2,IF(ISNUMBER(G131),G131*$F131,MIN($G131:$J131)*$F131),0)</f>
        <v>37.56</v>
      </c>
      <c r="AJ131" s="83" t="n">
        <f aca="false">IF($S131&gt;=2,IF(ISNUMBER(H131),H131*$F131,MIN($G131:$J131)*$F131),0)</f>
        <v>41.7</v>
      </c>
      <c r="AK131" s="83" t="n">
        <f aca="false">IF($S131&gt;=2,IF(ISNUMBER(I131),I131*$F131,MIN($G131:$J131)*$F131),0)</f>
        <v>37.56</v>
      </c>
      <c r="AL131" s="83" t="n">
        <f aca="false">IF($S131&gt;=2,IF(ISNUMBER(J131),J131*$F131,MIN($G131:$J131)*$F131),0)</f>
        <v>37.56</v>
      </c>
      <c r="AM131" s="84" t="n">
        <f aca="false">IF($S131&gt;=2,$R131+ROW()/1000000,"")</f>
        <v>4.140131</v>
      </c>
      <c r="AN131" s="83" t="n">
        <f aca="false">IF($S131&gt;=2,MAX(G131:J131),"")</f>
        <v>13.9</v>
      </c>
      <c r="AO131" s="82" t="str">
        <f aca="false">IF($S131&gt;=2,INDEX($G$6:$J$6,MATCH(MAX(G131:J131),G131:J131,0)),"")</f>
        <v>HD Fowler</v>
      </c>
      <c r="AP131" s="83" t="n">
        <f aca="false">IF($S131&gt;=2,MIN(G131:J131)*$F131,0)</f>
        <v>37.56</v>
      </c>
      <c r="AQ131" s="82" t="str">
        <f aca="false">IF($S131&gt;=2,INDEX($G$6:$J$6,MATCH(MIN(G131:J131),G131:J131,0)),"")</f>
        <v>Scholzen</v>
      </c>
    </row>
    <row r="132" customFormat="false" ht="15" hidden="false" customHeight="true" outlineLevel="0" collapsed="false">
      <c r="A132" s="70" t="s">
        <v>426</v>
      </c>
      <c r="B132" s="71" t="s">
        <v>130</v>
      </c>
      <c r="C132" s="72" t="s">
        <v>261</v>
      </c>
      <c r="D132" s="73" t="s">
        <v>427</v>
      </c>
      <c r="E132" s="74" t="s">
        <v>133</v>
      </c>
      <c r="F132" s="75" t="n">
        <v>1</v>
      </c>
      <c r="G132" s="85" t="s">
        <v>138</v>
      </c>
      <c r="H132" s="85" t="s">
        <v>138</v>
      </c>
      <c r="I132" s="76" t="n">
        <f aca="false">IF(COUNTIF('Quote Lines'!$P$3:$P$805,$A132&amp;"|"&amp;I$6&amp;"|1")=0,"—",SUMIFS('Quote Lines'!$O$3:$O$805,'Quote Lines'!$P$3:$P$805,$A132&amp;"|"&amp;I$6&amp;"|1")/SUMIFS('Quote Lines'!$L$3:$L$805,'Quote Lines'!$P$3:$P$805,$A132&amp;"|"&amp;I$6&amp;"|1"))</f>
        <v>73.17</v>
      </c>
      <c r="J132" s="85" t="s">
        <v>138</v>
      </c>
      <c r="K132" s="14" t="str">
        <f aca="false">IF(ISNUMBER(G132),G132*$F132,"—")</f>
        <v>—</v>
      </c>
      <c r="L132" s="14" t="str">
        <f aca="false">IF(ISNUMBER(H132),H132*$F132,"—")</f>
        <v>—</v>
      </c>
      <c r="M132" s="14" t="n">
        <f aca="false">IF(ISNUMBER(I132),I132*$F132,"—")</f>
        <v>73.17</v>
      </c>
      <c r="N132" s="14" t="str">
        <f aca="false">IF(ISNUMBER(J132),J132*$F132,"—")</f>
        <v>—</v>
      </c>
      <c r="O132" s="77" t="n">
        <f aca="false">IF($S132=0,"—",MIN(G132:J132))</f>
        <v>73.17</v>
      </c>
      <c r="P132" s="42" t="str">
        <f aca="false">IF($S132=0,"—",IF(COUNTIF(G132:J132,O132)&gt;1,"Tie",INDEX($G$6:$J$6,MATCH(O132,G132:J132,0))))</f>
        <v>Mountainland</v>
      </c>
      <c r="Q132" s="48" t="str">
        <f aca="false">IF($S132&gt;=2,MAX(G132:J132)/MIN(G132:J132)-1,"—")</f>
        <v>—</v>
      </c>
      <c r="R132" s="78" t="str">
        <f aca="false">IF($S132&gt;=2,(MAX(G132:J132)-MIN(G132:J132))*$F132,"—")</f>
        <v>—</v>
      </c>
      <c r="S132" s="18" t="n">
        <f aca="false">COUNT(G132:J132)</f>
        <v>1</v>
      </c>
      <c r="T132" s="79" t="str">
        <f aca="false">IF($S132&lt;=1,IF($S132=1,"Single quote","—"),"Like-for-like")</f>
        <v>Single quote</v>
      </c>
      <c r="U132" s="79" t="str">
        <f aca="false">IF(COUNT(W132:Z132)&lt;2,"",IF(MAX(W132:Z132)=MIN(W132:Z132),"OK","Qty differs"))</f>
        <v/>
      </c>
      <c r="V132" s="80"/>
      <c r="W132" s="81"/>
      <c r="X132" s="81"/>
      <c r="Y132" s="81" t="n">
        <f aca="false">IF(COUNTIFS('Quote Lines'!$P$3:$P$805,$A132&amp;"|"&amp;I$6&amp;"|1",'Quote Lines'!$M$3:$M$805,"Y")=0,"",SUMIFS('Quote Lines'!$L$3:$L$805,'Quote Lines'!$P$3:$P$805,$A132&amp;"|"&amp;I$6&amp;"|1",'Quote Lines'!$M$3:$M$805,"Y"))</f>
        <v>1</v>
      </c>
      <c r="Z132" s="81"/>
      <c r="AA132" s="82" t="str">
        <f aca="false">IF(ISNUMBER(G132),1+SUMPRODUCT(ISNUMBER($G132:$J132)*($G132:$J132&lt;G132)),"")</f>
        <v/>
      </c>
      <c r="AB132" s="82" t="str">
        <f aca="false">IF(ISNUMBER(H132),1+SUMPRODUCT(ISNUMBER($G132:$J132)*($G132:$J132&lt;H132)),"")</f>
        <v/>
      </c>
      <c r="AC132" s="82" t="n">
        <f aca="false">IF(ISNUMBER(I132),1+SUMPRODUCT(ISNUMBER($G132:$J132)*($G132:$J132&lt;I132)),"")</f>
        <v>1</v>
      </c>
      <c r="AD132" s="82" t="str">
        <f aca="false">IF(ISNUMBER(J132),1+SUMPRODUCT(ISNUMBER($G132:$J132)*($G132:$J132&lt;J132)),"")</f>
        <v/>
      </c>
      <c r="AE132" s="82" t="n">
        <f aca="false">IF(NOT(ISNUMBER(G132)),0,IF($S132&lt;2,5,IF(AA132=1,1,IF(G132=MAX($G132:$J132),4,IF(AA132=2,2,3)))))</f>
        <v>0</v>
      </c>
      <c r="AF132" s="82" t="n">
        <f aca="false">IF(NOT(ISNUMBER(H132)),0,IF($S132&lt;2,5,IF(AB132=1,1,IF(H132=MAX($G132:$J132),4,IF(AB132=2,2,3)))))</f>
        <v>0</v>
      </c>
      <c r="AG132" s="82" t="n">
        <f aca="false">IF(NOT(ISNUMBER(I132)),0,IF($S132&lt;2,5,IF(AC132=1,1,IF(I132=MAX($G132:$J132),4,IF(AC132=2,2,3)))))</f>
        <v>5</v>
      </c>
      <c r="AH132" s="82" t="n">
        <f aca="false">IF(NOT(ISNUMBER(J132)),0,IF($S132&lt;2,5,IF(AD132=1,1,IF(J132=MAX($G132:$J132),4,IF(AD132=2,2,3)))))</f>
        <v>0</v>
      </c>
      <c r="AI132" s="83" t="n">
        <f aca="false">IF($S132&gt;=2,IF(ISNUMBER(G132),G132*$F132,MIN($G132:$J132)*$F132),0)</f>
        <v>0</v>
      </c>
      <c r="AJ132" s="83" t="n">
        <f aca="false">IF($S132&gt;=2,IF(ISNUMBER(H132),H132*$F132,MIN($G132:$J132)*$F132),0)</f>
        <v>0</v>
      </c>
      <c r="AK132" s="83" t="n">
        <f aca="false">IF($S132&gt;=2,IF(ISNUMBER(I132),I132*$F132,MIN($G132:$J132)*$F132),0)</f>
        <v>0</v>
      </c>
      <c r="AL132" s="83" t="n">
        <f aca="false">IF($S132&gt;=2,IF(ISNUMBER(J132),J132*$F132,MIN($G132:$J132)*$F132),0)</f>
        <v>0</v>
      </c>
      <c r="AM132" s="84" t="str">
        <f aca="false">IF($S132&gt;=2,$R132+ROW()/1000000,"")</f>
        <v/>
      </c>
      <c r="AN132" s="83" t="str">
        <f aca="false">IF($S132&gt;=2,MAX(G132:J132),"")</f>
        <v/>
      </c>
      <c r="AO132" s="82" t="str">
        <f aca="false">IF($S132&gt;=2,INDEX($G$6:$J$6,MATCH(MAX(G132:J132),G132:J132,0)),"")</f>
        <v/>
      </c>
      <c r="AP132" s="83" t="n">
        <f aca="false">IF($S132&gt;=2,MIN(G132:J132)*$F132,0)</f>
        <v>0</v>
      </c>
      <c r="AQ132" s="82" t="str">
        <f aca="false">IF($S132&gt;=2,INDEX($G$6:$J$6,MATCH(MIN(G132:J132),G132:J132,0)),"")</f>
        <v/>
      </c>
    </row>
    <row r="133" customFormat="false" ht="15" hidden="false" customHeight="true" outlineLevel="0" collapsed="false">
      <c r="A133" s="70" t="s">
        <v>428</v>
      </c>
      <c r="B133" s="71" t="s">
        <v>130</v>
      </c>
      <c r="C133" s="72" t="s">
        <v>261</v>
      </c>
      <c r="D133" s="73" t="s">
        <v>429</v>
      </c>
      <c r="E133" s="74" t="s">
        <v>133</v>
      </c>
      <c r="F133" s="75" t="n">
        <v>7</v>
      </c>
      <c r="G133" s="85" t="s">
        <v>138</v>
      </c>
      <c r="H133" s="85" t="s">
        <v>138</v>
      </c>
      <c r="I133" s="76" t="n">
        <f aca="false">IF(COUNTIF('Quote Lines'!$P$3:$P$805,$A133&amp;"|"&amp;I$6&amp;"|1")=0,"—",SUMIFS('Quote Lines'!$O$3:$O$805,'Quote Lines'!$P$3:$P$805,$A133&amp;"|"&amp;I$6&amp;"|1")/SUMIFS('Quote Lines'!$L$3:$L$805,'Quote Lines'!$P$3:$P$805,$A133&amp;"|"&amp;I$6&amp;"|1"))</f>
        <v>24.25</v>
      </c>
      <c r="J133" s="76" t="n">
        <f aca="false">IF(COUNTIF('Quote Lines'!$P$3:$P$805,$A133&amp;"|"&amp;J$6&amp;"|1")=0,"—",SUMIFS('Quote Lines'!$O$3:$O$805,'Quote Lines'!$P$3:$P$805,$A133&amp;"|"&amp;J$6&amp;"|1")/SUMIFS('Quote Lines'!$L$3:$L$805,'Quote Lines'!$P$3:$P$805,$A133&amp;"|"&amp;J$6&amp;"|1"))</f>
        <v>20.5</v>
      </c>
      <c r="K133" s="14" t="str">
        <f aca="false">IF(ISNUMBER(G133),G133*$F133,"—")</f>
        <v>—</v>
      </c>
      <c r="L133" s="14" t="str">
        <f aca="false">IF(ISNUMBER(H133),H133*$F133,"—")</f>
        <v>—</v>
      </c>
      <c r="M133" s="14" t="n">
        <f aca="false">IF(ISNUMBER(I133),I133*$F133,"—")</f>
        <v>169.75</v>
      </c>
      <c r="N133" s="14" t="n">
        <f aca="false">IF(ISNUMBER(J133),J133*$F133,"—")</f>
        <v>143.5</v>
      </c>
      <c r="O133" s="77" t="n">
        <f aca="false">IF($S133=0,"—",MIN(G133:J133))</f>
        <v>20.5</v>
      </c>
      <c r="P133" s="42" t="str">
        <f aca="false">IF($S133=0,"—",IF(COUNTIF(G133:J133,O133)&gt;1,"Tie",INDEX($G$6:$J$6,MATCH(O133,G133:J133,0))))</f>
        <v>Scholzen</v>
      </c>
      <c r="Q133" s="48" t="n">
        <f aca="false">IF($S133&gt;=2,MAX(G133:J133)/MIN(G133:J133)-1,"—")</f>
        <v>0.182926829268293</v>
      </c>
      <c r="R133" s="78" t="n">
        <f aca="false">IF($S133&gt;=2,(MAX(G133:J133)-MIN(G133:J133))*$F133,"—")</f>
        <v>26.25</v>
      </c>
      <c r="S133" s="18" t="n">
        <f aca="false">COUNT(G133:J133)</f>
        <v>2</v>
      </c>
      <c r="T133" s="79" t="str">
        <f aca="false">IF($S133&lt;=1,IF($S133=1,"Single quote","—"),"Like-for-like")</f>
        <v>Like-for-like</v>
      </c>
      <c r="U133" s="79" t="str">
        <f aca="false">IF(COUNT(W133:Z133)&lt;2,"",IF(MAX(W133:Z133)=MIN(W133:Z133),"OK","Qty differs"))</f>
        <v>Qty differs</v>
      </c>
      <c r="V133" s="80"/>
      <c r="W133" s="81"/>
      <c r="X133" s="81"/>
      <c r="Y133" s="81" t="n">
        <f aca="false">IF(COUNTIFS('Quote Lines'!$P$3:$P$805,$A133&amp;"|"&amp;I$6&amp;"|1",'Quote Lines'!$M$3:$M$805,"Y")=0,"",SUMIFS('Quote Lines'!$L$3:$L$805,'Quote Lines'!$P$3:$P$805,$A133&amp;"|"&amp;I$6&amp;"|1",'Quote Lines'!$M$3:$M$805,"Y"))</f>
        <v>7</v>
      </c>
      <c r="Z133" s="81" t="n">
        <f aca="false">IF(COUNTIFS('Quote Lines'!$P$3:$P$805,$A133&amp;"|"&amp;J$6&amp;"|1",'Quote Lines'!$M$3:$M$805,"Y")=0,"",SUMIFS('Quote Lines'!$L$3:$L$805,'Quote Lines'!$P$3:$P$805,$A133&amp;"|"&amp;J$6&amp;"|1",'Quote Lines'!$M$3:$M$805,"Y"))</f>
        <v>1</v>
      </c>
      <c r="AA133" s="82" t="str">
        <f aca="false">IF(ISNUMBER(G133),1+SUMPRODUCT(ISNUMBER($G133:$J133)*($G133:$J133&lt;G133)),"")</f>
        <v/>
      </c>
      <c r="AB133" s="82" t="str">
        <f aca="false">IF(ISNUMBER(H133),1+SUMPRODUCT(ISNUMBER($G133:$J133)*($G133:$J133&lt;H133)),"")</f>
        <v/>
      </c>
      <c r="AC133" s="82" t="n">
        <f aca="false">IF(ISNUMBER(I133),1+SUMPRODUCT(ISNUMBER($G133:$J133)*($G133:$J133&lt;I133)),"")</f>
        <v>2</v>
      </c>
      <c r="AD133" s="82" t="n">
        <f aca="false">IF(ISNUMBER(J133),1+SUMPRODUCT(ISNUMBER($G133:$J133)*($G133:$J133&lt;J133)),"")</f>
        <v>1</v>
      </c>
      <c r="AE133" s="82" t="n">
        <f aca="false">IF(NOT(ISNUMBER(G133)),0,IF($S133&lt;2,5,IF(AA133=1,1,IF(G133=MAX($G133:$J133),4,IF(AA133=2,2,3)))))</f>
        <v>0</v>
      </c>
      <c r="AF133" s="82" t="n">
        <f aca="false">IF(NOT(ISNUMBER(H133)),0,IF($S133&lt;2,5,IF(AB133=1,1,IF(H133=MAX($G133:$J133),4,IF(AB133=2,2,3)))))</f>
        <v>0</v>
      </c>
      <c r="AG133" s="82" t="n">
        <f aca="false">IF(NOT(ISNUMBER(I133)),0,IF($S133&lt;2,5,IF(AC133=1,1,IF(I133=MAX($G133:$J133),4,IF(AC133=2,2,3)))))</f>
        <v>4</v>
      </c>
      <c r="AH133" s="82" t="n">
        <f aca="false">IF(NOT(ISNUMBER(J133)),0,IF($S133&lt;2,5,IF(AD133=1,1,IF(J133=MAX($G133:$J133),4,IF(AD133=2,2,3)))))</f>
        <v>1</v>
      </c>
      <c r="AI133" s="83" t="n">
        <f aca="false">IF($S133&gt;=2,IF(ISNUMBER(G133),G133*$F133,MIN($G133:$J133)*$F133),0)</f>
        <v>143.5</v>
      </c>
      <c r="AJ133" s="83" t="n">
        <f aca="false">IF($S133&gt;=2,IF(ISNUMBER(H133),H133*$F133,MIN($G133:$J133)*$F133),0)</f>
        <v>143.5</v>
      </c>
      <c r="AK133" s="83" t="n">
        <f aca="false">IF($S133&gt;=2,IF(ISNUMBER(I133),I133*$F133,MIN($G133:$J133)*$F133),0)</f>
        <v>169.75</v>
      </c>
      <c r="AL133" s="83" t="n">
        <f aca="false">IF($S133&gt;=2,IF(ISNUMBER(J133),J133*$F133,MIN($G133:$J133)*$F133),0)</f>
        <v>143.5</v>
      </c>
      <c r="AM133" s="84" t="n">
        <f aca="false">IF($S133&gt;=2,$R133+ROW()/1000000,"")</f>
        <v>26.250133</v>
      </c>
      <c r="AN133" s="83" t="n">
        <f aca="false">IF($S133&gt;=2,MAX(G133:J133),"")</f>
        <v>24.25</v>
      </c>
      <c r="AO133" s="82" t="str">
        <f aca="false">IF($S133&gt;=2,INDEX($G$6:$J$6,MATCH(MAX(G133:J133),G133:J133,0)),"")</f>
        <v>Mountainland</v>
      </c>
      <c r="AP133" s="83" t="n">
        <f aca="false">IF($S133&gt;=2,MIN(G133:J133)*$F133,0)</f>
        <v>143.5</v>
      </c>
      <c r="AQ133" s="82" t="str">
        <f aca="false">IF($S133&gt;=2,INDEX($G$6:$J$6,MATCH(MIN(G133:J133),G133:J133,0)),"")</f>
        <v>Scholzen</v>
      </c>
    </row>
    <row r="134" customFormat="false" ht="15" hidden="false" customHeight="true" outlineLevel="0" collapsed="false">
      <c r="A134" s="70" t="s">
        <v>430</v>
      </c>
      <c r="B134" s="71" t="s">
        <v>130</v>
      </c>
      <c r="C134" s="72" t="s">
        <v>261</v>
      </c>
      <c r="D134" s="73" t="s">
        <v>431</v>
      </c>
      <c r="E134" s="74" t="s">
        <v>133</v>
      </c>
      <c r="F134" s="75" t="n">
        <v>1</v>
      </c>
      <c r="G134" s="76" t="n">
        <f aca="false">IF(COUNTIF('Quote Lines'!$P$3:$P$805,$A134&amp;"|"&amp;G$6&amp;"|1")=0,"—",SUMIFS('Quote Lines'!$O$3:$O$805,'Quote Lines'!$P$3:$P$805,$A134&amp;"|"&amp;G$6&amp;"|1")/SUMIFS('Quote Lines'!$L$3:$L$805,'Quote Lines'!$P$3:$P$805,$A134&amp;"|"&amp;G$6&amp;"|1"))</f>
        <v>10.44</v>
      </c>
      <c r="H134" s="76" t="n">
        <f aca="false">IF(COUNTIF('Quote Lines'!$P$3:$P$805,$A134&amp;"|"&amp;H$6&amp;"|1")=0,"—",SUMIFS('Quote Lines'!$O$3:$O$805,'Quote Lines'!$P$3:$P$805,$A134&amp;"|"&amp;H$6&amp;"|1")/SUMIFS('Quote Lines'!$L$3:$L$805,'Quote Lines'!$P$3:$P$805,$A134&amp;"|"&amp;H$6&amp;"|1"))</f>
        <v>1.88</v>
      </c>
      <c r="I134" s="76" t="n">
        <f aca="false">IF(COUNTIF('Quote Lines'!$P$3:$P$805,$A134&amp;"|"&amp;I$6&amp;"|1")=0,"—",SUMIFS('Quote Lines'!$O$3:$O$805,'Quote Lines'!$P$3:$P$805,$A134&amp;"|"&amp;I$6&amp;"|1")/SUMIFS('Quote Lines'!$L$3:$L$805,'Quote Lines'!$P$3:$P$805,$A134&amp;"|"&amp;I$6&amp;"|1"))</f>
        <v>10.8</v>
      </c>
      <c r="J134" s="85" t="s">
        <v>138</v>
      </c>
      <c r="K134" s="14" t="n">
        <f aca="false">IF(ISNUMBER(G134),G134*$F134,"—")</f>
        <v>10.44</v>
      </c>
      <c r="L134" s="14" t="n">
        <f aca="false">IF(ISNUMBER(H134),H134*$F134,"—")</f>
        <v>1.88</v>
      </c>
      <c r="M134" s="14" t="n">
        <f aca="false">IF(ISNUMBER(I134),I134*$F134,"—")</f>
        <v>10.8</v>
      </c>
      <c r="N134" s="14" t="str">
        <f aca="false">IF(ISNUMBER(J134),J134*$F134,"—")</f>
        <v>—</v>
      </c>
      <c r="O134" s="77" t="n">
        <f aca="false">IF($S134=0,"—",MIN(G134:J134))</f>
        <v>1.88</v>
      </c>
      <c r="P134" s="42" t="str">
        <f aca="false">IF($S134=0,"—",IF(COUNTIF(G134:J134,O134)&gt;1,"Tie",INDEX($G$6:$J$6,MATCH(O134,G134:J134,0))))</f>
        <v>HD Fowler</v>
      </c>
      <c r="Q134" s="48" t="n">
        <f aca="false">IF($S134&gt;=2,MAX(G134:J134)/MIN(G134:J134)-1,"—")</f>
        <v>4.74468085106383</v>
      </c>
      <c r="R134" s="78" t="n">
        <f aca="false">IF($S134&gt;=2,(MAX(G134:J134)-MIN(G134:J134))*$F134,"—")</f>
        <v>8.92</v>
      </c>
      <c r="S134" s="18" t="n">
        <f aca="false">COUNT(G134:J134)</f>
        <v>3</v>
      </c>
      <c r="T134" s="79" t="str">
        <f aca="false">IF($S134&lt;=1,IF($S134=1,"Single quote","—"),"Alt spec – verify")</f>
        <v>Alt spec – verify</v>
      </c>
      <c r="U134" s="79" t="str">
        <f aca="false">IF(COUNT(W134:Z134)&lt;2,"",IF(MAX(W134:Z134)=MIN(W134:Z134),"OK","Qty differs"))</f>
        <v>Qty differs</v>
      </c>
      <c r="V134" s="80" t="s">
        <v>432</v>
      </c>
      <c r="W134" s="81" t="n">
        <f aca="false">IF(COUNTIFS('Quote Lines'!$P$3:$P$805,$A134&amp;"|"&amp;G$6&amp;"|1",'Quote Lines'!$M$3:$M$805,"Y")=0,"",SUMIFS('Quote Lines'!$L$3:$L$805,'Quote Lines'!$P$3:$P$805,$A134&amp;"|"&amp;G$6&amp;"|1",'Quote Lines'!$M$3:$M$805,"Y"))</f>
        <v>2</v>
      </c>
      <c r="X134" s="81" t="n">
        <f aca="false">IF(COUNTIFS('Quote Lines'!$P$3:$P$805,$A134&amp;"|"&amp;H$6&amp;"|1",'Quote Lines'!$M$3:$M$805,"Y")=0,"",SUMIFS('Quote Lines'!$L$3:$L$805,'Quote Lines'!$P$3:$P$805,$A134&amp;"|"&amp;H$6&amp;"|1",'Quote Lines'!$M$3:$M$805,"Y"))</f>
        <v>1</v>
      </c>
      <c r="Y134" s="81" t="n">
        <f aca="false">IF(COUNTIFS('Quote Lines'!$P$3:$P$805,$A134&amp;"|"&amp;I$6&amp;"|1",'Quote Lines'!$M$3:$M$805,"Y")=0,"",SUMIFS('Quote Lines'!$L$3:$L$805,'Quote Lines'!$P$3:$P$805,$A134&amp;"|"&amp;I$6&amp;"|1",'Quote Lines'!$M$3:$M$805,"Y"))</f>
        <v>1</v>
      </c>
      <c r="Z134" s="81"/>
      <c r="AA134" s="82" t="n">
        <f aca="false">IF(ISNUMBER(G134),1+SUMPRODUCT(ISNUMBER($G134:$J134)*($G134:$J134&lt;G134)),"")</f>
        <v>2</v>
      </c>
      <c r="AB134" s="82" t="n">
        <f aca="false">IF(ISNUMBER(H134),1+SUMPRODUCT(ISNUMBER($G134:$J134)*($G134:$J134&lt;H134)),"")</f>
        <v>1</v>
      </c>
      <c r="AC134" s="82" t="n">
        <f aca="false">IF(ISNUMBER(I134),1+SUMPRODUCT(ISNUMBER($G134:$J134)*($G134:$J134&lt;I134)),"")</f>
        <v>3</v>
      </c>
      <c r="AD134" s="82" t="str">
        <f aca="false">IF(ISNUMBER(J134),1+SUMPRODUCT(ISNUMBER($G134:$J134)*($G134:$J134&lt;J134)),"")</f>
        <v/>
      </c>
      <c r="AE134" s="82" t="n">
        <f aca="false">IF(NOT(ISNUMBER(G134)),0,IF($S134&lt;2,5,IF(AA134=1,1,IF(G134=MAX($G134:$J134),4,IF(AA134=2,2,3)))))</f>
        <v>2</v>
      </c>
      <c r="AF134" s="82" t="n">
        <f aca="false">IF(NOT(ISNUMBER(H134)),0,IF($S134&lt;2,5,IF(AB134=1,1,IF(H134=MAX($G134:$J134),4,IF(AB134=2,2,3)))))</f>
        <v>1</v>
      </c>
      <c r="AG134" s="82" t="n">
        <f aca="false">IF(NOT(ISNUMBER(I134)),0,IF($S134&lt;2,5,IF(AC134=1,1,IF(I134=MAX($G134:$J134),4,IF(AC134=2,2,3)))))</f>
        <v>4</v>
      </c>
      <c r="AH134" s="82" t="n">
        <f aca="false">IF(NOT(ISNUMBER(J134)),0,IF($S134&lt;2,5,IF(AD134=1,1,IF(J134=MAX($G134:$J134),4,IF(AD134=2,2,3)))))</f>
        <v>0</v>
      </c>
      <c r="AI134" s="83" t="n">
        <f aca="false">IF($S134&gt;=2,IF(ISNUMBER(G134),G134*$F134,MIN($G134:$J134)*$F134),0)</f>
        <v>10.44</v>
      </c>
      <c r="AJ134" s="83" t="n">
        <f aca="false">IF($S134&gt;=2,IF(ISNUMBER(H134),H134*$F134,MIN($G134:$J134)*$F134),0)</f>
        <v>1.88</v>
      </c>
      <c r="AK134" s="83" t="n">
        <f aca="false">IF($S134&gt;=2,IF(ISNUMBER(I134),I134*$F134,MIN($G134:$J134)*$F134),0)</f>
        <v>10.8</v>
      </c>
      <c r="AL134" s="83" t="n">
        <f aca="false">IF($S134&gt;=2,IF(ISNUMBER(J134),J134*$F134,MIN($G134:$J134)*$F134),0)</f>
        <v>1.88</v>
      </c>
      <c r="AM134" s="84" t="n">
        <f aca="false">IF($S134&gt;=2,$R134+ROW()/1000000,"")</f>
        <v>8.920134</v>
      </c>
      <c r="AN134" s="83" t="n">
        <f aca="false">IF($S134&gt;=2,MAX(G134:J134),"")</f>
        <v>10.8</v>
      </c>
      <c r="AO134" s="82" t="str">
        <f aca="false">IF($S134&gt;=2,INDEX($G$6:$J$6,MATCH(MAX(G134:J134),G134:J134,0)),"")</f>
        <v>Mountainland</v>
      </c>
      <c r="AP134" s="83" t="n">
        <f aca="false">IF($S134&gt;=2,MIN(G134:J134)*$F134,0)</f>
        <v>1.88</v>
      </c>
      <c r="AQ134" s="82" t="str">
        <f aca="false">IF($S134&gt;=2,INDEX($G$6:$J$6,MATCH(MIN(G134:J134),G134:J134,0)),"")</f>
        <v>HD Fowler</v>
      </c>
    </row>
    <row r="135" customFormat="false" ht="15" hidden="false" customHeight="true" outlineLevel="0" collapsed="false">
      <c r="A135" s="70" t="s">
        <v>433</v>
      </c>
      <c r="B135" s="71" t="s">
        <v>130</v>
      </c>
      <c r="C135" s="72" t="s">
        <v>261</v>
      </c>
      <c r="D135" s="73" t="s">
        <v>434</v>
      </c>
      <c r="E135" s="74" t="s">
        <v>133</v>
      </c>
      <c r="F135" s="75" t="n">
        <v>2</v>
      </c>
      <c r="G135" s="76" t="n">
        <f aca="false">IF(COUNTIF('Quote Lines'!$P$3:$P$805,$A135&amp;"|"&amp;G$6&amp;"|1")=0,"—",SUMIFS('Quote Lines'!$O$3:$O$805,'Quote Lines'!$P$3:$P$805,$A135&amp;"|"&amp;G$6&amp;"|1")/SUMIFS('Quote Lines'!$L$3:$L$805,'Quote Lines'!$P$3:$P$805,$A135&amp;"|"&amp;G$6&amp;"|1"))</f>
        <v>112.7</v>
      </c>
      <c r="H135" s="85" t="s">
        <v>138</v>
      </c>
      <c r="I135" s="85" t="s">
        <v>138</v>
      </c>
      <c r="J135" s="85" t="s">
        <v>138</v>
      </c>
      <c r="K135" s="14" t="n">
        <f aca="false">IF(ISNUMBER(G135),G135*$F135,"—")</f>
        <v>225.4</v>
      </c>
      <c r="L135" s="14" t="str">
        <f aca="false">IF(ISNUMBER(H135),H135*$F135,"—")</f>
        <v>—</v>
      </c>
      <c r="M135" s="14" t="str">
        <f aca="false">IF(ISNUMBER(I135),I135*$F135,"—")</f>
        <v>—</v>
      </c>
      <c r="N135" s="14" t="str">
        <f aca="false">IF(ISNUMBER(J135),J135*$F135,"—")</f>
        <v>—</v>
      </c>
      <c r="O135" s="77" t="n">
        <f aca="false">IF($S135=0,"—",MIN(G135:J135))</f>
        <v>112.7</v>
      </c>
      <c r="P135" s="42" t="str">
        <f aca="false">IF($S135=0,"—",IF(COUNTIF(G135:J135,O135)&gt;1,"Tie",INDEX($G$6:$J$6,MATCH(O135,G135:J135,0))))</f>
        <v>Ferguson</v>
      </c>
      <c r="Q135" s="48" t="str">
        <f aca="false">IF($S135&gt;=2,MAX(G135:J135)/MIN(G135:J135)-1,"—")</f>
        <v>—</v>
      </c>
      <c r="R135" s="78" t="str">
        <f aca="false">IF($S135&gt;=2,(MAX(G135:J135)-MIN(G135:J135))*$F135,"—")</f>
        <v>—</v>
      </c>
      <c r="S135" s="18" t="n">
        <f aca="false">COUNT(G135:J135)</f>
        <v>1</v>
      </c>
      <c r="T135" s="79" t="str">
        <f aca="false">IF($S135&lt;=1,IF($S135=1,"Single quote","—"),"Like-for-like")</f>
        <v>Single quote</v>
      </c>
      <c r="U135" s="79" t="str">
        <f aca="false">IF(COUNT(W135:Z135)&lt;2,"",IF(MAX(W135:Z135)=MIN(W135:Z135),"OK","Qty differs"))</f>
        <v/>
      </c>
      <c r="V135" s="80"/>
      <c r="W135" s="81" t="n">
        <f aca="false">IF(COUNTIFS('Quote Lines'!$P$3:$P$805,$A135&amp;"|"&amp;G$6&amp;"|1",'Quote Lines'!$M$3:$M$805,"Y")=0,"",SUMIFS('Quote Lines'!$L$3:$L$805,'Quote Lines'!$P$3:$P$805,$A135&amp;"|"&amp;G$6&amp;"|1",'Quote Lines'!$M$3:$M$805,"Y"))</f>
        <v>2</v>
      </c>
      <c r="X135" s="81"/>
      <c r="Y135" s="81"/>
      <c r="Z135" s="81"/>
      <c r="AA135" s="82" t="n">
        <f aca="false">IF(ISNUMBER(G135),1+SUMPRODUCT(ISNUMBER($G135:$J135)*($G135:$J135&lt;G135)),"")</f>
        <v>1</v>
      </c>
      <c r="AB135" s="82" t="str">
        <f aca="false">IF(ISNUMBER(H135),1+SUMPRODUCT(ISNUMBER($G135:$J135)*($G135:$J135&lt;H135)),"")</f>
        <v/>
      </c>
      <c r="AC135" s="82" t="str">
        <f aca="false">IF(ISNUMBER(I135),1+SUMPRODUCT(ISNUMBER($G135:$J135)*($G135:$J135&lt;I135)),"")</f>
        <v/>
      </c>
      <c r="AD135" s="82" t="str">
        <f aca="false">IF(ISNUMBER(J135),1+SUMPRODUCT(ISNUMBER($G135:$J135)*($G135:$J135&lt;J135)),"")</f>
        <v/>
      </c>
      <c r="AE135" s="82" t="n">
        <f aca="false">IF(NOT(ISNUMBER(G135)),0,IF($S135&lt;2,5,IF(AA135=1,1,IF(G135=MAX($G135:$J135),4,IF(AA135=2,2,3)))))</f>
        <v>5</v>
      </c>
      <c r="AF135" s="82" t="n">
        <f aca="false">IF(NOT(ISNUMBER(H135)),0,IF($S135&lt;2,5,IF(AB135=1,1,IF(H135=MAX($G135:$J135),4,IF(AB135=2,2,3)))))</f>
        <v>0</v>
      </c>
      <c r="AG135" s="82" t="n">
        <f aca="false">IF(NOT(ISNUMBER(I135)),0,IF($S135&lt;2,5,IF(AC135=1,1,IF(I135=MAX($G135:$J135),4,IF(AC135=2,2,3)))))</f>
        <v>0</v>
      </c>
      <c r="AH135" s="82" t="n">
        <f aca="false">IF(NOT(ISNUMBER(J135)),0,IF($S135&lt;2,5,IF(AD135=1,1,IF(J135=MAX($G135:$J135),4,IF(AD135=2,2,3)))))</f>
        <v>0</v>
      </c>
      <c r="AI135" s="83" t="n">
        <f aca="false">IF($S135&gt;=2,IF(ISNUMBER(G135),G135*$F135,MIN($G135:$J135)*$F135),0)</f>
        <v>0</v>
      </c>
      <c r="AJ135" s="83" t="n">
        <f aca="false">IF($S135&gt;=2,IF(ISNUMBER(H135),H135*$F135,MIN($G135:$J135)*$F135),0)</f>
        <v>0</v>
      </c>
      <c r="AK135" s="83" t="n">
        <f aca="false">IF($S135&gt;=2,IF(ISNUMBER(I135),I135*$F135,MIN($G135:$J135)*$F135),0)</f>
        <v>0</v>
      </c>
      <c r="AL135" s="83" t="n">
        <f aca="false">IF($S135&gt;=2,IF(ISNUMBER(J135),J135*$F135,MIN($G135:$J135)*$F135),0)</f>
        <v>0</v>
      </c>
      <c r="AM135" s="84" t="str">
        <f aca="false">IF($S135&gt;=2,$R135+ROW()/1000000,"")</f>
        <v/>
      </c>
      <c r="AN135" s="83" t="str">
        <f aca="false">IF($S135&gt;=2,MAX(G135:J135),"")</f>
        <v/>
      </c>
      <c r="AO135" s="82" t="str">
        <f aca="false">IF($S135&gt;=2,INDEX($G$6:$J$6,MATCH(MAX(G135:J135),G135:J135,0)),"")</f>
        <v/>
      </c>
      <c r="AP135" s="83" t="n">
        <f aca="false">IF($S135&gt;=2,MIN(G135:J135)*$F135,0)</f>
        <v>0</v>
      </c>
      <c r="AQ135" s="82" t="str">
        <f aca="false">IF($S135&gt;=2,INDEX($G$6:$J$6,MATCH(MIN(G135:J135),G135:J135,0)),"")</f>
        <v/>
      </c>
    </row>
    <row r="136" customFormat="false" ht="15" hidden="false" customHeight="true" outlineLevel="0" collapsed="false">
      <c r="A136" s="70" t="s">
        <v>435</v>
      </c>
      <c r="B136" s="71" t="s">
        <v>130</v>
      </c>
      <c r="C136" s="72" t="s">
        <v>261</v>
      </c>
      <c r="D136" s="73" t="s">
        <v>436</v>
      </c>
      <c r="E136" s="74" t="s">
        <v>133</v>
      </c>
      <c r="F136" s="75" t="n">
        <v>2</v>
      </c>
      <c r="G136" s="76" t="n">
        <f aca="false">IF(COUNTIF('Quote Lines'!$P$3:$P$805,$A136&amp;"|"&amp;G$6&amp;"|1")=0,"—",SUMIFS('Quote Lines'!$O$3:$O$805,'Quote Lines'!$P$3:$P$805,$A136&amp;"|"&amp;G$6&amp;"|1")/SUMIFS('Quote Lines'!$L$3:$L$805,'Quote Lines'!$P$3:$P$805,$A136&amp;"|"&amp;G$6&amp;"|1"))</f>
        <v>60.9</v>
      </c>
      <c r="H136" s="85" t="s">
        <v>138</v>
      </c>
      <c r="I136" s="85" t="s">
        <v>138</v>
      </c>
      <c r="J136" s="85" t="s">
        <v>138</v>
      </c>
      <c r="K136" s="14" t="n">
        <f aca="false">IF(ISNUMBER(G136),G136*$F136,"—")</f>
        <v>121.8</v>
      </c>
      <c r="L136" s="14" t="str">
        <f aca="false">IF(ISNUMBER(H136),H136*$F136,"—")</f>
        <v>—</v>
      </c>
      <c r="M136" s="14" t="str">
        <f aca="false">IF(ISNUMBER(I136),I136*$F136,"—")</f>
        <v>—</v>
      </c>
      <c r="N136" s="14" t="str">
        <f aca="false">IF(ISNUMBER(J136),J136*$F136,"—")</f>
        <v>—</v>
      </c>
      <c r="O136" s="77" t="n">
        <f aca="false">IF($S136=0,"—",MIN(G136:J136))</f>
        <v>60.9</v>
      </c>
      <c r="P136" s="42" t="str">
        <f aca="false">IF($S136=0,"—",IF(COUNTIF(G136:J136,O136)&gt;1,"Tie",INDEX($G$6:$J$6,MATCH(O136,G136:J136,0))))</f>
        <v>Ferguson</v>
      </c>
      <c r="Q136" s="48" t="str">
        <f aca="false">IF($S136&gt;=2,MAX(G136:J136)/MIN(G136:J136)-1,"—")</f>
        <v>—</v>
      </c>
      <c r="R136" s="78" t="str">
        <f aca="false">IF($S136&gt;=2,(MAX(G136:J136)-MIN(G136:J136))*$F136,"—")</f>
        <v>—</v>
      </c>
      <c r="S136" s="18" t="n">
        <f aca="false">COUNT(G136:J136)</f>
        <v>1</v>
      </c>
      <c r="T136" s="79" t="str">
        <f aca="false">IF($S136&lt;=1,IF($S136=1,"Single quote","—"),"Like-for-like")</f>
        <v>Single quote</v>
      </c>
      <c r="U136" s="79" t="str">
        <f aca="false">IF(COUNT(W136:Z136)&lt;2,"",IF(MAX(W136:Z136)=MIN(W136:Z136),"OK","Qty differs"))</f>
        <v/>
      </c>
      <c r="V136" s="80"/>
      <c r="W136" s="81" t="n">
        <f aca="false">IF(COUNTIFS('Quote Lines'!$P$3:$P$805,$A136&amp;"|"&amp;G$6&amp;"|1",'Quote Lines'!$M$3:$M$805,"Y")=0,"",SUMIFS('Quote Lines'!$L$3:$L$805,'Quote Lines'!$P$3:$P$805,$A136&amp;"|"&amp;G$6&amp;"|1",'Quote Lines'!$M$3:$M$805,"Y"))</f>
        <v>2</v>
      </c>
      <c r="X136" s="81"/>
      <c r="Y136" s="81"/>
      <c r="Z136" s="81"/>
      <c r="AA136" s="82" t="n">
        <f aca="false">IF(ISNUMBER(G136),1+SUMPRODUCT(ISNUMBER($G136:$J136)*($G136:$J136&lt;G136)),"")</f>
        <v>1</v>
      </c>
      <c r="AB136" s="82" t="str">
        <f aca="false">IF(ISNUMBER(H136),1+SUMPRODUCT(ISNUMBER($G136:$J136)*($G136:$J136&lt;H136)),"")</f>
        <v/>
      </c>
      <c r="AC136" s="82" t="str">
        <f aca="false">IF(ISNUMBER(I136),1+SUMPRODUCT(ISNUMBER($G136:$J136)*($G136:$J136&lt;I136)),"")</f>
        <v/>
      </c>
      <c r="AD136" s="82" t="str">
        <f aca="false">IF(ISNUMBER(J136),1+SUMPRODUCT(ISNUMBER($G136:$J136)*($G136:$J136&lt;J136)),"")</f>
        <v/>
      </c>
      <c r="AE136" s="82" t="n">
        <f aca="false">IF(NOT(ISNUMBER(G136)),0,IF($S136&lt;2,5,IF(AA136=1,1,IF(G136=MAX($G136:$J136),4,IF(AA136=2,2,3)))))</f>
        <v>5</v>
      </c>
      <c r="AF136" s="82" t="n">
        <f aca="false">IF(NOT(ISNUMBER(H136)),0,IF($S136&lt;2,5,IF(AB136=1,1,IF(H136=MAX($G136:$J136),4,IF(AB136=2,2,3)))))</f>
        <v>0</v>
      </c>
      <c r="AG136" s="82" t="n">
        <f aca="false">IF(NOT(ISNUMBER(I136)),0,IF($S136&lt;2,5,IF(AC136=1,1,IF(I136=MAX($G136:$J136),4,IF(AC136=2,2,3)))))</f>
        <v>0</v>
      </c>
      <c r="AH136" s="82" t="n">
        <f aca="false">IF(NOT(ISNUMBER(J136)),0,IF($S136&lt;2,5,IF(AD136=1,1,IF(J136=MAX($G136:$J136),4,IF(AD136=2,2,3)))))</f>
        <v>0</v>
      </c>
      <c r="AI136" s="83" t="n">
        <f aca="false">IF($S136&gt;=2,IF(ISNUMBER(G136),G136*$F136,MIN($G136:$J136)*$F136),0)</f>
        <v>0</v>
      </c>
      <c r="AJ136" s="83" t="n">
        <f aca="false">IF($S136&gt;=2,IF(ISNUMBER(H136),H136*$F136,MIN($G136:$J136)*$F136),0)</f>
        <v>0</v>
      </c>
      <c r="AK136" s="83" t="n">
        <f aca="false">IF($S136&gt;=2,IF(ISNUMBER(I136),I136*$F136,MIN($G136:$J136)*$F136),0)</f>
        <v>0</v>
      </c>
      <c r="AL136" s="83" t="n">
        <f aca="false">IF($S136&gt;=2,IF(ISNUMBER(J136),J136*$F136,MIN($G136:$J136)*$F136),0)</f>
        <v>0</v>
      </c>
      <c r="AM136" s="84" t="str">
        <f aca="false">IF($S136&gt;=2,$R136+ROW()/1000000,"")</f>
        <v/>
      </c>
      <c r="AN136" s="83" t="str">
        <f aca="false">IF($S136&gt;=2,MAX(G136:J136),"")</f>
        <v/>
      </c>
      <c r="AO136" s="82" t="str">
        <f aca="false">IF($S136&gt;=2,INDEX($G$6:$J$6,MATCH(MAX(G136:J136),G136:J136,0)),"")</f>
        <v/>
      </c>
      <c r="AP136" s="83" t="n">
        <f aca="false">IF($S136&gt;=2,MIN(G136:J136)*$F136,0)</f>
        <v>0</v>
      </c>
      <c r="AQ136" s="82" t="str">
        <f aca="false">IF($S136&gt;=2,INDEX($G$6:$J$6,MATCH(MIN(G136:J136),G136:J136,0)),"")</f>
        <v/>
      </c>
    </row>
    <row r="137" customFormat="false" ht="15" hidden="false" customHeight="true" outlineLevel="0" collapsed="false">
      <c r="A137" s="70" t="s">
        <v>437</v>
      </c>
      <c r="B137" s="71" t="s">
        <v>130</v>
      </c>
      <c r="C137" s="72" t="s">
        <v>261</v>
      </c>
      <c r="D137" s="73" t="s">
        <v>438</v>
      </c>
      <c r="E137" s="74" t="s">
        <v>133</v>
      </c>
      <c r="F137" s="75" t="n">
        <v>6</v>
      </c>
      <c r="G137" s="76" t="n">
        <f aca="false">IF(COUNTIF('Quote Lines'!$P$3:$P$805,$A137&amp;"|"&amp;G$6&amp;"|1")=0,"—",SUMIFS('Quote Lines'!$O$3:$O$805,'Quote Lines'!$P$3:$P$805,$A137&amp;"|"&amp;G$6&amp;"|1")/SUMIFS('Quote Lines'!$L$3:$L$805,'Quote Lines'!$P$3:$P$805,$A137&amp;"|"&amp;G$6&amp;"|1"))</f>
        <v>272.2</v>
      </c>
      <c r="H137" s="85" t="s">
        <v>138</v>
      </c>
      <c r="I137" s="85" t="s">
        <v>138</v>
      </c>
      <c r="J137" s="85" t="s">
        <v>138</v>
      </c>
      <c r="K137" s="14" t="n">
        <f aca="false">IF(ISNUMBER(G137),G137*$F137,"—")</f>
        <v>1633.2</v>
      </c>
      <c r="L137" s="14" t="str">
        <f aca="false">IF(ISNUMBER(H137),H137*$F137,"—")</f>
        <v>—</v>
      </c>
      <c r="M137" s="14" t="str">
        <f aca="false">IF(ISNUMBER(I137),I137*$F137,"—")</f>
        <v>—</v>
      </c>
      <c r="N137" s="14" t="str">
        <f aca="false">IF(ISNUMBER(J137),J137*$F137,"—")</f>
        <v>—</v>
      </c>
      <c r="O137" s="77" t="n">
        <f aca="false">IF($S137=0,"—",MIN(G137:J137))</f>
        <v>272.2</v>
      </c>
      <c r="P137" s="42" t="str">
        <f aca="false">IF($S137=0,"—",IF(COUNTIF(G137:J137,O137)&gt;1,"Tie",INDEX($G$6:$J$6,MATCH(O137,G137:J137,0))))</f>
        <v>Ferguson</v>
      </c>
      <c r="Q137" s="48" t="str">
        <f aca="false">IF($S137&gt;=2,MAX(G137:J137)/MIN(G137:J137)-1,"—")</f>
        <v>—</v>
      </c>
      <c r="R137" s="78" t="str">
        <f aca="false">IF($S137&gt;=2,(MAX(G137:J137)-MIN(G137:J137))*$F137,"—")</f>
        <v>—</v>
      </c>
      <c r="S137" s="18" t="n">
        <f aca="false">COUNT(G137:J137)</f>
        <v>1</v>
      </c>
      <c r="T137" s="79" t="str">
        <f aca="false">IF($S137&lt;=1,IF($S137=1,"Single quote","—"),"Like-for-like")</f>
        <v>Single quote</v>
      </c>
      <c r="U137" s="79" t="str">
        <f aca="false">IF(COUNT(W137:Z137)&lt;2,"",IF(MAX(W137:Z137)=MIN(W137:Z137),"OK","Qty differs"))</f>
        <v/>
      </c>
      <c r="V137" s="80"/>
      <c r="W137" s="81" t="n">
        <f aca="false">IF(COUNTIFS('Quote Lines'!$P$3:$P$805,$A137&amp;"|"&amp;G$6&amp;"|1",'Quote Lines'!$M$3:$M$805,"Y")=0,"",SUMIFS('Quote Lines'!$L$3:$L$805,'Quote Lines'!$P$3:$P$805,$A137&amp;"|"&amp;G$6&amp;"|1",'Quote Lines'!$M$3:$M$805,"Y"))</f>
        <v>6</v>
      </c>
      <c r="X137" s="81"/>
      <c r="Y137" s="81"/>
      <c r="Z137" s="81"/>
      <c r="AA137" s="82" t="n">
        <f aca="false">IF(ISNUMBER(G137),1+SUMPRODUCT(ISNUMBER($G137:$J137)*($G137:$J137&lt;G137)),"")</f>
        <v>1</v>
      </c>
      <c r="AB137" s="82" t="str">
        <f aca="false">IF(ISNUMBER(H137),1+SUMPRODUCT(ISNUMBER($G137:$J137)*($G137:$J137&lt;H137)),"")</f>
        <v/>
      </c>
      <c r="AC137" s="82" t="str">
        <f aca="false">IF(ISNUMBER(I137),1+SUMPRODUCT(ISNUMBER($G137:$J137)*($G137:$J137&lt;I137)),"")</f>
        <v/>
      </c>
      <c r="AD137" s="82" t="str">
        <f aca="false">IF(ISNUMBER(J137),1+SUMPRODUCT(ISNUMBER($G137:$J137)*($G137:$J137&lt;J137)),"")</f>
        <v/>
      </c>
      <c r="AE137" s="82" t="n">
        <f aca="false">IF(NOT(ISNUMBER(G137)),0,IF($S137&lt;2,5,IF(AA137=1,1,IF(G137=MAX($G137:$J137),4,IF(AA137=2,2,3)))))</f>
        <v>5</v>
      </c>
      <c r="AF137" s="82" t="n">
        <f aca="false">IF(NOT(ISNUMBER(H137)),0,IF($S137&lt;2,5,IF(AB137=1,1,IF(H137=MAX($G137:$J137),4,IF(AB137=2,2,3)))))</f>
        <v>0</v>
      </c>
      <c r="AG137" s="82" t="n">
        <f aca="false">IF(NOT(ISNUMBER(I137)),0,IF($S137&lt;2,5,IF(AC137=1,1,IF(I137=MAX($G137:$J137),4,IF(AC137=2,2,3)))))</f>
        <v>0</v>
      </c>
      <c r="AH137" s="82" t="n">
        <f aca="false">IF(NOT(ISNUMBER(J137)),0,IF($S137&lt;2,5,IF(AD137=1,1,IF(J137=MAX($G137:$J137),4,IF(AD137=2,2,3)))))</f>
        <v>0</v>
      </c>
      <c r="AI137" s="83" t="n">
        <f aca="false">IF($S137&gt;=2,IF(ISNUMBER(G137),G137*$F137,MIN($G137:$J137)*$F137),0)</f>
        <v>0</v>
      </c>
      <c r="AJ137" s="83" t="n">
        <f aca="false">IF($S137&gt;=2,IF(ISNUMBER(H137),H137*$F137,MIN($G137:$J137)*$F137),0)</f>
        <v>0</v>
      </c>
      <c r="AK137" s="83" t="n">
        <f aca="false">IF($S137&gt;=2,IF(ISNUMBER(I137),I137*$F137,MIN($G137:$J137)*$F137),0)</f>
        <v>0</v>
      </c>
      <c r="AL137" s="83" t="n">
        <f aca="false">IF($S137&gt;=2,IF(ISNUMBER(J137),J137*$F137,MIN($G137:$J137)*$F137),0)</f>
        <v>0</v>
      </c>
      <c r="AM137" s="84" t="str">
        <f aca="false">IF($S137&gt;=2,$R137+ROW()/1000000,"")</f>
        <v/>
      </c>
      <c r="AN137" s="83" t="str">
        <f aca="false">IF($S137&gt;=2,MAX(G137:J137),"")</f>
        <v/>
      </c>
      <c r="AO137" s="82" t="str">
        <f aca="false">IF($S137&gt;=2,INDEX($G$6:$J$6,MATCH(MAX(G137:J137),G137:J137,0)),"")</f>
        <v/>
      </c>
      <c r="AP137" s="83" t="n">
        <f aca="false">IF($S137&gt;=2,MIN(G137:J137)*$F137,0)</f>
        <v>0</v>
      </c>
      <c r="AQ137" s="82" t="str">
        <f aca="false">IF($S137&gt;=2,INDEX($G$6:$J$6,MATCH(MIN(G137:J137),G137:J137,0)),"")</f>
        <v/>
      </c>
    </row>
    <row r="138" customFormat="false" ht="15" hidden="false" customHeight="true" outlineLevel="0" collapsed="false">
      <c r="A138" s="70" t="s">
        <v>439</v>
      </c>
      <c r="B138" s="71" t="s">
        <v>130</v>
      </c>
      <c r="C138" s="72" t="s">
        <v>261</v>
      </c>
      <c r="D138" s="73" t="s">
        <v>440</v>
      </c>
      <c r="E138" s="74" t="s">
        <v>133</v>
      </c>
      <c r="F138" s="75" t="n">
        <v>1</v>
      </c>
      <c r="G138" s="85" t="s">
        <v>138</v>
      </c>
      <c r="H138" s="85" t="s">
        <v>138</v>
      </c>
      <c r="I138" s="76" t="n">
        <f aca="false">IF(COUNTIF('Quote Lines'!$P$3:$P$805,$A138&amp;"|"&amp;I$6&amp;"|1")=0,"—",SUMIFS('Quote Lines'!$O$3:$O$805,'Quote Lines'!$P$3:$P$805,$A138&amp;"|"&amp;I$6&amp;"|1")/SUMIFS('Quote Lines'!$L$3:$L$805,'Quote Lines'!$P$3:$P$805,$A138&amp;"|"&amp;I$6&amp;"|1"))</f>
        <v>27.12</v>
      </c>
      <c r="J138" s="85" t="s">
        <v>138</v>
      </c>
      <c r="K138" s="14" t="str">
        <f aca="false">IF(ISNUMBER(G138),G138*$F138,"—")</f>
        <v>—</v>
      </c>
      <c r="L138" s="14" t="str">
        <f aca="false">IF(ISNUMBER(H138),H138*$F138,"—")</f>
        <v>—</v>
      </c>
      <c r="M138" s="14" t="n">
        <f aca="false">IF(ISNUMBER(I138),I138*$F138,"—")</f>
        <v>27.12</v>
      </c>
      <c r="N138" s="14" t="str">
        <f aca="false">IF(ISNUMBER(J138),J138*$F138,"—")</f>
        <v>—</v>
      </c>
      <c r="O138" s="77" t="n">
        <f aca="false">IF($S138=0,"—",MIN(G138:J138))</f>
        <v>27.12</v>
      </c>
      <c r="P138" s="42" t="str">
        <f aca="false">IF($S138=0,"—",IF(COUNTIF(G138:J138,O138)&gt;1,"Tie",INDEX($G$6:$J$6,MATCH(O138,G138:J138,0))))</f>
        <v>Mountainland</v>
      </c>
      <c r="Q138" s="48" t="str">
        <f aca="false">IF($S138&gt;=2,MAX(G138:J138)/MIN(G138:J138)-1,"—")</f>
        <v>—</v>
      </c>
      <c r="R138" s="78" t="str">
        <f aca="false">IF($S138&gt;=2,(MAX(G138:J138)-MIN(G138:J138))*$F138,"—")</f>
        <v>—</v>
      </c>
      <c r="S138" s="18" t="n">
        <f aca="false">COUNT(G138:J138)</f>
        <v>1</v>
      </c>
      <c r="T138" s="79" t="str">
        <f aca="false">IF($S138&lt;=1,IF($S138=1,"Single quote","—"),"Like-for-like")</f>
        <v>Single quote</v>
      </c>
      <c r="U138" s="79" t="str">
        <f aca="false">IF(COUNT(W138:Z138)&lt;2,"",IF(MAX(W138:Z138)=MIN(W138:Z138),"OK","Qty differs"))</f>
        <v/>
      </c>
      <c r="V138" s="80"/>
      <c r="W138" s="81"/>
      <c r="X138" s="81"/>
      <c r="Y138" s="81" t="n">
        <f aca="false">IF(COUNTIFS('Quote Lines'!$P$3:$P$805,$A138&amp;"|"&amp;I$6&amp;"|1",'Quote Lines'!$M$3:$M$805,"Y")=0,"",SUMIFS('Quote Lines'!$L$3:$L$805,'Quote Lines'!$P$3:$P$805,$A138&amp;"|"&amp;I$6&amp;"|1",'Quote Lines'!$M$3:$M$805,"Y"))</f>
        <v>1</v>
      </c>
      <c r="Z138" s="81"/>
      <c r="AA138" s="82" t="str">
        <f aca="false">IF(ISNUMBER(G138),1+SUMPRODUCT(ISNUMBER($G138:$J138)*($G138:$J138&lt;G138)),"")</f>
        <v/>
      </c>
      <c r="AB138" s="82" t="str">
        <f aca="false">IF(ISNUMBER(H138),1+SUMPRODUCT(ISNUMBER($G138:$J138)*($G138:$J138&lt;H138)),"")</f>
        <v/>
      </c>
      <c r="AC138" s="82" t="n">
        <f aca="false">IF(ISNUMBER(I138),1+SUMPRODUCT(ISNUMBER($G138:$J138)*($G138:$J138&lt;I138)),"")</f>
        <v>1</v>
      </c>
      <c r="AD138" s="82" t="str">
        <f aca="false">IF(ISNUMBER(J138),1+SUMPRODUCT(ISNUMBER($G138:$J138)*($G138:$J138&lt;J138)),"")</f>
        <v/>
      </c>
      <c r="AE138" s="82" t="n">
        <f aca="false">IF(NOT(ISNUMBER(G138)),0,IF($S138&lt;2,5,IF(AA138=1,1,IF(G138=MAX($G138:$J138),4,IF(AA138=2,2,3)))))</f>
        <v>0</v>
      </c>
      <c r="AF138" s="82" t="n">
        <f aca="false">IF(NOT(ISNUMBER(H138)),0,IF($S138&lt;2,5,IF(AB138=1,1,IF(H138=MAX($G138:$J138),4,IF(AB138=2,2,3)))))</f>
        <v>0</v>
      </c>
      <c r="AG138" s="82" t="n">
        <f aca="false">IF(NOT(ISNUMBER(I138)),0,IF($S138&lt;2,5,IF(AC138=1,1,IF(I138=MAX($G138:$J138),4,IF(AC138=2,2,3)))))</f>
        <v>5</v>
      </c>
      <c r="AH138" s="82" t="n">
        <f aca="false">IF(NOT(ISNUMBER(J138)),0,IF($S138&lt;2,5,IF(AD138=1,1,IF(J138=MAX($G138:$J138),4,IF(AD138=2,2,3)))))</f>
        <v>0</v>
      </c>
      <c r="AI138" s="83" t="n">
        <f aca="false">IF($S138&gt;=2,IF(ISNUMBER(G138),G138*$F138,MIN($G138:$J138)*$F138),0)</f>
        <v>0</v>
      </c>
      <c r="AJ138" s="83" t="n">
        <f aca="false">IF($S138&gt;=2,IF(ISNUMBER(H138),H138*$F138,MIN($G138:$J138)*$F138),0)</f>
        <v>0</v>
      </c>
      <c r="AK138" s="83" t="n">
        <f aca="false">IF($S138&gt;=2,IF(ISNUMBER(I138),I138*$F138,MIN($G138:$J138)*$F138),0)</f>
        <v>0</v>
      </c>
      <c r="AL138" s="83" t="n">
        <f aca="false">IF($S138&gt;=2,IF(ISNUMBER(J138),J138*$F138,MIN($G138:$J138)*$F138),0)</f>
        <v>0</v>
      </c>
      <c r="AM138" s="84" t="str">
        <f aca="false">IF($S138&gt;=2,$R138+ROW()/1000000,"")</f>
        <v/>
      </c>
      <c r="AN138" s="83" t="str">
        <f aca="false">IF($S138&gt;=2,MAX(G138:J138),"")</f>
        <v/>
      </c>
      <c r="AO138" s="82" t="str">
        <f aca="false">IF($S138&gt;=2,INDEX($G$6:$J$6,MATCH(MAX(G138:J138),G138:J138,0)),"")</f>
        <v/>
      </c>
      <c r="AP138" s="83" t="n">
        <f aca="false">IF($S138&gt;=2,MIN(G138:J138)*$F138,0)</f>
        <v>0</v>
      </c>
      <c r="AQ138" s="82" t="str">
        <f aca="false">IF($S138&gt;=2,INDEX($G$6:$J$6,MATCH(MIN(G138:J138),G138:J138,0)),"")</f>
        <v/>
      </c>
    </row>
    <row r="139" customFormat="false" ht="15" hidden="false" customHeight="true" outlineLevel="0" collapsed="false">
      <c r="A139" s="70" t="s">
        <v>441</v>
      </c>
      <c r="B139" s="71" t="s">
        <v>130</v>
      </c>
      <c r="C139" s="72" t="s">
        <v>261</v>
      </c>
      <c r="D139" s="73" t="s">
        <v>442</v>
      </c>
      <c r="E139" s="74" t="s">
        <v>133</v>
      </c>
      <c r="F139" s="75" t="n">
        <v>1</v>
      </c>
      <c r="G139" s="85" t="s">
        <v>138</v>
      </c>
      <c r="H139" s="85" t="s">
        <v>138</v>
      </c>
      <c r="I139" s="76" t="n">
        <f aca="false">IF(COUNTIF('Quote Lines'!$P$3:$P$805,$A139&amp;"|"&amp;I$6&amp;"|1")=0,"—",SUMIFS('Quote Lines'!$O$3:$O$805,'Quote Lines'!$P$3:$P$805,$A139&amp;"|"&amp;I$6&amp;"|1")/SUMIFS('Quote Lines'!$L$3:$L$805,'Quote Lines'!$P$3:$P$805,$A139&amp;"|"&amp;I$6&amp;"|1"))</f>
        <v>2.31</v>
      </c>
      <c r="J139" s="85" t="s">
        <v>138</v>
      </c>
      <c r="K139" s="14" t="str">
        <f aca="false">IF(ISNUMBER(G139),G139*$F139,"—")</f>
        <v>—</v>
      </c>
      <c r="L139" s="14" t="str">
        <f aca="false">IF(ISNUMBER(H139),H139*$F139,"—")</f>
        <v>—</v>
      </c>
      <c r="M139" s="14" t="n">
        <f aca="false">IF(ISNUMBER(I139),I139*$F139,"—")</f>
        <v>2.31</v>
      </c>
      <c r="N139" s="14" t="str">
        <f aca="false">IF(ISNUMBER(J139),J139*$F139,"—")</f>
        <v>—</v>
      </c>
      <c r="O139" s="77" t="n">
        <f aca="false">IF($S139=0,"—",MIN(G139:J139))</f>
        <v>2.31</v>
      </c>
      <c r="P139" s="42" t="str">
        <f aca="false">IF($S139=0,"—",IF(COUNTIF(G139:J139,O139)&gt;1,"Tie",INDEX($G$6:$J$6,MATCH(O139,G139:J139,0))))</f>
        <v>Mountainland</v>
      </c>
      <c r="Q139" s="48" t="str">
        <f aca="false">IF($S139&gt;=2,MAX(G139:J139)/MIN(G139:J139)-1,"—")</f>
        <v>—</v>
      </c>
      <c r="R139" s="78" t="str">
        <f aca="false">IF($S139&gt;=2,(MAX(G139:J139)-MIN(G139:J139))*$F139,"—")</f>
        <v>—</v>
      </c>
      <c r="S139" s="18" t="n">
        <f aca="false">COUNT(G139:J139)</f>
        <v>1</v>
      </c>
      <c r="T139" s="79" t="str">
        <f aca="false">IF($S139&lt;=1,IF($S139=1,"Single quote","—"),"Like-for-like")</f>
        <v>Single quote</v>
      </c>
      <c r="U139" s="79" t="str">
        <f aca="false">IF(COUNT(W139:Z139)&lt;2,"",IF(MAX(W139:Z139)=MIN(W139:Z139),"OK","Qty differs"))</f>
        <v/>
      </c>
      <c r="V139" s="80"/>
      <c r="W139" s="81"/>
      <c r="X139" s="81"/>
      <c r="Y139" s="81" t="n">
        <f aca="false">IF(COUNTIFS('Quote Lines'!$P$3:$P$805,$A139&amp;"|"&amp;I$6&amp;"|1",'Quote Lines'!$M$3:$M$805,"Y")=0,"",SUMIFS('Quote Lines'!$L$3:$L$805,'Quote Lines'!$P$3:$P$805,$A139&amp;"|"&amp;I$6&amp;"|1",'Quote Lines'!$M$3:$M$805,"Y"))</f>
        <v>1</v>
      </c>
      <c r="Z139" s="81"/>
      <c r="AA139" s="82" t="str">
        <f aca="false">IF(ISNUMBER(G139),1+SUMPRODUCT(ISNUMBER($G139:$J139)*($G139:$J139&lt;G139)),"")</f>
        <v/>
      </c>
      <c r="AB139" s="82" t="str">
        <f aca="false">IF(ISNUMBER(H139),1+SUMPRODUCT(ISNUMBER($G139:$J139)*($G139:$J139&lt;H139)),"")</f>
        <v/>
      </c>
      <c r="AC139" s="82" t="n">
        <f aca="false">IF(ISNUMBER(I139),1+SUMPRODUCT(ISNUMBER($G139:$J139)*($G139:$J139&lt;I139)),"")</f>
        <v>1</v>
      </c>
      <c r="AD139" s="82" t="str">
        <f aca="false">IF(ISNUMBER(J139),1+SUMPRODUCT(ISNUMBER($G139:$J139)*($G139:$J139&lt;J139)),"")</f>
        <v/>
      </c>
      <c r="AE139" s="82" t="n">
        <f aca="false">IF(NOT(ISNUMBER(G139)),0,IF($S139&lt;2,5,IF(AA139=1,1,IF(G139=MAX($G139:$J139),4,IF(AA139=2,2,3)))))</f>
        <v>0</v>
      </c>
      <c r="AF139" s="82" t="n">
        <f aca="false">IF(NOT(ISNUMBER(H139)),0,IF($S139&lt;2,5,IF(AB139=1,1,IF(H139=MAX($G139:$J139),4,IF(AB139=2,2,3)))))</f>
        <v>0</v>
      </c>
      <c r="AG139" s="82" t="n">
        <f aca="false">IF(NOT(ISNUMBER(I139)),0,IF($S139&lt;2,5,IF(AC139=1,1,IF(I139=MAX($G139:$J139),4,IF(AC139=2,2,3)))))</f>
        <v>5</v>
      </c>
      <c r="AH139" s="82" t="n">
        <f aca="false">IF(NOT(ISNUMBER(J139)),0,IF($S139&lt;2,5,IF(AD139=1,1,IF(J139=MAX($G139:$J139),4,IF(AD139=2,2,3)))))</f>
        <v>0</v>
      </c>
      <c r="AI139" s="83" t="n">
        <f aca="false">IF($S139&gt;=2,IF(ISNUMBER(G139),G139*$F139,MIN($G139:$J139)*$F139),0)</f>
        <v>0</v>
      </c>
      <c r="AJ139" s="83" t="n">
        <f aca="false">IF($S139&gt;=2,IF(ISNUMBER(H139),H139*$F139,MIN($G139:$J139)*$F139),0)</f>
        <v>0</v>
      </c>
      <c r="AK139" s="83" t="n">
        <f aca="false">IF($S139&gt;=2,IF(ISNUMBER(I139),I139*$F139,MIN($G139:$J139)*$F139),0)</f>
        <v>0</v>
      </c>
      <c r="AL139" s="83" t="n">
        <f aca="false">IF($S139&gt;=2,IF(ISNUMBER(J139),J139*$F139,MIN($G139:$J139)*$F139),0)</f>
        <v>0</v>
      </c>
      <c r="AM139" s="84" t="str">
        <f aca="false">IF($S139&gt;=2,$R139+ROW()/1000000,"")</f>
        <v/>
      </c>
      <c r="AN139" s="83" t="str">
        <f aca="false">IF($S139&gt;=2,MAX(G139:J139),"")</f>
        <v/>
      </c>
      <c r="AO139" s="82" t="str">
        <f aca="false">IF($S139&gt;=2,INDEX($G$6:$J$6,MATCH(MAX(G139:J139),G139:J139,0)),"")</f>
        <v/>
      </c>
      <c r="AP139" s="83" t="n">
        <f aca="false">IF($S139&gt;=2,MIN(G139:J139)*$F139,0)</f>
        <v>0</v>
      </c>
      <c r="AQ139" s="82" t="str">
        <f aca="false">IF($S139&gt;=2,INDEX($G$6:$J$6,MATCH(MIN(G139:J139),G139:J139,0)),"")</f>
        <v/>
      </c>
    </row>
    <row r="140" customFormat="false" ht="15" hidden="false" customHeight="true" outlineLevel="0" collapsed="false">
      <c r="A140" s="70" t="s">
        <v>443</v>
      </c>
      <c r="B140" s="71" t="s">
        <v>130</v>
      </c>
      <c r="C140" s="72" t="s">
        <v>261</v>
      </c>
      <c r="D140" s="73" t="s">
        <v>444</v>
      </c>
      <c r="E140" s="74" t="s">
        <v>178</v>
      </c>
      <c r="F140" s="75" t="n">
        <v>100</v>
      </c>
      <c r="G140" s="85" t="s">
        <v>138</v>
      </c>
      <c r="H140" s="85" t="s">
        <v>138</v>
      </c>
      <c r="I140" s="76" t="n">
        <f aca="false">IF(COUNTIF('Quote Lines'!$P$3:$P$805,$A140&amp;"|"&amp;I$6&amp;"|1")=0,"—",SUMIFS('Quote Lines'!$O$3:$O$805,'Quote Lines'!$P$3:$P$805,$A140&amp;"|"&amp;I$6&amp;"|1")/SUMIFS('Quote Lines'!$L$3:$L$805,'Quote Lines'!$P$3:$P$805,$A140&amp;"|"&amp;I$6&amp;"|1"))</f>
        <v>0.7582</v>
      </c>
      <c r="J140" s="85" t="s">
        <v>138</v>
      </c>
      <c r="K140" s="14" t="str">
        <f aca="false">IF(ISNUMBER(G140),G140*$F140,"—")</f>
        <v>—</v>
      </c>
      <c r="L140" s="14" t="str">
        <f aca="false">IF(ISNUMBER(H140),H140*$F140,"—")</f>
        <v>—</v>
      </c>
      <c r="M140" s="14" t="n">
        <f aca="false">IF(ISNUMBER(I140),I140*$F140,"—")</f>
        <v>75.82</v>
      </c>
      <c r="N140" s="14" t="str">
        <f aca="false">IF(ISNUMBER(J140),J140*$F140,"—")</f>
        <v>—</v>
      </c>
      <c r="O140" s="77" t="n">
        <f aca="false">IF($S140=0,"—",MIN(G140:J140))</f>
        <v>0.7582</v>
      </c>
      <c r="P140" s="42" t="str">
        <f aca="false">IF($S140=0,"—",IF(COUNTIF(G140:J140,O140)&gt;1,"Tie",INDEX($G$6:$J$6,MATCH(O140,G140:J140,0))))</f>
        <v>Mountainland</v>
      </c>
      <c r="Q140" s="48" t="str">
        <f aca="false">IF($S140&gt;=2,MAX(G140:J140)/MIN(G140:J140)-1,"—")</f>
        <v>—</v>
      </c>
      <c r="R140" s="78" t="str">
        <f aca="false">IF($S140&gt;=2,(MAX(G140:J140)-MIN(G140:J140))*$F140,"—")</f>
        <v>—</v>
      </c>
      <c r="S140" s="18" t="n">
        <f aca="false">COUNT(G140:J140)</f>
        <v>1</v>
      </c>
      <c r="T140" s="79" t="str">
        <f aca="false">IF($S140&lt;=1,IF($S140=1,"Single quote","—"),"Like-for-like")</f>
        <v>Single quote</v>
      </c>
      <c r="U140" s="79" t="str">
        <f aca="false">IF(COUNT(W140:Z140)&lt;2,"",IF(MAX(W140:Z140)=MIN(W140:Z140),"OK","Qty differs"))</f>
        <v/>
      </c>
      <c r="V140" s="80"/>
      <c r="W140" s="81"/>
      <c r="X140" s="81"/>
      <c r="Y140" s="81" t="n">
        <f aca="false">IF(COUNTIFS('Quote Lines'!$P$3:$P$805,$A140&amp;"|"&amp;I$6&amp;"|1",'Quote Lines'!$M$3:$M$805,"Y")=0,"",SUMIFS('Quote Lines'!$L$3:$L$805,'Quote Lines'!$P$3:$P$805,$A140&amp;"|"&amp;I$6&amp;"|1",'Quote Lines'!$M$3:$M$805,"Y"))</f>
        <v>100</v>
      </c>
      <c r="Z140" s="81"/>
      <c r="AA140" s="82" t="str">
        <f aca="false">IF(ISNUMBER(G140),1+SUMPRODUCT(ISNUMBER($G140:$J140)*($G140:$J140&lt;G140)),"")</f>
        <v/>
      </c>
      <c r="AB140" s="82" t="str">
        <f aca="false">IF(ISNUMBER(H140),1+SUMPRODUCT(ISNUMBER($G140:$J140)*($G140:$J140&lt;H140)),"")</f>
        <v/>
      </c>
      <c r="AC140" s="82" t="n">
        <f aca="false">IF(ISNUMBER(I140),1+SUMPRODUCT(ISNUMBER($G140:$J140)*($G140:$J140&lt;I140)),"")</f>
        <v>1</v>
      </c>
      <c r="AD140" s="82" t="str">
        <f aca="false">IF(ISNUMBER(J140),1+SUMPRODUCT(ISNUMBER($G140:$J140)*($G140:$J140&lt;J140)),"")</f>
        <v/>
      </c>
      <c r="AE140" s="82" t="n">
        <f aca="false">IF(NOT(ISNUMBER(G140)),0,IF($S140&lt;2,5,IF(AA140=1,1,IF(G140=MAX($G140:$J140),4,IF(AA140=2,2,3)))))</f>
        <v>0</v>
      </c>
      <c r="AF140" s="82" t="n">
        <f aca="false">IF(NOT(ISNUMBER(H140)),0,IF($S140&lt;2,5,IF(AB140=1,1,IF(H140=MAX($G140:$J140),4,IF(AB140=2,2,3)))))</f>
        <v>0</v>
      </c>
      <c r="AG140" s="82" t="n">
        <f aca="false">IF(NOT(ISNUMBER(I140)),0,IF($S140&lt;2,5,IF(AC140=1,1,IF(I140=MAX($G140:$J140),4,IF(AC140=2,2,3)))))</f>
        <v>5</v>
      </c>
      <c r="AH140" s="82" t="n">
        <f aca="false">IF(NOT(ISNUMBER(J140)),0,IF($S140&lt;2,5,IF(AD140=1,1,IF(J140=MAX($G140:$J140),4,IF(AD140=2,2,3)))))</f>
        <v>0</v>
      </c>
      <c r="AI140" s="83" t="n">
        <f aca="false">IF($S140&gt;=2,IF(ISNUMBER(G140),G140*$F140,MIN($G140:$J140)*$F140),0)</f>
        <v>0</v>
      </c>
      <c r="AJ140" s="83" t="n">
        <f aca="false">IF($S140&gt;=2,IF(ISNUMBER(H140),H140*$F140,MIN($G140:$J140)*$F140),0)</f>
        <v>0</v>
      </c>
      <c r="AK140" s="83" t="n">
        <f aca="false">IF($S140&gt;=2,IF(ISNUMBER(I140),I140*$F140,MIN($G140:$J140)*$F140),0)</f>
        <v>0</v>
      </c>
      <c r="AL140" s="83" t="n">
        <f aca="false">IF($S140&gt;=2,IF(ISNUMBER(J140),J140*$F140,MIN($G140:$J140)*$F140),0)</f>
        <v>0</v>
      </c>
      <c r="AM140" s="84" t="str">
        <f aca="false">IF($S140&gt;=2,$R140+ROW()/1000000,"")</f>
        <v/>
      </c>
      <c r="AN140" s="83" t="str">
        <f aca="false">IF($S140&gt;=2,MAX(G140:J140),"")</f>
        <v/>
      </c>
      <c r="AO140" s="82" t="str">
        <f aca="false">IF($S140&gt;=2,INDEX($G$6:$J$6,MATCH(MAX(G140:J140),G140:J140,0)),"")</f>
        <v/>
      </c>
      <c r="AP140" s="83" t="n">
        <f aca="false">IF($S140&gt;=2,MIN(G140:J140)*$F140,0)</f>
        <v>0</v>
      </c>
      <c r="AQ140" s="82" t="str">
        <f aca="false">IF($S140&gt;=2,INDEX($G$6:$J$6,MATCH(MIN(G140:J140),G140:J140,0)),"")</f>
        <v/>
      </c>
    </row>
    <row r="141" customFormat="false" ht="15" hidden="false" customHeight="true" outlineLevel="0" collapsed="false">
      <c r="A141" s="70" t="s">
        <v>445</v>
      </c>
      <c r="B141" s="71" t="s">
        <v>130</v>
      </c>
      <c r="C141" s="72" t="s">
        <v>340</v>
      </c>
      <c r="D141" s="73" t="s">
        <v>446</v>
      </c>
      <c r="E141" s="74" t="s">
        <v>178</v>
      </c>
      <c r="F141" s="75" t="n">
        <v>100</v>
      </c>
      <c r="G141" s="85" t="s">
        <v>138</v>
      </c>
      <c r="H141" s="85" t="s">
        <v>138</v>
      </c>
      <c r="I141" s="85" t="s">
        <v>138</v>
      </c>
      <c r="J141" s="76" t="n">
        <f aca="false">IF(COUNTIF('Quote Lines'!$P$3:$P$805,$A141&amp;"|"&amp;J$6&amp;"|1")=0,"—",SUMIFS('Quote Lines'!$O$3:$O$805,'Quote Lines'!$P$3:$P$805,$A141&amp;"|"&amp;J$6&amp;"|1")/SUMIFS('Quote Lines'!$L$3:$L$805,'Quote Lines'!$P$3:$P$805,$A141&amp;"|"&amp;J$6&amp;"|1"))</f>
        <v>0.75</v>
      </c>
      <c r="K141" s="14" t="str">
        <f aca="false">IF(ISNUMBER(G141),G141*$F141,"—")</f>
        <v>—</v>
      </c>
      <c r="L141" s="14" t="str">
        <f aca="false">IF(ISNUMBER(H141),H141*$F141,"—")</f>
        <v>—</v>
      </c>
      <c r="M141" s="14" t="str">
        <f aca="false">IF(ISNUMBER(I141),I141*$F141,"—")</f>
        <v>—</v>
      </c>
      <c r="N141" s="14" t="n">
        <f aca="false">IF(ISNUMBER(J141),J141*$F141,"—")</f>
        <v>75</v>
      </c>
      <c r="O141" s="77" t="n">
        <f aca="false">IF($S141=0,"—",MIN(G141:J141))</f>
        <v>0.75</v>
      </c>
      <c r="P141" s="42" t="str">
        <f aca="false">IF($S141=0,"—",IF(COUNTIF(G141:J141,O141)&gt;1,"Tie",INDEX($G$6:$J$6,MATCH(O141,G141:J141,0))))</f>
        <v>Scholzen</v>
      </c>
      <c r="Q141" s="48" t="str">
        <f aca="false">IF($S141&gt;=2,MAX(G141:J141)/MIN(G141:J141)-1,"—")</f>
        <v>—</v>
      </c>
      <c r="R141" s="78" t="str">
        <f aca="false">IF($S141&gt;=2,(MAX(G141:J141)-MIN(G141:J141))*$F141,"—")</f>
        <v>—</v>
      </c>
      <c r="S141" s="18" t="n">
        <f aca="false">COUNT(G141:J141)</f>
        <v>1</v>
      </c>
      <c r="T141" s="79" t="str">
        <f aca="false">IF($S141&lt;=1,IF($S141=1,"Single quote","—"),"Like-for-like")</f>
        <v>Single quote</v>
      </c>
      <c r="U141" s="79" t="str">
        <f aca="false">IF(COUNT(W141:Z141)&lt;2,"",IF(MAX(W141:Z141)=MIN(W141:Z141),"OK","Qty differs"))</f>
        <v/>
      </c>
      <c r="V141" s="80"/>
      <c r="W141" s="81"/>
      <c r="X141" s="81"/>
      <c r="Y141" s="81"/>
      <c r="Z141" s="81" t="n">
        <f aca="false">IF(COUNTIFS('Quote Lines'!$P$3:$P$805,$A141&amp;"|"&amp;J$6&amp;"|1",'Quote Lines'!$M$3:$M$805,"Y")=0,"",SUMIFS('Quote Lines'!$L$3:$L$805,'Quote Lines'!$P$3:$P$805,$A141&amp;"|"&amp;J$6&amp;"|1",'Quote Lines'!$M$3:$M$805,"Y"))</f>
        <v>100</v>
      </c>
      <c r="AA141" s="82" t="str">
        <f aca="false">IF(ISNUMBER(G141),1+SUMPRODUCT(ISNUMBER($G141:$J141)*($G141:$J141&lt;G141)),"")</f>
        <v/>
      </c>
      <c r="AB141" s="82" t="str">
        <f aca="false">IF(ISNUMBER(H141),1+SUMPRODUCT(ISNUMBER($G141:$J141)*($G141:$J141&lt;H141)),"")</f>
        <v/>
      </c>
      <c r="AC141" s="82" t="str">
        <f aca="false">IF(ISNUMBER(I141),1+SUMPRODUCT(ISNUMBER($G141:$J141)*($G141:$J141&lt;I141)),"")</f>
        <v/>
      </c>
      <c r="AD141" s="82" t="n">
        <f aca="false">IF(ISNUMBER(J141),1+SUMPRODUCT(ISNUMBER($G141:$J141)*($G141:$J141&lt;J141)),"")</f>
        <v>1</v>
      </c>
      <c r="AE141" s="82" t="n">
        <f aca="false">IF(NOT(ISNUMBER(G141)),0,IF($S141&lt;2,5,IF(AA141=1,1,IF(G141=MAX($G141:$J141),4,IF(AA141=2,2,3)))))</f>
        <v>0</v>
      </c>
      <c r="AF141" s="82" t="n">
        <f aca="false">IF(NOT(ISNUMBER(H141)),0,IF($S141&lt;2,5,IF(AB141=1,1,IF(H141=MAX($G141:$J141),4,IF(AB141=2,2,3)))))</f>
        <v>0</v>
      </c>
      <c r="AG141" s="82" t="n">
        <f aca="false">IF(NOT(ISNUMBER(I141)),0,IF($S141&lt;2,5,IF(AC141=1,1,IF(I141=MAX($G141:$J141),4,IF(AC141=2,2,3)))))</f>
        <v>0</v>
      </c>
      <c r="AH141" s="82" t="n">
        <f aca="false">IF(NOT(ISNUMBER(J141)),0,IF($S141&lt;2,5,IF(AD141=1,1,IF(J141=MAX($G141:$J141),4,IF(AD141=2,2,3)))))</f>
        <v>5</v>
      </c>
      <c r="AI141" s="83" t="n">
        <f aca="false">IF($S141&gt;=2,IF(ISNUMBER(G141),G141*$F141,MIN($G141:$J141)*$F141),0)</f>
        <v>0</v>
      </c>
      <c r="AJ141" s="83" t="n">
        <f aca="false">IF($S141&gt;=2,IF(ISNUMBER(H141),H141*$F141,MIN($G141:$J141)*$F141),0)</f>
        <v>0</v>
      </c>
      <c r="AK141" s="83" t="n">
        <f aca="false">IF($S141&gt;=2,IF(ISNUMBER(I141),I141*$F141,MIN($G141:$J141)*$F141),0)</f>
        <v>0</v>
      </c>
      <c r="AL141" s="83" t="n">
        <f aca="false">IF($S141&gt;=2,IF(ISNUMBER(J141),J141*$F141,MIN($G141:$J141)*$F141),0)</f>
        <v>0</v>
      </c>
      <c r="AM141" s="84" t="str">
        <f aca="false">IF($S141&gt;=2,$R141+ROW()/1000000,"")</f>
        <v/>
      </c>
      <c r="AN141" s="83" t="str">
        <f aca="false">IF($S141&gt;=2,MAX(G141:J141),"")</f>
        <v/>
      </c>
      <c r="AO141" s="82" t="str">
        <f aca="false">IF($S141&gt;=2,INDEX($G$6:$J$6,MATCH(MAX(G141:J141),G141:J141,0)),"")</f>
        <v/>
      </c>
      <c r="AP141" s="83" t="n">
        <f aca="false">IF($S141&gt;=2,MIN(G141:J141)*$F141,0)</f>
        <v>0</v>
      </c>
      <c r="AQ141" s="82" t="str">
        <f aca="false">IF($S141&gt;=2,INDEX($G$6:$J$6,MATCH(MIN(G141:J141),G141:J141,0)),"")</f>
        <v/>
      </c>
    </row>
    <row r="142" customFormat="false" ht="15" hidden="false" customHeight="true" outlineLevel="0" collapsed="false">
      <c r="A142" s="70" t="s">
        <v>447</v>
      </c>
      <c r="B142" s="71" t="s">
        <v>130</v>
      </c>
      <c r="C142" s="72" t="s">
        <v>340</v>
      </c>
      <c r="D142" s="73" t="s">
        <v>448</v>
      </c>
      <c r="E142" s="74" t="s">
        <v>178</v>
      </c>
      <c r="F142" s="75" t="n">
        <v>20</v>
      </c>
      <c r="G142" s="85" t="s">
        <v>138</v>
      </c>
      <c r="H142" s="85" t="s">
        <v>138</v>
      </c>
      <c r="I142" s="85" t="s">
        <v>138</v>
      </c>
      <c r="J142" s="76" t="n">
        <f aca="false">IF(COUNTIF('Quote Lines'!$P$3:$P$805,$A142&amp;"|"&amp;J$6&amp;"|1")=0,"—",SUMIFS('Quote Lines'!$O$3:$O$805,'Quote Lines'!$P$3:$P$805,$A142&amp;"|"&amp;J$6&amp;"|1")/SUMIFS('Quote Lines'!$L$3:$L$805,'Quote Lines'!$P$3:$P$805,$A142&amp;"|"&amp;J$6&amp;"|1"))</f>
        <v>2.36</v>
      </c>
      <c r="K142" s="14" t="str">
        <f aca="false">IF(ISNUMBER(G142),G142*$F142,"—")</f>
        <v>—</v>
      </c>
      <c r="L142" s="14" t="str">
        <f aca="false">IF(ISNUMBER(H142),H142*$F142,"—")</f>
        <v>—</v>
      </c>
      <c r="M142" s="14" t="str">
        <f aca="false">IF(ISNUMBER(I142),I142*$F142,"—")</f>
        <v>—</v>
      </c>
      <c r="N142" s="14" t="n">
        <f aca="false">IF(ISNUMBER(J142),J142*$F142,"—")</f>
        <v>47.2</v>
      </c>
      <c r="O142" s="77" t="n">
        <f aca="false">IF($S142=0,"—",MIN(G142:J142))</f>
        <v>2.36</v>
      </c>
      <c r="P142" s="42" t="str">
        <f aca="false">IF($S142=0,"—",IF(COUNTIF(G142:J142,O142)&gt;1,"Tie",INDEX($G$6:$J$6,MATCH(O142,G142:J142,0))))</f>
        <v>Scholzen</v>
      </c>
      <c r="Q142" s="48" t="str">
        <f aca="false">IF($S142&gt;=2,MAX(G142:J142)/MIN(G142:J142)-1,"—")</f>
        <v>—</v>
      </c>
      <c r="R142" s="78" t="str">
        <f aca="false">IF($S142&gt;=2,(MAX(G142:J142)-MIN(G142:J142))*$F142,"—")</f>
        <v>—</v>
      </c>
      <c r="S142" s="18" t="n">
        <f aca="false">COUNT(G142:J142)</f>
        <v>1</v>
      </c>
      <c r="T142" s="79" t="str">
        <f aca="false">IF($S142&lt;=1,IF($S142=1,"Single quote","—"),"Like-for-like")</f>
        <v>Single quote</v>
      </c>
      <c r="U142" s="79" t="str">
        <f aca="false">IF(COUNT(W142:Z142)&lt;2,"",IF(MAX(W142:Z142)=MIN(W142:Z142),"OK","Qty differs"))</f>
        <v/>
      </c>
      <c r="V142" s="80"/>
      <c r="W142" s="81"/>
      <c r="X142" s="81"/>
      <c r="Y142" s="81"/>
      <c r="Z142" s="81" t="n">
        <f aca="false">IF(COUNTIFS('Quote Lines'!$P$3:$P$805,$A142&amp;"|"&amp;J$6&amp;"|1",'Quote Lines'!$M$3:$M$805,"Y")=0,"",SUMIFS('Quote Lines'!$L$3:$L$805,'Quote Lines'!$P$3:$P$805,$A142&amp;"|"&amp;J$6&amp;"|1",'Quote Lines'!$M$3:$M$805,"Y"))</f>
        <v>20</v>
      </c>
      <c r="AA142" s="82" t="str">
        <f aca="false">IF(ISNUMBER(G142),1+SUMPRODUCT(ISNUMBER($G142:$J142)*($G142:$J142&lt;G142)),"")</f>
        <v/>
      </c>
      <c r="AB142" s="82" t="str">
        <f aca="false">IF(ISNUMBER(H142),1+SUMPRODUCT(ISNUMBER($G142:$J142)*($G142:$J142&lt;H142)),"")</f>
        <v/>
      </c>
      <c r="AC142" s="82" t="str">
        <f aca="false">IF(ISNUMBER(I142),1+SUMPRODUCT(ISNUMBER($G142:$J142)*($G142:$J142&lt;I142)),"")</f>
        <v/>
      </c>
      <c r="AD142" s="82" t="n">
        <f aca="false">IF(ISNUMBER(J142),1+SUMPRODUCT(ISNUMBER($G142:$J142)*($G142:$J142&lt;J142)),"")</f>
        <v>1</v>
      </c>
      <c r="AE142" s="82" t="n">
        <f aca="false">IF(NOT(ISNUMBER(G142)),0,IF($S142&lt;2,5,IF(AA142=1,1,IF(G142=MAX($G142:$J142),4,IF(AA142=2,2,3)))))</f>
        <v>0</v>
      </c>
      <c r="AF142" s="82" t="n">
        <f aca="false">IF(NOT(ISNUMBER(H142)),0,IF($S142&lt;2,5,IF(AB142=1,1,IF(H142=MAX($G142:$J142),4,IF(AB142=2,2,3)))))</f>
        <v>0</v>
      </c>
      <c r="AG142" s="82" t="n">
        <f aca="false">IF(NOT(ISNUMBER(I142)),0,IF($S142&lt;2,5,IF(AC142=1,1,IF(I142=MAX($G142:$J142),4,IF(AC142=2,2,3)))))</f>
        <v>0</v>
      </c>
      <c r="AH142" s="82" t="n">
        <f aca="false">IF(NOT(ISNUMBER(J142)),0,IF($S142&lt;2,5,IF(AD142=1,1,IF(J142=MAX($G142:$J142),4,IF(AD142=2,2,3)))))</f>
        <v>5</v>
      </c>
      <c r="AI142" s="83" t="n">
        <f aca="false">IF($S142&gt;=2,IF(ISNUMBER(G142),G142*$F142,MIN($G142:$J142)*$F142),0)</f>
        <v>0</v>
      </c>
      <c r="AJ142" s="83" t="n">
        <f aca="false">IF($S142&gt;=2,IF(ISNUMBER(H142),H142*$F142,MIN($G142:$J142)*$F142),0)</f>
        <v>0</v>
      </c>
      <c r="AK142" s="83" t="n">
        <f aca="false">IF($S142&gt;=2,IF(ISNUMBER(I142),I142*$F142,MIN($G142:$J142)*$F142),0)</f>
        <v>0</v>
      </c>
      <c r="AL142" s="83" t="n">
        <f aca="false">IF($S142&gt;=2,IF(ISNUMBER(J142),J142*$F142,MIN($G142:$J142)*$F142),0)</f>
        <v>0</v>
      </c>
      <c r="AM142" s="84" t="str">
        <f aca="false">IF($S142&gt;=2,$R142+ROW()/1000000,"")</f>
        <v/>
      </c>
      <c r="AN142" s="83" t="str">
        <f aca="false">IF($S142&gt;=2,MAX(G142:J142),"")</f>
        <v/>
      </c>
      <c r="AO142" s="82" t="str">
        <f aca="false">IF($S142&gt;=2,INDEX($G$6:$J$6,MATCH(MAX(G142:J142),G142:J142,0)),"")</f>
        <v/>
      </c>
      <c r="AP142" s="83" t="n">
        <f aca="false">IF($S142&gt;=2,MIN(G142:J142)*$F142,0)</f>
        <v>0</v>
      </c>
      <c r="AQ142" s="82" t="str">
        <f aca="false">IF($S142&gt;=2,INDEX($G$6:$J$6,MATCH(MIN(G142:J142),G142:J142,0)),"")</f>
        <v/>
      </c>
    </row>
    <row r="143" customFormat="false" ht="15" hidden="false" customHeight="true" outlineLevel="0" collapsed="false">
      <c r="A143" s="70" t="s">
        <v>449</v>
      </c>
      <c r="B143" s="71" t="s">
        <v>130</v>
      </c>
      <c r="C143" s="72" t="s">
        <v>340</v>
      </c>
      <c r="D143" s="73" t="s">
        <v>450</v>
      </c>
      <c r="E143" s="74" t="s">
        <v>133</v>
      </c>
      <c r="F143" s="75" t="n">
        <v>1</v>
      </c>
      <c r="G143" s="85" t="s">
        <v>138</v>
      </c>
      <c r="H143" s="85" t="s">
        <v>138</v>
      </c>
      <c r="I143" s="85" t="s">
        <v>138</v>
      </c>
      <c r="J143" s="76" t="n">
        <f aca="false">IF(COUNTIF('Quote Lines'!$P$3:$P$805,$A143&amp;"|"&amp;J$6&amp;"|1")=0,"—",SUMIFS('Quote Lines'!$O$3:$O$805,'Quote Lines'!$P$3:$P$805,$A143&amp;"|"&amp;J$6&amp;"|1")/SUMIFS('Quote Lines'!$L$3:$L$805,'Quote Lines'!$P$3:$P$805,$A143&amp;"|"&amp;J$6&amp;"|1"))</f>
        <v>19.9</v>
      </c>
      <c r="K143" s="14" t="str">
        <f aca="false">IF(ISNUMBER(G143),G143*$F143,"—")</f>
        <v>—</v>
      </c>
      <c r="L143" s="14" t="str">
        <f aca="false">IF(ISNUMBER(H143),H143*$F143,"—")</f>
        <v>—</v>
      </c>
      <c r="M143" s="14" t="str">
        <f aca="false">IF(ISNUMBER(I143),I143*$F143,"—")</f>
        <v>—</v>
      </c>
      <c r="N143" s="14" t="n">
        <f aca="false">IF(ISNUMBER(J143),J143*$F143,"—")</f>
        <v>19.9</v>
      </c>
      <c r="O143" s="77" t="n">
        <f aca="false">IF($S143=0,"—",MIN(G143:J143))</f>
        <v>19.9</v>
      </c>
      <c r="P143" s="42" t="str">
        <f aca="false">IF($S143=0,"—",IF(COUNTIF(G143:J143,O143)&gt;1,"Tie",INDEX($G$6:$J$6,MATCH(O143,G143:J143,0))))</f>
        <v>Scholzen</v>
      </c>
      <c r="Q143" s="48" t="str">
        <f aca="false">IF($S143&gt;=2,MAX(G143:J143)/MIN(G143:J143)-1,"—")</f>
        <v>—</v>
      </c>
      <c r="R143" s="78" t="str">
        <f aca="false">IF($S143&gt;=2,(MAX(G143:J143)-MIN(G143:J143))*$F143,"—")</f>
        <v>—</v>
      </c>
      <c r="S143" s="18" t="n">
        <f aca="false">COUNT(G143:J143)</f>
        <v>1</v>
      </c>
      <c r="T143" s="79" t="str">
        <f aca="false">IF($S143&lt;=1,IF($S143=1,"Single quote","—"),"Like-for-like")</f>
        <v>Single quote</v>
      </c>
      <c r="U143" s="79" t="str">
        <f aca="false">IF(COUNT(W143:Z143)&lt;2,"",IF(MAX(W143:Z143)=MIN(W143:Z143),"OK","Qty differs"))</f>
        <v/>
      </c>
      <c r="V143" s="80"/>
      <c r="W143" s="81"/>
      <c r="X143" s="81"/>
      <c r="Y143" s="81"/>
      <c r="Z143" s="81" t="n">
        <f aca="false">IF(COUNTIFS('Quote Lines'!$P$3:$P$805,$A143&amp;"|"&amp;J$6&amp;"|1",'Quote Lines'!$M$3:$M$805,"Y")=0,"",SUMIFS('Quote Lines'!$L$3:$L$805,'Quote Lines'!$P$3:$P$805,$A143&amp;"|"&amp;J$6&amp;"|1",'Quote Lines'!$M$3:$M$805,"Y"))</f>
        <v>1</v>
      </c>
      <c r="AA143" s="82" t="str">
        <f aca="false">IF(ISNUMBER(G143),1+SUMPRODUCT(ISNUMBER($G143:$J143)*($G143:$J143&lt;G143)),"")</f>
        <v/>
      </c>
      <c r="AB143" s="82" t="str">
        <f aca="false">IF(ISNUMBER(H143),1+SUMPRODUCT(ISNUMBER($G143:$J143)*($G143:$J143&lt;H143)),"")</f>
        <v/>
      </c>
      <c r="AC143" s="82" t="str">
        <f aca="false">IF(ISNUMBER(I143),1+SUMPRODUCT(ISNUMBER($G143:$J143)*($G143:$J143&lt;I143)),"")</f>
        <v/>
      </c>
      <c r="AD143" s="82" t="n">
        <f aca="false">IF(ISNUMBER(J143),1+SUMPRODUCT(ISNUMBER($G143:$J143)*($G143:$J143&lt;J143)),"")</f>
        <v>1</v>
      </c>
      <c r="AE143" s="82" t="n">
        <f aca="false">IF(NOT(ISNUMBER(G143)),0,IF($S143&lt;2,5,IF(AA143=1,1,IF(G143=MAX($G143:$J143),4,IF(AA143=2,2,3)))))</f>
        <v>0</v>
      </c>
      <c r="AF143" s="82" t="n">
        <f aca="false">IF(NOT(ISNUMBER(H143)),0,IF($S143&lt;2,5,IF(AB143=1,1,IF(H143=MAX($G143:$J143),4,IF(AB143=2,2,3)))))</f>
        <v>0</v>
      </c>
      <c r="AG143" s="82" t="n">
        <f aca="false">IF(NOT(ISNUMBER(I143)),0,IF($S143&lt;2,5,IF(AC143=1,1,IF(I143=MAX($G143:$J143),4,IF(AC143=2,2,3)))))</f>
        <v>0</v>
      </c>
      <c r="AH143" s="82" t="n">
        <f aca="false">IF(NOT(ISNUMBER(J143)),0,IF($S143&lt;2,5,IF(AD143=1,1,IF(J143=MAX($G143:$J143),4,IF(AD143=2,2,3)))))</f>
        <v>5</v>
      </c>
      <c r="AI143" s="83" t="n">
        <f aca="false">IF($S143&gt;=2,IF(ISNUMBER(G143),G143*$F143,MIN($G143:$J143)*$F143),0)</f>
        <v>0</v>
      </c>
      <c r="AJ143" s="83" t="n">
        <f aca="false">IF($S143&gt;=2,IF(ISNUMBER(H143),H143*$F143,MIN($G143:$J143)*$F143),0)</f>
        <v>0</v>
      </c>
      <c r="AK143" s="83" t="n">
        <f aca="false">IF($S143&gt;=2,IF(ISNUMBER(I143),I143*$F143,MIN($G143:$J143)*$F143),0)</f>
        <v>0</v>
      </c>
      <c r="AL143" s="83" t="n">
        <f aca="false">IF($S143&gt;=2,IF(ISNUMBER(J143),J143*$F143,MIN($G143:$J143)*$F143),0)</f>
        <v>0</v>
      </c>
      <c r="AM143" s="84" t="str">
        <f aca="false">IF($S143&gt;=2,$R143+ROW()/1000000,"")</f>
        <v/>
      </c>
      <c r="AN143" s="83" t="str">
        <f aca="false">IF($S143&gt;=2,MAX(G143:J143),"")</f>
        <v/>
      </c>
      <c r="AO143" s="82" t="str">
        <f aca="false">IF($S143&gt;=2,INDEX($G$6:$J$6,MATCH(MAX(G143:J143),G143:J143,0)),"")</f>
        <v/>
      </c>
      <c r="AP143" s="83" t="n">
        <f aca="false">IF($S143&gt;=2,MIN(G143:J143)*$F143,0)</f>
        <v>0</v>
      </c>
      <c r="AQ143" s="82" t="str">
        <f aca="false">IF($S143&gt;=2,INDEX($G$6:$J$6,MATCH(MIN(G143:J143),G143:J143,0)),"")</f>
        <v/>
      </c>
    </row>
    <row r="144" customFormat="false" ht="15" hidden="false" customHeight="true" outlineLevel="0" collapsed="false">
      <c r="A144" s="70" t="s">
        <v>451</v>
      </c>
      <c r="B144" s="71" t="s">
        <v>130</v>
      </c>
      <c r="C144" s="72" t="s">
        <v>340</v>
      </c>
      <c r="D144" s="73" t="s">
        <v>452</v>
      </c>
      <c r="E144" s="74" t="s">
        <v>133</v>
      </c>
      <c r="F144" s="75" t="n">
        <v>1</v>
      </c>
      <c r="G144" s="85" t="s">
        <v>138</v>
      </c>
      <c r="H144" s="85" t="s">
        <v>138</v>
      </c>
      <c r="I144" s="85" t="s">
        <v>138</v>
      </c>
      <c r="J144" s="76" t="n">
        <f aca="false">IF(COUNTIF('Quote Lines'!$P$3:$P$805,$A144&amp;"|"&amp;J$6&amp;"|1")=0,"—",SUMIFS('Quote Lines'!$O$3:$O$805,'Quote Lines'!$P$3:$P$805,$A144&amp;"|"&amp;J$6&amp;"|1")/SUMIFS('Quote Lines'!$L$3:$L$805,'Quote Lines'!$P$3:$P$805,$A144&amp;"|"&amp;J$6&amp;"|1"))</f>
        <v>2.73</v>
      </c>
      <c r="K144" s="14" t="str">
        <f aca="false">IF(ISNUMBER(G144),G144*$F144,"—")</f>
        <v>—</v>
      </c>
      <c r="L144" s="14" t="str">
        <f aca="false">IF(ISNUMBER(H144),H144*$F144,"—")</f>
        <v>—</v>
      </c>
      <c r="M144" s="14" t="str">
        <f aca="false">IF(ISNUMBER(I144),I144*$F144,"—")</f>
        <v>—</v>
      </c>
      <c r="N144" s="14" t="n">
        <f aca="false">IF(ISNUMBER(J144),J144*$F144,"—")</f>
        <v>2.73</v>
      </c>
      <c r="O144" s="77" t="n">
        <f aca="false">IF($S144=0,"—",MIN(G144:J144))</f>
        <v>2.73</v>
      </c>
      <c r="P144" s="42" t="str">
        <f aca="false">IF($S144=0,"—",IF(COUNTIF(G144:J144,O144)&gt;1,"Tie",INDEX($G$6:$J$6,MATCH(O144,G144:J144,0))))</f>
        <v>Scholzen</v>
      </c>
      <c r="Q144" s="48" t="str">
        <f aca="false">IF($S144&gt;=2,MAX(G144:J144)/MIN(G144:J144)-1,"—")</f>
        <v>—</v>
      </c>
      <c r="R144" s="78" t="str">
        <f aca="false">IF($S144&gt;=2,(MAX(G144:J144)-MIN(G144:J144))*$F144,"—")</f>
        <v>—</v>
      </c>
      <c r="S144" s="18" t="n">
        <f aca="false">COUNT(G144:J144)</f>
        <v>1</v>
      </c>
      <c r="T144" s="79" t="str">
        <f aca="false">IF($S144&lt;=1,IF($S144=1,"Single quote","—"),"Like-for-like")</f>
        <v>Single quote</v>
      </c>
      <c r="U144" s="79" t="str">
        <f aca="false">IF(COUNT(W144:Z144)&lt;2,"",IF(MAX(W144:Z144)=MIN(W144:Z144),"OK","Qty differs"))</f>
        <v/>
      </c>
      <c r="V144" s="80"/>
      <c r="W144" s="81"/>
      <c r="X144" s="81"/>
      <c r="Y144" s="81"/>
      <c r="Z144" s="81" t="n">
        <f aca="false">IF(COUNTIFS('Quote Lines'!$P$3:$P$805,$A144&amp;"|"&amp;J$6&amp;"|1",'Quote Lines'!$M$3:$M$805,"Y")=0,"",SUMIFS('Quote Lines'!$L$3:$L$805,'Quote Lines'!$P$3:$P$805,$A144&amp;"|"&amp;J$6&amp;"|1",'Quote Lines'!$M$3:$M$805,"Y"))</f>
        <v>1</v>
      </c>
      <c r="AA144" s="82" t="str">
        <f aca="false">IF(ISNUMBER(G144),1+SUMPRODUCT(ISNUMBER($G144:$J144)*($G144:$J144&lt;G144)),"")</f>
        <v/>
      </c>
      <c r="AB144" s="82" t="str">
        <f aca="false">IF(ISNUMBER(H144),1+SUMPRODUCT(ISNUMBER($G144:$J144)*($G144:$J144&lt;H144)),"")</f>
        <v/>
      </c>
      <c r="AC144" s="82" t="str">
        <f aca="false">IF(ISNUMBER(I144),1+SUMPRODUCT(ISNUMBER($G144:$J144)*($G144:$J144&lt;I144)),"")</f>
        <v/>
      </c>
      <c r="AD144" s="82" t="n">
        <f aca="false">IF(ISNUMBER(J144),1+SUMPRODUCT(ISNUMBER($G144:$J144)*($G144:$J144&lt;J144)),"")</f>
        <v>1</v>
      </c>
      <c r="AE144" s="82" t="n">
        <f aca="false">IF(NOT(ISNUMBER(G144)),0,IF($S144&lt;2,5,IF(AA144=1,1,IF(G144=MAX($G144:$J144),4,IF(AA144=2,2,3)))))</f>
        <v>0</v>
      </c>
      <c r="AF144" s="82" t="n">
        <f aca="false">IF(NOT(ISNUMBER(H144)),0,IF($S144&lt;2,5,IF(AB144=1,1,IF(H144=MAX($G144:$J144),4,IF(AB144=2,2,3)))))</f>
        <v>0</v>
      </c>
      <c r="AG144" s="82" t="n">
        <f aca="false">IF(NOT(ISNUMBER(I144)),0,IF($S144&lt;2,5,IF(AC144=1,1,IF(I144=MAX($G144:$J144),4,IF(AC144=2,2,3)))))</f>
        <v>0</v>
      </c>
      <c r="AH144" s="82" t="n">
        <f aca="false">IF(NOT(ISNUMBER(J144)),0,IF($S144&lt;2,5,IF(AD144=1,1,IF(J144=MAX($G144:$J144),4,IF(AD144=2,2,3)))))</f>
        <v>5</v>
      </c>
      <c r="AI144" s="83" t="n">
        <f aca="false">IF($S144&gt;=2,IF(ISNUMBER(G144),G144*$F144,MIN($G144:$J144)*$F144),0)</f>
        <v>0</v>
      </c>
      <c r="AJ144" s="83" t="n">
        <f aca="false">IF($S144&gt;=2,IF(ISNUMBER(H144),H144*$F144,MIN($G144:$J144)*$F144),0)</f>
        <v>0</v>
      </c>
      <c r="AK144" s="83" t="n">
        <f aca="false">IF($S144&gt;=2,IF(ISNUMBER(I144),I144*$F144,MIN($G144:$J144)*$F144),0)</f>
        <v>0</v>
      </c>
      <c r="AL144" s="83" t="n">
        <f aca="false">IF($S144&gt;=2,IF(ISNUMBER(J144),J144*$F144,MIN($G144:$J144)*$F144),0)</f>
        <v>0</v>
      </c>
      <c r="AM144" s="84" t="str">
        <f aca="false">IF($S144&gt;=2,$R144+ROW()/1000000,"")</f>
        <v/>
      </c>
      <c r="AN144" s="83" t="str">
        <f aca="false">IF($S144&gt;=2,MAX(G144:J144),"")</f>
        <v/>
      </c>
      <c r="AO144" s="82" t="str">
        <f aca="false">IF($S144&gt;=2,INDEX($G$6:$J$6,MATCH(MAX(G144:J144),G144:J144,0)),"")</f>
        <v/>
      </c>
      <c r="AP144" s="83" t="n">
        <f aca="false">IF($S144&gt;=2,MIN(G144:J144)*$F144,0)</f>
        <v>0</v>
      </c>
      <c r="AQ144" s="82" t="str">
        <f aca="false">IF($S144&gt;=2,INDEX($G$6:$J$6,MATCH(MIN(G144:J144),G144:J144,0)),"")</f>
        <v/>
      </c>
    </row>
    <row r="145" customFormat="false" ht="15" hidden="false" customHeight="true" outlineLevel="0" collapsed="false">
      <c r="A145" s="70" t="s">
        <v>453</v>
      </c>
      <c r="B145" s="71" t="s">
        <v>130</v>
      </c>
      <c r="C145" s="72" t="s">
        <v>340</v>
      </c>
      <c r="D145" s="73" t="s">
        <v>454</v>
      </c>
      <c r="E145" s="74" t="s">
        <v>133</v>
      </c>
      <c r="F145" s="75" t="n">
        <v>1</v>
      </c>
      <c r="G145" s="85" t="s">
        <v>138</v>
      </c>
      <c r="H145" s="85" t="s">
        <v>138</v>
      </c>
      <c r="I145" s="85" t="s">
        <v>138</v>
      </c>
      <c r="J145" s="76" t="n">
        <f aca="false">IF(COUNTIF('Quote Lines'!$P$3:$P$805,$A145&amp;"|"&amp;J$6&amp;"|1")=0,"—",SUMIFS('Quote Lines'!$O$3:$O$805,'Quote Lines'!$P$3:$P$805,$A145&amp;"|"&amp;J$6&amp;"|1")/SUMIFS('Quote Lines'!$L$3:$L$805,'Quote Lines'!$P$3:$P$805,$A145&amp;"|"&amp;J$6&amp;"|1"))</f>
        <v>2</v>
      </c>
      <c r="K145" s="14" t="str">
        <f aca="false">IF(ISNUMBER(G145),G145*$F145,"—")</f>
        <v>—</v>
      </c>
      <c r="L145" s="14" t="str">
        <f aca="false">IF(ISNUMBER(H145),H145*$F145,"—")</f>
        <v>—</v>
      </c>
      <c r="M145" s="14" t="str">
        <f aca="false">IF(ISNUMBER(I145),I145*$F145,"—")</f>
        <v>—</v>
      </c>
      <c r="N145" s="14" t="n">
        <f aca="false">IF(ISNUMBER(J145),J145*$F145,"—")</f>
        <v>2</v>
      </c>
      <c r="O145" s="77" t="n">
        <f aca="false">IF($S145=0,"—",MIN(G145:J145))</f>
        <v>2</v>
      </c>
      <c r="P145" s="42" t="str">
        <f aca="false">IF($S145=0,"—",IF(COUNTIF(G145:J145,O145)&gt;1,"Tie",INDEX($G$6:$J$6,MATCH(O145,G145:J145,0))))</f>
        <v>Scholzen</v>
      </c>
      <c r="Q145" s="48" t="str">
        <f aca="false">IF($S145&gt;=2,MAX(G145:J145)/MIN(G145:J145)-1,"—")</f>
        <v>—</v>
      </c>
      <c r="R145" s="78" t="str">
        <f aca="false">IF($S145&gt;=2,(MAX(G145:J145)-MIN(G145:J145))*$F145,"—")</f>
        <v>—</v>
      </c>
      <c r="S145" s="18" t="n">
        <f aca="false">COUNT(G145:J145)</f>
        <v>1</v>
      </c>
      <c r="T145" s="79" t="str">
        <f aca="false">IF($S145&lt;=1,IF($S145=1,"Single quote","—"),"Like-for-like")</f>
        <v>Single quote</v>
      </c>
      <c r="U145" s="79" t="str">
        <f aca="false">IF(COUNT(W145:Z145)&lt;2,"",IF(MAX(W145:Z145)=MIN(W145:Z145),"OK","Qty differs"))</f>
        <v/>
      </c>
      <c r="V145" s="80"/>
      <c r="W145" s="81"/>
      <c r="X145" s="81"/>
      <c r="Y145" s="81"/>
      <c r="Z145" s="81" t="n">
        <f aca="false">IF(COUNTIFS('Quote Lines'!$P$3:$P$805,$A145&amp;"|"&amp;J$6&amp;"|1",'Quote Lines'!$M$3:$M$805,"Y")=0,"",SUMIFS('Quote Lines'!$L$3:$L$805,'Quote Lines'!$P$3:$P$805,$A145&amp;"|"&amp;J$6&amp;"|1",'Quote Lines'!$M$3:$M$805,"Y"))</f>
        <v>1</v>
      </c>
      <c r="AA145" s="82" t="str">
        <f aca="false">IF(ISNUMBER(G145),1+SUMPRODUCT(ISNUMBER($G145:$J145)*($G145:$J145&lt;G145)),"")</f>
        <v/>
      </c>
      <c r="AB145" s="82" t="str">
        <f aca="false">IF(ISNUMBER(H145),1+SUMPRODUCT(ISNUMBER($G145:$J145)*($G145:$J145&lt;H145)),"")</f>
        <v/>
      </c>
      <c r="AC145" s="82" t="str">
        <f aca="false">IF(ISNUMBER(I145),1+SUMPRODUCT(ISNUMBER($G145:$J145)*($G145:$J145&lt;I145)),"")</f>
        <v/>
      </c>
      <c r="AD145" s="82" t="n">
        <f aca="false">IF(ISNUMBER(J145),1+SUMPRODUCT(ISNUMBER($G145:$J145)*($G145:$J145&lt;J145)),"")</f>
        <v>1</v>
      </c>
      <c r="AE145" s="82" t="n">
        <f aca="false">IF(NOT(ISNUMBER(G145)),0,IF($S145&lt;2,5,IF(AA145=1,1,IF(G145=MAX($G145:$J145),4,IF(AA145=2,2,3)))))</f>
        <v>0</v>
      </c>
      <c r="AF145" s="82" t="n">
        <f aca="false">IF(NOT(ISNUMBER(H145)),0,IF($S145&lt;2,5,IF(AB145=1,1,IF(H145=MAX($G145:$J145),4,IF(AB145=2,2,3)))))</f>
        <v>0</v>
      </c>
      <c r="AG145" s="82" t="n">
        <f aca="false">IF(NOT(ISNUMBER(I145)),0,IF($S145&lt;2,5,IF(AC145=1,1,IF(I145=MAX($G145:$J145),4,IF(AC145=2,2,3)))))</f>
        <v>0</v>
      </c>
      <c r="AH145" s="82" t="n">
        <f aca="false">IF(NOT(ISNUMBER(J145)),0,IF($S145&lt;2,5,IF(AD145=1,1,IF(J145=MAX($G145:$J145),4,IF(AD145=2,2,3)))))</f>
        <v>5</v>
      </c>
      <c r="AI145" s="83" t="n">
        <f aca="false">IF($S145&gt;=2,IF(ISNUMBER(G145),G145*$F145,MIN($G145:$J145)*$F145),0)</f>
        <v>0</v>
      </c>
      <c r="AJ145" s="83" t="n">
        <f aca="false">IF($S145&gt;=2,IF(ISNUMBER(H145),H145*$F145,MIN($G145:$J145)*$F145),0)</f>
        <v>0</v>
      </c>
      <c r="AK145" s="83" t="n">
        <f aca="false">IF($S145&gt;=2,IF(ISNUMBER(I145),I145*$F145,MIN($G145:$J145)*$F145),0)</f>
        <v>0</v>
      </c>
      <c r="AL145" s="83" t="n">
        <f aca="false">IF($S145&gt;=2,IF(ISNUMBER(J145),J145*$F145,MIN($G145:$J145)*$F145),0)</f>
        <v>0</v>
      </c>
      <c r="AM145" s="84" t="str">
        <f aca="false">IF($S145&gt;=2,$R145+ROW()/1000000,"")</f>
        <v/>
      </c>
      <c r="AN145" s="83" t="str">
        <f aca="false">IF($S145&gt;=2,MAX(G145:J145),"")</f>
        <v/>
      </c>
      <c r="AO145" s="82" t="str">
        <f aca="false">IF($S145&gt;=2,INDEX($G$6:$J$6,MATCH(MAX(G145:J145),G145:J145,0)),"")</f>
        <v/>
      </c>
      <c r="AP145" s="83" t="n">
        <f aca="false">IF($S145&gt;=2,MIN(G145:J145)*$F145,0)</f>
        <v>0</v>
      </c>
      <c r="AQ145" s="82" t="str">
        <f aca="false">IF($S145&gt;=2,INDEX($G$6:$J$6,MATCH(MIN(G145:J145),G145:J145,0)),"")</f>
        <v/>
      </c>
    </row>
    <row r="146" customFormat="false" ht="19.5" hidden="false" customHeight="true" outlineLevel="0" collapsed="false">
      <c r="A146" s="69"/>
      <c r="B146" s="9" t="s">
        <v>455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customFormat="false" ht="15" hidden="false" customHeight="true" outlineLevel="0" collapsed="false">
      <c r="A147" s="70" t="s">
        <v>456</v>
      </c>
      <c r="B147" s="71" t="s">
        <v>457</v>
      </c>
      <c r="C147" s="72" t="s">
        <v>176</v>
      </c>
      <c r="D147" s="73" t="s">
        <v>458</v>
      </c>
      <c r="E147" s="74" t="s">
        <v>178</v>
      </c>
      <c r="F147" s="75" t="n">
        <v>560</v>
      </c>
      <c r="G147" s="76" t="n">
        <f aca="false">IF(COUNTIF('Quote Lines'!$P$3:$P$805,$A147&amp;"|"&amp;G$6&amp;"|1")=0,"—",SUMIFS('Quote Lines'!$O$3:$O$805,'Quote Lines'!$P$3:$P$805,$A147&amp;"|"&amp;G$6&amp;"|1")/SUMIFS('Quote Lines'!$L$3:$L$805,'Quote Lines'!$P$3:$P$805,$A147&amp;"|"&amp;G$6&amp;"|1"))</f>
        <v>8.06</v>
      </c>
      <c r="H147" s="76" t="n">
        <f aca="false">IF(COUNTIF('Quote Lines'!$P$3:$P$805,$A147&amp;"|"&amp;H$6&amp;"|1")=0,"—",SUMIFS('Quote Lines'!$O$3:$O$805,'Quote Lines'!$P$3:$P$805,$A147&amp;"|"&amp;H$6&amp;"|1")/SUMIFS('Quote Lines'!$L$3:$L$805,'Quote Lines'!$P$3:$P$805,$A147&amp;"|"&amp;H$6&amp;"|1"))</f>
        <v>8.26</v>
      </c>
      <c r="I147" s="76" t="n">
        <f aca="false">IF(COUNTIF('Quote Lines'!$P$3:$P$805,$A147&amp;"|"&amp;I$6&amp;"|1")=0,"—",SUMIFS('Quote Lines'!$O$3:$O$805,'Quote Lines'!$P$3:$P$805,$A147&amp;"|"&amp;I$6&amp;"|1")/SUMIFS('Quote Lines'!$L$3:$L$805,'Quote Lines'!$P$3:$P$805,$A147&amp;"|"&amp;I$6&amp;"|1"))</f>
        <v>8.47916071428571</v>
      </c>
      <c r="J147" s="76" t="n">
        <f aca="false">IF(COUNTIF('Quote Lines'!$P$3:$P$805,$A147&amp;"|"&amp;J$6&amp;"|1")=0,"—",SUMIFS('Quote Lines'!$O$3:$O$805,'Quote Lines'!$P$3:$P$805,$A147&amp;"|"&amp;J$6&amp;"|1")/SUMIFS('Quote Lines'!$L$3:$L$805,'Quote Lines'!$P$3:$P$805,$A147&amp;"|"&amp;J$6&amp;"|1"))</f>
        <v>8.97</v>
      </c>
      <c r="K147" s="14" t="n">
        <f aca="false">IF(ISNUMBER(G147),G147*$F147,"—")</f>
        <v>4513.6</v>
      </c>
      <c r="L147" s="14" t="n">
        <f aca="false">IF(ISNUMBER(H147),H147*$F147,"—")</f>
        <v>4625.6</v>
      </c>
      <c r="M147" s="14" t="n">
        <f aca="false">IF(ISNUMBER(I147),I147*$F147,"—")</f>
        <v>4748.33</v>
      </c>
      <c r="N147" s="14" t="n">
        <f aca="false">IF(ISNUMBER(J147),J147*$F147,"—")</f>
        <v>5023.2</v>
      </c>
      <c r="O147" s="77" t="n">
        <f aca="false">IF($S147=0,"—",MIN(G147:J147))</f>
        <v>8.06</v>
      </c>
      <c r="P147" s="42" t="str">
        <f aca="false">IF($S147=0,"—",IF(COUNTIF(G147:J147,O147)&gt;1,"Tie",INDEX($G$6:$J$6,MATCH(O147,G147:J147,0))))</f>
        <v>Ferguson</v>
      </c>
      <c r="Q147" s="48" t="n">
        <f aca="false">IF($S147&gt;=2,MAX(G147:J147)/MIN(G147:J147)-1,"—")</f>
        <v>0.112903225806452</v>
      </c>
      <c r="R147" s="78" t="n">
        <f aca="false">IF($S147&gt;=2,(MAX(G147:J147)-MIN(G147:J147))*$F147,"—")</f>
        <v>509.599999999999</v>
      </c>
      <c r="S147" s="18" t="n">
        <f aca="false">COUNT(G147:J147)</f>
        <v>4</v>
      </c>
      <c r="T147" s="79" t="str">
        <f aca="false">IF($S147&lt;=1,IF($S147=1,"Single quote","—"),"Like-for-like")</f>
        <v>Like-for-like</v>
      </c>
      <c r="U147" s="79" t="str">
        <f aca="false">IF(COUNT(W147:Z147)&lt;2,"",IF(MAX(W147:Z147)=MIN(W147:Z147),"OK","Qty differs"))</f>
        <v>OK</v>
      </c>
      <c r="V147" s="80"/>
      <c r="W147" s="81" t="n">
        <f aca="false">IF(COUNTIFS('Quote Lines'!$P$3:$P$805,$A147&amp;"|"&amp;G$6&amp;"|1",'Quote Lines'!$M$3:$M$805,"Y")=0,"",SUMIFS('Quote Lines'!$L$3:$L$805,'Quote Lines'!$P$3:$P$805,$A147&amp;"|"&amp;G$6&amp;"|1",'Quote Lines'!$M$3:$M$805,"Y"))</f>
        <v>560</v>
      </c>
      <c r="X147" s="81" t="n">
        <f aca="false">IF(COUNTIFS('Quote Lines'!$P$3:$P$805,$A147&amp;"|"&amp;H$6&amp;"|1",'Quote Lines'!$M$3:$M$805,"Y")=0,"",SUMIFS('Quote Lines'!$L$3:$L$805,'Quote Lines'!$P$3:$P$805,$A147&amp;"|"&amp;H$6&amp;"|1",'Quote Lines'!$M$3:$M$805,"Y"))</f>
        <v>560</v>
      </c>
      <c r="Y147" s="81" t="n">
        <f aca="false">IF(COUNTIFS('Quote Lines'!$P$3:$P$805,$A147&amp;"|"&amp;I$6&amp;"|1",'Quote Lines'!$M$3:$M$805,"Y")=0,"",SUMIFS('Quote Lines'!$L$3:$L$805,'Quote Lines'!$P$3:$P$805,$A147&amp;"|"&amp;I$6&amp;"|1",'Quote Lines'!$M$3:$M$805,"Y"))</f>
        <v>560</v>
      </c>
      <c r="Z147" s="81" t="n">
        <f aca="false">IF(COUNTIFS('Quote Lines'!$P$3:$P$805,$A147&amp;"|"&amp;J$6&amp;"|1",'Quote Lines'!$M$3:$M$805,"Y")=0,"",SUMIFS('Quote Lines'!$L$3:$L$805,'Quote Lines'!$P$3:$P$805,$A147&amp;"|"&amp;J$6&amp;"|1",'Quote Lines'!$M$3:$M$805,"Y"))</f>
        <v>560</v>
      </c>
      <c r="AA147" s="82" t="n">
        <f aca="false">IF(ISNUMBER(G147),1+SUMPRODUCT(ISNUMBER($G147:$J147)*($G147:$J147&lt;G147)),"")</f>
        <v>1</v>
      </c>
      <c r="AB147" s="82" t="n">
        <f aca="false">IF(ISNUMBER(H147),1+SUMPRODUCT(ISNUMBER($G147:$J147)*($G147:$J147&lt;H147)),"")</f>
        <v>2</v>
      </c>
      <c r="AC147" s="82" t="n">
        <f aca="false">IF(ISNUMBER(I147),1+SUMPRODUCT(ISNUMBER($G147:$J147)*($G147:$J147&lt;I147)),"")</f>
        <v>3</v>
      </c>
      <c r="AD147" s="82" t="n">
        <f aca="false">IF(ISNUMBER(J147),1+SUMPRODUCT(ISNUMBER($G147:$J147)*($G147:$J147&lt;J147)),"")</f>
        <v>4</v>
      </c>
      <c r="AE147" s="82" t="n">
        <f aca="false">IF(NOT(ISNUMBER(G147)),0,IF($S147&lt;2,5,IF(AA147=1,1,IF(G147=MAX($G147:$J147),4,IF(AA147=2,2,3)))))</f>
        <v>1</v>
      </c>
      <c r="AF147" s="82" t="n">
        <f aca="false">IF(NOT(ISNUMBER(H147)),0,IF($S147&lt;2,5,IF(AB147=1,1,IF(H147=MAX($G147:$J147),4,IF(AB147=2,2,3)))))</f>
        <v>2</v>
      </c>
      <c r="AG147" s="82" t="n">
        <f aca="false">IF(NOT(ISNUMBER(I147)),0,IF($S147&lt;2,5,IF(AC147=1,1,IF(I147=MAX($G147:$J147),4,IF(AC147=2,2,3)))))</f>
        <v>3</v>
      </c>
      <c r="AH147" s="82" t="n">
        <f aca="false">IF(NOT(ISNUMBER(J147)),0,IF($S147&lt;2,5,IF(AD147=1,1,IF(J147=MAX($G147:$J147),4,IF(AD147=2,2,3)))))</f>
        <v>4</v>
      </c>
      <c r="AI147" s="83" t="n">
        <f aca="false">IF($S147&gt;=2,IF(ISNUMBER(G147),G147*$F147,MIN($G147:$J147)*$F147),0)</f>
        <v>4513.6</v>
      </c>
      <c r="AJ147" s="83" t="n">
        <f aca="false">IF($S147&gt;=2,IF(ISNUMBER(H147),H147*$F147,MIN($G147:$J147)*$F147),0)</f>
        <v>4625.6</v>
      </c>
      <c r="AK147" s="83" t="n">
        <f aca="false">IF($S147&gt;=2,IF(ISNUMBER(I147),I147*$F147,MIN($G147:$J147)*$F147),0)</f>
        <v>4748.33</v>
      </c>
      <c r="AL147" s="83" t="n">
        <f aca="false">IF($S147&gt;=2,IF(ISNUMBER(J147),J147*$F147,MIN($G147:$J147)*$F147),0)</f>
        <v>5023.2</v>
      </c>
      <c r="AM147" s="84" t="n">
        <f aca="false">IF($S147&gt;=2,$R147+ROW()/1000000,"")</f>
        <v>509.600146999999</v>
      </c>
      <c r="AN147" s="83" t="n">
        <f aca="false">IF($S147&gt;=2,MAX(G147:J147),"")</f>
        <v>8.97</v>
      </c>
      <c r="AO147" s="82" t="str">
        <f aca="false">IF($S147&gt;=2,INDEX($G$6:$J$6,MATCH(MAX(G147:J147),G147:J147,0)),"")</f>
        <v>Scholzen</v>
      </c>
      <c r="AP147" s="83" t="n">
        <f aca="false">IF($S147&gt;=2,MIN(G147:J147)*$F147,0)</f>
        <v>4513.6</v>
      </c>
      <c r="AQ147" s="82" t="str">
        <f aca="false">IF($S147&gt;=2,INDEX($G$6:$J$6,MATCH(MIN(G147:J147),G147:J147,0)),"")</f>
        <v>Ferguson</v>
      </c>
    </row>
    <row r="148" customFormat="false" ht="15" hidden="false" customHeight="true" outlineLevel="0" collapsed="false">
      <c r="A148" s="70" t="s">
        <v>459</v>
      </c>
      <c r="B148" s="71" t="s">
        <v>457</v>
      </c>
      <c r="C148" s="72" t="s">
        <v>460</v>
      </c>
      <c r="D148" s="73" t="s">
        <v>461</v>
      </c>
      <c r="E148" s="74" t="s">
        <v>178</v>
      </c>
      <c r="F148" s="75" t="n">
        <v>1000</v>
      </c>
      <c r="G148" s="76" t="n">
        <f aca="false">IF(COUNTIF('Quote Lines'!$P$3:$P$805,$A148&amp;"|"&amp;G$6&amp;"|1")=0,"—",SUMIFS('Quote Lines'!$O$3:$O$805,'Quote Lines'!$P$3:$P$805,$A148&amp;"|"&amp;G$6&amp;"|1")/SUMIFS('Quote Lines'!$L$3:$L$805,'Quote Lines'!$P$3:$P$805,$A148&amp;"|"&amp;G$6&amp;"|1"))</f>
        <v>0.37239</v>
      </c>
      <c r="H148" s="76" t="n">
        <f aca="false">IF(COUNTIF('Quote Lines'!$P$3:$P$805,$A148&amp;"|"&amp;H$6&amp;"|1")=0,"—",SUMIFS('Quote Lines'!$O$3:$O$805,'Quote Lines'!$P$3:$P$805,$A148&amp;"|"&amp;H$6&amp;"|1")/SUMIFS('Quote Lines'!$L$3:$L$805,'Quote Lines'!$P$3:$P$805,$A148&amp;"|"&amp;H$6&amp;"|1"))</f>
        <v>0.25672</v>
      </c>
      <c r="I148" s="76" t="n">
        <f aca="false">IF(COUNTIF('Quote Lines'!$P$3:$P$805,$A148&amp;"|"&amp;I$6&amp;"|1")=0,"—",SUMIFS('Quote Lines'!$O$3:$O$805,'Quote Lines'!$P$3:$P$805,$A148&amp;"|"&amp;I$6&amp;"|1")/SUMIFS('Quote Lines'!$L$3:$L$805,'Quote Lines'!$P$3:$P$805,$A148&amp;"|"&amp;I$6&amp;"|1"))</f>
        <v>0.297</v>
      </c>
      <c r="J148" s="76" t="n">
        <f aca="false">IF(COUNTIF('Quote Lines'!$P$3:$P$805,$A148&amp;"|"&amp;J$6&amp;"|1")=0,"—",SUMIFS('Quote Lines'!$O$3:$O$805,'Quote Lines'!$P$3:$P$805,$A148&amp;"|"&amp;J$6&amp;"|1")/SUMIFS('Quote Lines'!$L$3:$L$805,'Quote Lines'!$P$3:$P$805,$A148&amp;"|"&amp;J$6&amp;"|1"))</f>
        <v>0.39866</v>
      </c>
      <c r="K148" s="14" t="n">
        <f aca="false">IF(ISNUMBER(G148),G148*$F148,"—")</f>
        <v>372.39</v>
      </c>
      <c r="L148" s="14" t="n">
        <f aca="false">IF(ISNUMBER(H148),H148*$F148,"—")</f>
        <v>256.72</v>
      </c>
      <c r="M148" s="14" t="n">
        <f aca="false">IF(ISNUMBER(I148),I148*$F148,"—")</f>
        <v>297</v>
      </c>
      <c r="N148" s="14" t="n">
        <f aca="false">IF(ISNUMBER(J148),J148*$F148,"—")</f>
        <v>398.66</v>
      </c>
      <c r="O148" s="77" t="n">
        <f aca="false">IF($S148=0,"—",MIN(G148:J148))</f>
        <v>0.25672</v>
      </c>
      <c r="P148" s="42" t="str">
        <f aca="false">IF($S148=0,"—",IF(COUNTIF(G148:J148,O148)&gt;1,"Tie",INDEX($G$6:$J$6,MATCH(O148,G148:J148,0))))</f>
        <v>HD Fowler</v>
      </c>
      <c r="Q148" s="48" t="n">
        <f aca="false">IF($S148&gt;=2,MAX(G148:J148)/MIN(G148:J148)-1,"—")</f>
        <v>0.552898099096292</v>
      </c>
      <c r="R148" s="78" t="n">
        <f aca="false">IF($S148&gt;=2,(MAX(G148:J148)-MIN(G148:J148))*$F148,"—")</f>
        <v>141.94</v>
      </c>
      <c r="S148" s="18" t="n">
        <f aca="false">COUNT(G148:J148)</f>
        <v>4</v>
      </c>
      <c r="T148" s="79" t="str">
        <f aca="false">IF($S148&lt;=1,IF($S148=1,"Single quote","—"),"Like-for-like")</f>
        <v>Like-for-like</v>
      </c>
      <c r="U148" s="79" t="str">
        <f aca="false">IF(COUNT(W148:Z148)&lt;2,"",IF(MAX(W148:Z148)=MIN(W148:Z148),"OK","Qty differs"))</f>
        <v>Qty differs</v>
      </c>
      <c r="V148" s="80" t="s">
        <v>462</v>
      </c>
      <c r="W148" s="81" t="n">
        <f aca="false">IF(COUNTIFS('Quote Lines'!$P$3:$P$805,$A148&amp;"|"&amp;G$6&amp;"|1",'Quote Lines'!$M$3:$M$805,"Y")=0,"",SUMIFS('Quote Lines'!$L$3:$L$805,'Quote Lines'!$P$3:$P$805,$A148&amp;"|"&amp;G$6&amp;"|1",'Quote Lines'!$M$3:$M$805,"Y"))</f>
        <v>1000</v>
      </c>
      <c r="X148" s="81" t="n">
        <f aca="false">IF(COUNTIFS('Quote Lines'!$P$3:$P$805,$A148&amp;"|"&amp;H$6&amp;"|1",'Quote Lines'!$M$3:$M$805,"Y")=0,"",SUMIFS('Quote Lines'!$L$3:$L$805,'Quote Lines'!$P$3:$P$805,$A148&amp;"|"&amp;H$6&amp;"|1",'Quote Lines'!$M$3:$M$805,"Y"))</f>
        <v>1000</v>
      </c>
      <c r="Y148" s="81" t="n">
        <f aca="false">IF(COUNTIFS('Quote Lines'!$P$3:$P$805,$A148&amp;"|"&amp;I$6&amp;"|1",'Quote Lines'!$M$3:$M$805,"Y")=0,"",SUMIFS('Quote Lines'!$L$3:$L$805,'Quote Lines'!$P$3:$P$805,$A148&amp;"|"&amp;I$6&amp;"|1",'Quote Lines'!$M$3:$M$805,"Y"))</f>
        <v>500</v>
      </c>
      <c r="Z148" s="81" t="n">
        <f aca="false">IF(COUNTIFS('Quote Lines'!$P$3:$P$805,$A148&amp;"|"&amp;J$6&amp;"|1",'Quote Lines'!$M$3:$M$805,"Y")=0,"",SUMIFS('Quote Lines'!$L$3:$L$805,'Quote Lines'!$P$3:$P$805,$A148&amp;"|"&amp;J$6&amp;"|1",'Quote Lines'!$M$3:$M$805,"Y"))</f>
        <v>1000</v>
      </c>
      <c r="AA148" s="82" t="n">
        <f aca="false">IF(ISNUMBER(G148),1+SUMPRODUCT(ISNUMBER($G148:$J148)*($G148:$J148&lt;G148)),"")</f>
        <v>3</v>
      </c>
      <c r="AB148" s="82" t="n">
        <f aca="false">IF(ISNUMBER(H148),1+SUMPRODUCT(ISNUMBER($G148:$J148)*($G148:$J148&lt;H148)),"")</f>
        <v>1</v>
      </c>
      <c r="AC148" s="82" t="n">
        <f aca="false">IF(ISNUMBER(I148),1+SUMPRODUCT(ISNUMBER($G148:$J148)*($G148:$J148&lt;I148)),"")</f>
        <v>2</v>
      </c>
      <c r="AD148" s="82" t="n">
        <f aca="false">IF(ISNUMBER(J148),1+SUMPRODUCT(ISNUMBER($G148:$J148)*($G148:$J148&lt;J148)),"")</f>
        <v>4</v>
      </c>
      <c r="AE148" s="82" t="n">
        <f aca="false">IF(NOT(ISNUMBER(G148)),0,IF($S148&lt;2,5,IF(AA148=1,1,IF(G148=MAX($G148:$J148),4,IF(AA148=2,2,3)))))</f>
        <v>3</v>
      </c>
      <c r="AF148" s="82" t="n">
        <f aca="false">IF(NOT(ISNUMBER(H148)),0,IF($S148&lt;2,5,IF(AB148=1,1,IF(H148=MAX($G148:$J148),4,IF(AB148=2,2,3)))))</f>
        <v>1</v>
      </c>
      <c r="AG148" s="82" t="n">
        <f aca="false">IF(NOT(ISNUMBER(I148)),0,IF($S148&lt;2,5,IF(AC148=1,1,IF(I148=MAX($G148:$J148),4,IF(AC148=2,2,3)))))</f>
        <v>2</v>
      </c>
      <c r="AH148" s="82" t="n">
        <f aca="false">IF(NOT(ISNUMBER(J148)),0,IF($S148&lt;2,5,IF(AD148=1,1,IF(J148=MAX($G148:$J148),4,IF(AD148=2,2,3)))))</f>
        <v>4</v>
      </c>
      <c r="AI148" s="83" t="n">
        <f aca="false">IF($S148&gt;=2,IF(ISNUMBER(G148),G148*$F148,MIN($G148:$J148)*$F148),0)</f>
        <v>372.39</v>
      </c>
      <c r="AJ148" s="83" t="n">
        <f aca="false">IF($S148&gt;=2,IF(ISNUMBER(H148),H148*$F148,MIN($G148:$J148)*$F148),0)</f>
        <v>256.72</v>
      </c>
      <c r="AK148" s="83" t="n">
        <f aca="false">IF($S148&gt;=2,IF(ISNUMBER(I148),I148*$F148,MIN($G148:$J148)*$F148),0)</f>
        <v>297</v>
      </c>
      <c r="AL148" s="83" t="n">
        <f aca="false">IF($S148&gt;=2,IF(ISNUMBER(J148),J148*$F148,MIN($G148:$J148)*$F148),0)</f>
        <v>398.66</v>
      </c>
      <c r="AM148" s="84" t="n">
        <f aca="false">IF($S148&gt;=2,$R148+ROW()/1000000,"")</f>
        <v>141.940148</v>
      </c>
      <c r="AN148" s="83" t="n">
        <f aca="false">IF($S148&gt;=2,MAX(G148:J148),"")</f>
        <v>0.39866</v>
      </c>
      <c r="AO148" s="82" t="str">
        <f aca="false">IF($S148&gt;=2,INDEX($G$6:$J$6,MATCH(MAX(G148:J148),G148:J148,0)),"")</f>
        <v>Scholzen</v>
      </c>
      <c r="AP148" s="83" t="n">
        <f aca="false">IF($S148&gt;=2,MIN(G148:J148)*$F148,0)</f>
        <v>256.72</v>
      </c>
      <c r="AQ148" s="82" t="str">
        <f aca="false">IF($S148&gt;=2,INDEX($G$6:$J$6,MATCH(MIN(G148:J148),G148:J148,0)),"")</f>
        <v>HD Fowler</v>
      </c>
    </row>
    <row r="149" customFormat="false" ht="15" hidden="false" customHeight="true" outlineLevel="0" collapsed="false">
      <c r="A149" s="70" t="s">
        <v>463</v>
      </c>
      <c r="B149" s="71" t="s">
        <v>457</v>
      </c>
      <c r="C149" s="72" t="s">
        <v>460</v>
      </c>
      <c r="D149" s="73" t="s">
        <v>464</v>
      </c>
      <c r="E149" s="74" t="s">
        <v>133</v>
      </c>
      <c r="F149" s="75" t="n">
        <v>1</v>
      </c>
      <c r="G149" s="76" t="n">
        <f aca="false">IF(COUNTIF('Quote Lines'!$P$3:$P$805,$A149&amp;"|"&amp;G$6&amp;"|1")=0,"—",SUMIFS('Quote Lines'!$O$3:$O$805,'Quote Lines'!$P$3:$P$805,$A149&amp;"|"&amp;G$6&amp;"|1")/SUMIFS('Quote Lines'!$L$3:$L$805,'Quote Lines'!$P$3:$P$805,$A149&amp;"|"&amp;G$6&amp;"|1"))</f>
        <v>39.71</v>
      </c>
      <c r="H149" s="76" t="n">
        <f aca="false">IF(COUNTIF('Quote Lines'!$P$3:$P$805,$A149&amp;"|"&amp;H$6&amp;"|1")=0,"—",SUMIFS('Quote Lines'!$O$3:$O$805,'Quote Lines'!$P$3:$P$805,$A149&amp;"|"&amp;H$6&amp;"|1")/SUMIFS('Quote Lines'!$L$3:$L$805,'Quote Lines'!$P$3:$P$805,$A149&amp;"|"&amp;H$6&amp;"|1"))</f>
        <v>47.6</v>
      </c>
      <c r="I149" s="85" t="s">
        <v>138</v>
      </c>
      <c r="J149" s="85" t="s">
        <v>138</v>
      </c>
      <c r="K149" s="14" t="n">
        <f aca="false">IF(ISNUMBER(G149),G149*$F149,"—")</f>
        <v>39.71</v>
      </c>
      <c r="L149" s="14" t="n">
        <f aca="false">IF(ISNUMBER(H149),H149*$F149,"—")</f>
        <v>47.6</v>
      </c>
      <c r="M149" s="14" t="str">
        <f aca="false">IF(ISNUMBER(I149),I149*$F149,"—")</f>
        <v>—</v>
      </c>
      <c r="N149" s="14" t="str">
        <f aca="false">IF(ISNUMBER(J149),J149*$F149,"—")</f>
        <v>—</v>
      </c>
      <c r="O149" s="77" t="n">
        <f aca="false">IF($S149=0,"—",MIN(G149:J149))</f>
        <v>39.71</v>
      </c>
      <c r="P149" s="42" t="str">
        <f aca="false">IF($S149=0,"—",IF(COUNTIF(G149:J149,O149)&gt;1,"Tie",INDEX($G$6:$J$6,MATCH(O149,G149:J149,0))))</f>
        <v>Ferguson</v>
      </c>
      <c r="Q149" s="48" t="n">
        <f aca="false">IF($S149&gt;=2,MAX(G149:J149)/MIN(G149:J149)-1,"—")</f>
        <v>0.198690506169731</v>
      </c>
      <c r="R149" s="78" t="n">
        <f aca="false">IF($S149&gt;=2,(MAX(G149:J149)-MIN(G149:J149))*$F149,"—")</f>
        <v>7.89</v>
      </c>
      <c r="S149" s="18" t="n">
        <f aca="false">COUNT(G149:J149)</f>
        <v>2</v>
      </c>
      <c r="T149" s="79" t="str">
        <f aca="false">IF($S149&lt;=1,IF($S149=1,"Single quote","—"),"Like-for-like")</f>
        <v>Like-for-like</v>
      </c>
      <c r="U149" s="79" t="str">
        <f aca="false">IF(COUNT(W149:Z149)&lt;2,"",IF(MAX(W149:Z149)=MIN(W149:Z149),"OK","Qty differs"))</f>
        <v>OK</v>
      </c>
      <c r="V149" s="80"/>
      <c r="W149" s="81" t="n">
        <f aca="false">IF(COUNTIFS('Quote Lines'!$P$3:$P$805,$A149&amp;"|"&amp;G$6&amp;"|1",'Quote Lines'!$M$3:$M$805,"Y")=0,"",SUMIFS('Quote Lines'!$L$3:$L$805,'Quote Lines'!$P$3:$P$805,$A149&amp;"|"&amp;G$6&amp;"|1",'Quote Lines'!$M$3:$M$805,"Y"))</f>
        <v>1</v>
      </c>
      <c r="X149" s="81" t="n">
        <f aca="false">IF(COUNTIFS('Quote Lines'!$P$3:$P$805,$A149&amp;"|"&amp;H$6&amp;"|1",'Quote Lines'!$M$3:$M$805,"Y")=0,"",SUMIFS('Quote Lines'!$L$3:$L$805,'Quote Lines'!$P$3:$P$805,$A149&amp;"|"&amp;H$6&amp;"|1",'Quote Lines'!$M$3:$M$805,"Y"))</f>
        <v>1</v>
      </c>
      <c r="Y149" s="81"/>
      <c r="Z149" s="81"/>
      <c r="AA149" s="82" t="n">
        <f aca="false">IF(ISNUMBER(G149),1+SUMPRODUCT(ISNUMBER($G149:$J149)*($G149:$J149&lt;G149)),"")</f>
        <v>1</v>
      </c>
      <c r="AB149" s="82" t="n">
        <f aca="false">IF(ISNUMBER(H149),1+SUMPRODUCT(ISNUMBER($G149:$J149)*($G149:$J149&lt;H149)),"")</f>
        <v>2</v>
      </c>
      <c r="AC149" s="82" t="str">
        <f aca="false">IF(ISNUMBER(I149),1+SUMPRODUCT(ISNUMBER($G149:$J149)*($G149:$J149&lt;I149)),"")</f>
        <v/>
      </c>
      <c r="AD149" s="82" t="str">
        <f aca="false">IF(ISNUMBER(J149),1+SUMPRODUCT(ISNUMBER($G149:$J149)*($G149:$J149&lt;J149)),"")</f>
        <v/>
      </c>
      <c r="AE149" s="82" t="n">
        <f aca="false">IF(NOT(ISNUMBER(G149)),0,IF($S149&lt;2,5,IF(AA149=1,1,IF(G149=MAX($G149:$J149),4,IF(AA149=2,2,3)))))</f>
        <v>1</v>
      </c>
      <c r="AF149" s="82" t="n">
        <f aca="false">IF(NOT(ISNUMBER(H149)),0,IF($S149&lt;2,5,IF(AB149=1,1,IF(H149=MAX($G149:$J149),4,IF(AB149=2,2,3)))))</f>
        <v>4</v>
      </c>
      <c r="AG149" s="82" t="n">
        <f aca="false">IF(NOT(ISNUMBER(I149)),0,IF($S149&lt;2,5,IF(AC149=1,1,IF(I149=MAX($G149:$J149),4,IF(AC149=2,2,3)))))</f>
        <v>0</v>
      </c>
      <c r="AH149" s="82" t="n">
        <f aca="false">IF(NOT(ISNUMBER(J149)),0,IF($S149&lt;2,5,IF(AD149=1,1,IF(J149=MAX($G149:$J149),4,IF(AD149=2,2,3)))))</f>
        <v>0</v>
      </c>
      <c r="AI149" s="83" t="n">
        <f aca="false">IF($S149&gt;=2,IF(ISNUMBER(G149),G149*$F149,MIN($G149:$J149)*$F149),0)</f>
        <v>39.71</v>
      </c>
      <c r="AJ149" s="83" t="n">
        <f aca="false">IF($S149&gt;=2,IF(ISNUMBER(H149),H149*$F149,MIN($G149:$J149)*$F149),0)</f>
        <v>47.6</v>
      </c>
      <c r="AK149" s="83" t="n">
        <f aca="false">IF($S149&gt;=2,IF(ISNUMBER(I149),I149*$F149,MIN($G149:$J149)*$F149),0)</f>
        <v>39.71</v>
      </c>
      <c r="AL149" s="83" t="n">
        <f aca="false">IF($S149&gt;=2,IF(ISNUMBER(J149),J149*$F149,MIN($G149:$J149)*$F149),0)</f>
        <v>39.71</v>
      </c>
      <c r="AM149" s="84" t="n">
        <f aca="false">IF($S149&gt;=2,$R149+ROW()/1000000,"")</f>
        <v>7.890149</v>
      </c>
      <c r="AN149" s="83" t="n">
        <f aca="false">IF($S149&gt;=2,MAX(G149:J149),"")</f>
        <v>47.6</v>
      </c>
      <c r="AO149" s="82" t="str">
        <f aca="false">IF($S149&gt;=2,INDEX($G$6:$J$6,MATCH(MAX(G149:J149),G149:J149,0)),"")</f>
        <v>HD Fowler</v>
      </c>
      <c r="AP149" s="83" t="n">
        <f aca="false">IF($S149&gt;=2,MIN(G149:J149)*$F149,0)</f>
        <v>39.71</v>
      </c>
      <c r="AQ149" s="82" t="str">
        <f aca="false">IF($S149&gt;=2,INDEX($G$6:$J$6,MATCH(MIN(G149:J149),G149:J149,0)),"")</f>
        <v>Ferguson</v>
      </c>
    </row>
    <row r="150" customFormat="false" ht="27.75" hidden="false" customHeight="true" outlineLevel="0" collapsed="false">
      <c r="A150" s="70" t="s">
        <v>465</v>
      </c>
      <c r="B150" s="71" t="s">
        <v>457</v>
      </c>
      <c r="C150" s="72" t="s">
        <v>294</v>
      </c>
      <c r="D150" s="73" t="s">
        <v>466</v>
      </c>
      <c r="E150" s="74" t="s">
        <v>133</v>
      </c>
      <c r="F150" s="75" t="n">
        <v>18</v>
      </c>
      <c r="G150" s="76" t="n">
        <f aca="false">IF(COUNTIF('Quote Lines'!$P$3:$P$805,$A150&amp;"|"&amp;G$6&amp;"|1")=0,"—",SUMIFS('Quote Lines'!$O$3:$O$805,'Quote Lines'!$P$3:$P$805,$A150&amp;"|"&amp;G$6&amp;"|1")/SUMIFS('Quote Lines'!$L$3:$L$805,'Quote Lines'!$P$3:$P$805,$A150&amp;"|"&amp;G$6&amp;"|1"))</f>
        <v>85.95</v>
      </c>
      <c r="H150" s="76" t="n">
        <f aca="false">IF(COUNTIF('Quote Lines'!$P$3:$P$805,$A150&amp;"|"&amp;H$6&amp;"|1")=0,"—",SUMIFS('Quote Lines'!$O$3:$O$805,'Quote Lines'!$P$3:$P$805,$A150&amp;"|"&amp;H$6&amp;"|1")/SUMIFS('Quote Lines'!$L$3:$L$805,'Quote Lines'!$P$3:$P$805,$A150&amp;"|"&amp;H$6&amp;"|1"))</f>
        <v>71.83</v>
      </c>
      <c r="I150" s="76" t="n">
        <f aca="false">IF(COUNTIF('Quote Lines'!$P$3:$P$805,$A150&amp;"|"&amp;I$6&amp;"|1")=0,"—",SUMIFS('Quote Lines'!$O$3:$O$805,'Quote Lines'!$P$3:$P$805,$A150&amp;"|"&amp;I$6&amp;"|1")/SUMIFS('Quote Lines'!$L$3:$L$805,'Quote Lines'!$P$3:$P$805,$A150&amp;"|"&amp;I$6&amp;"|1"))</f>
        <v>62.7061111111111</v>
      </c>
      <c r="J150" s="76" t="n">
        <f aca="false">IF(COUNTIF('Quote Lines'!$P$3:$P$805,$A150&amp;"|"&amp;J$6&amp;"|1")=0,"—",SUMIFS('Quote Lines'!$O$3:$O$805,'Quote Lines'!$P$3:$P$805,$A150&amp;"|"&amp;J$6&amp;"|1")/SUMIFS('Quote Lines'!$L$3:$L$805,'Quote Lines'!$P$3:$P$805,$A150&amp;"|"&amp;J$6&amp;"|1"))</f>
        <v>77.18</v>
      </c>
      <c r="K150" s="14" t="n">
        <f aca="false">IF(ISNUMBER(G150),G150*$F150,"—")</f>
        <v>1547.1</v>
      </c>
      <c r="L150" s="14" t="n">
        <f aca="false">IF(ISNUMBER(H150),H150*$F150,"—")</f>
        <v>1292.94</v>
      </c>
      <c r="M150" s="14" t="n">
        <f aca="false">IF(ISNUMBER(I150),I150*$F150,"—")</f>
        <v>1128.71</v>
      </c>
      <c r="N150" s="14" t="n">
        <f aca="false">IF(ISNUMBER(J150),J150*$F150,"—")</f>
        <v>1389.24</v>
      </c>
      <c r="O150" s="77" t="n">
        <f aca="false">IF($S150=0,"—",MIN(G150:J150))</f>
        <v>62.7061111111111</v>
      </c>
      <c r="P150" s="42" t="str">
        <f aca="false">IF($S150=0,"—",IF(COUNTIF(G150:J150,O150)&gt;1,"Tie",INDEX($G$6:$J$6,MATCH(O150,G150:J150,0))))</f>
        <v>Mountainland</v>
      </c>
      <c r="Q150" s="48" t="n">
        <f aca="false">IF($S150&gt;=2,MAX(G150:J150)/MIN(G150:J150)-1,"—")</f>
        <v>0.370679802606515</v>
      </c>
      <c r="R150" s="78" t="n">
        <f aca="false">IF($S150&gt;=2,(MAX(G150:J150)-MIN(G150:J150))*$F150,"—")</f>
        <v>418.39</v>
      </c>
      <c r="S150" s="18" t="n">
        <f aca="false">COUNT(G150:J150)</f>
        <v>4</v>
      </c>
      <c r="T150" s="79" t="str">
        <f aca="false">IF($S150&lt;=1,IF($S150=1,"Single quote","—"),"Alt spec – verify")</f>
        <v>Alt spec – verify</v>
      </c>
      <c r="U150" s="79" t="str">
        <f aca="false">IF(COUNT(W150:Z150)&lt;2,"",IF(MAX(W150:Z150)=MIN(W150:Z150),"OK","Qty differs"))</f>
        <v>Qty differs</v>
      </c>
      <c r="V150" s="80" t="s">
        <v>467</v>
      </c>
      <c r="W150" s="81" t="n">
        <f aca="false">IF(COUNTIFS('Quote Lines'!$P$3:$P$805,$A150&amp;"|"&amp;G$6&amp;"|1",'Quote Lines'!$M$3:$M$805,"Y")=0,"",SUMIFS('Quote Lines'!$L$3:$L$805,'Quote Lines'!$P$3:$P$805,$A150&amp;"|"&amp;G$6&amp;"|1",'Quote Lines'!$M$3:$M$805,"Y"))</f>
        <v>16</v>
      </c>
      <c r="X150" s="81" t="str">
        <f aca="false">IF(COUNTIFS('Quote Lines'!$P$3:$P$805,$A150&amp;"|"&amp;H$6&amp;"|1",'Quote Lines'!$M$3:$M$805,"Y")=0,"",SUMIFS('Quote Lines'!$L$3:$L$805,'Quote Lines'!$P$3:$P$805,$A150&amp;"|"&amp;H$6&amp;"|1",'Quote Lines'!$M$3:$M$805,"Y"))</f>
        <v/>
      </c>
      <c r="Y150" s="81" t="n">
        <f aca="false">IF(COUNTIFS('Quote Lines'!$P$3:$P$805,$A150&amp;"|"&amp;I$6&amp;"|1",'Quote Lines'!$M$3:$M$805,"Y")=0,"",SUMIFS('Quote Lines'!$L$3:$L$805,'Quote Lines'!$P$3:$P$805,$A150&amp;"|"&amp;I$6&amp;"|1",'Quote Lines'!$M$3:$M$805,"Y"))</f>
        <v>18</v>
      </c>
      <c r="Z150" s="81" t="n">
        <f aca="false">IF(COUNTIFS('Quote Lines'!$P$3:$P$805,$A150&amp;"|"&amp;J$6&amp;"|1",'Quote Lines'!$M$3:$M$805,"Y")=0,"",SUMIFS('Quote Lines'!$L$3:$L$805,'Quote Lines'!$P$3:$P$805,$A150&amp;"|"&amp;J$6&amp;"|1",'Quote Lines'!$M$3:$M$805,"Y"))</f>
        <v>18</v>
      </c>
      <c r="AA150" s="82" t="n">
        <f aca="false">IF(ISNUMBER(G150),1+SUMPRODUCT(ISNUMBER($G150:$J150)*($G150:$J150&lt;G150)),"")</f>
        <v>4</v>
      </c>
      <c r="AB150" s="82" t="n">
        <f aca="false">IF(ISNUMBER(H150),1+SUMPRODUCT(ISNUMBER($G150:$J150)*($G150:$J150&lt;H150)),"")</f>
        <v>2</v>
      </c>
      <c r="AC150" s="82" t="n">
        <f aca="false">IF(ISNUMBER(I150),1+SUMPRODUCT(ISNUMBER($G150:$J150)*($G150:$J150&lt;I150)),"")</f>
        <v>1</v>
      </c>
      <c r="AD150" s="82" t="n">
        <f aca="false">IF(ISNUMBER(J150),1+SUMPRODUCT(ISNUMBER($G150:$J150)*($G150:$J150&lt;J150)),"")</f>
        <v>3</v>
      </c>
      <c r="AE150" s="82" t="n">
        <f aca="false">IF(NOT(ISNUMBER(G150)),0,IF($S150&lt;2,5,IF(AA150=1,1,IF(G150=MAX($G150:$J150),4,IF(AA150=2,2,3)))))</f>
        <v>4</v>
      </c>
      <c r="AF150" s="82" t="n">
        <f aca="false">IF(NOT(ISNUMBER(H150)),0,IF($S150&lt;2,5,IF(AB150=1,1,IF(H150=MAX($G150:$J150),4,IF(AB150=2,2,3)))))</f>
        <v>2</v>
      </c>
      <c r="AG150" s="82" t="n">
        <f aca="false">IF(NOT(ISNUMBER(I150)),0,IF($S150&lt;2,5,IF(AC150=1,1,IF(I150=MAX($G150:$J150),4,IF(AC150=2,2,3)))))</f>
        <v>1</v>
      </c>
      <c r="AH150" s="82" t="n">
        <f aca="false">IF(NOT(ISNUMBER(J150)),0,IF($S150&lt;2,5,IF(AD150=1,1,IF(J150=MAX($G150:$J150),4,IF(AD150=2,2,3)))))</f>
        <v>3</v>
      </c>
      <c r="AI150" s="83" t="n">
        <f aca="false">IF($S150&gt;=2,IF(ISNUMBER(G150),G150*$F150,MIN($G150:$J150)*$F150),0)</f>
        <v>1547.1</v>
      </c>
      <c r="AJ150" s="83" t="n">
        <f aca="false">IF($S150&gt;=2,IF(ISNUMBER(H150),H150*$F150,MIN($G150:$J150)*$F150),0)</f>
        <v>1292.94</v>
      </c>
      <c r="AK150" s="83" t="n">
        <f aca="false">IF($S150&gt;=2,IF(ISNUMBER(I150),I150*$F150,MIN($G150:$J150)*$F150),0)</f>
        <v>1128.71</v>
      </c>
      <c r="AL150" s="83" t="n">
        <f aca="false">IF($S150&gt;=2,IF(ISNUMBER(J150),J150*$F150,MIN($G150:$J150)*$F150),0)</f>
        <v>1389.24</v>
      </c>
      <c r="AM150" s="84" t="n">
        <f aca="false">IF($S150&gt;=2,$R150+ROW()/1000000,"")</f>
        <v>418.39015</v>
      </c>
      <c r="AN150" s="83" t="n">
        <f aca="false">IF($S150&gt;=2,MAX(G150:J150),"")</f>
        <v>85.95</v>
      </c>
      <c r="AO150" s="82" t="str">
        <f aca="false">IF($S150&gt;=2,INDEX($G$6:$J$6,MATCH(MAX(G150:J150),G150:J150,0)),"")</f>
        <v>Ferguson</v>
      </c>
      <c r="AP150" s="83" t="n">
        <f aca="false">IF($S150&gt;=2,MIN(G150:J150)*$F150,0)</f>
        <v>1128.71</v>
      </c>
      <c r="AQ150" s="82" t="str">
        <f aca="false">IF($S150&gt;=2,INDEX($G$6:$J$6,MATCH(MIN(G150:J150),G150:J150,0)),"")</f>
        <v>Mountainland</v>
      </c>
    </row>
    <row r="151" customFormat="false" ht="15" hidden="false" customHeight="true" outlineLevel="0" collapsed="false">
      <c r="A151" s="70" t="s">
        <v>468</v>
      </c>
      <c r="B151" s="71" t="s">
        <v>457</v>
      </c>
      <c r="C151" s="72" t="s">
        <v>469</v>
      </c>
      <c r="D151" s="73" t="s">
        <v>470</v>
      </c>
      <c r="E151" s="74" t="s">
        <v>178</v>
      </c>
      <c r="F151" s="75" t="n">
        <v>340</v>
      </c>
      <c r="G151" s="85" t="s">
        <v>138</v>
      </c>
      <c r="H151" s="76" t="n">
        <f aca="false">IF(COUNTIF('Quote Lines'!$P$3:$P$805,$A151&amp;"|"&amp;H$6&amp;"|1")=0,"—",SUMIFS('Quote Lines'!$O$3:$O$805,'Quote Lines'!$P$3:$P$805,$A151&amp;"|"&amp;H$6&amp;"|1")/SUMIFS('Quote Lines'!$L$3:$L$805,'Quote Lines'!$P$3:$P$805,$A151&amp;"|"&amp;H$6&amp;"|1"))</f>
        <v>0.59</v>
      </c>
      <c r="I151" s="85" t="s">
        <v>138</v>
      </c>
      <c r="J151" s="85" t="s">
        <v>138</v>
      </c>
      <c r="K151" s="14" t="str">
        <f aca="false">IF(ISNUMBER(G151),G151*$F151,"—")</f>
        <v>—</v>
      </c>
      <c r="L151" s="14" t="n">
        <f aca="false">IF(ISNUMBER(H151),H151*$F151,"—")</f>
        <v>200.6</v>
      </c>
      <c r="M151" s="14" t="str">
        <f aca="false">IF(ISNUMBER(I151),I151*$F151,"—")</f>
        <v>—</v>
      </c>
      <c r="N151" s="14" t="str">
        <f aca="false">IF(ISNUMBER(J151),J151*$F151,"—")</f>
        <v>—</v>
      </c>
      <c r="O151" s="77" t="n">
        <f aca="false">IF($S151=0,"—",MIN(G151:J151))</f>
        <v>0.59</v>
      </c>
      <c r="P151" s="42" t="str">
        <f aca="false">IF($S151=0,"—",IF(COUNTIF(G151:J151,O151)&gt;1,"Tie",INDEX($G$6:$J$6,MATCH(O151,G151:J151,0))))</f>
        <v>HD Fowler</v>
      </c>
      <c r="Q151" s="48" t="str">
        <f aca="false">IF($S151&gt;=2,MAX(G151:J151)/MIN(G151:J151)-1,"—")</f>
        <v>—</v>
      </c>
      <c r="R151" s="78" t="str">
        <f aca="false">IF($S151&gt;=2,(MAX(G151:J151)-MIN(G151:J151))*$F151,"—")</f>
        <v>—</v>
      </c>
      <c r="S151" s="18" t="n">
        <f aca="false">COUNT(G151:J151)</f>
        <v>1</v>
      </c>
      <c r="T151" s="79" t="str">
        <f aca="false">IF($S151&lt;=1,IF($S151=1,"Single quote","—"),"Like-for-like")</f>
        <v>Single quote</v>
      </c>
      <c r="U151" s="79" t="str">
        <f aca="false">IF(COUNT(W151:Z151)&lt;2,"",IF(MAX(W151:Z151)=MIN(W151:Z151),"OK","Qty differs"))</f>
        <v/>
      </c>
      <c r="V151" s="80"/>
      <c r="W151" s="81"/>
      <c r="X151" s="81" t="n">
        <f aca="false">IF(COUNTIFS('Quote Lines'!$P$3:$P$805,$A151&amp;"|"&amp;H$6&amp;"|1",'Quote Lines'!$M$3:$M$805,"Y")=0,"",SUMIFS('Quote Lines'!$L$3:$L$805,'Quote Lines'!$P$3:$P$805,$A151&amp;"|"&amp;H$6&amp;"|1",'Quote Lines'!$M$3:$M$805,"Y"))</f>
        <v>340</v>
      </c>
      <c r="Y151" s="81"/>
      <c r="Z151" s="81"/>
      <c r="AA151" s="82" t="str">
        <f aca="false">IF(ISNUMBER(G151),1+SUMPRODUCT(ISNUMBER($G151:$J151)*($G151:$J151&lt;G151)),"")</f>
        <v/>
      </c>
      <c r="AB151" s="82" t="n">
        <f aca="false">IF(ISNUMBER(H151),1+SUMPRODUCT(ISNUMBER($G151:$J151)*($G151:$J151&lt;H151)),"")</f>
        <v>1</v>
      </c>
      <c r="AC151" s="82" t="str">
        <f aca="false">IF(ISNUMBER(I151),1+SUMPRODUCT(ISNUMBER($G151:$J151)*($G151:$J151&lt;I151)),"")</f>
        <v/>
      </c>
      <c r="AD151" s="82" t="str">
        <f aca="false">IF(ISNUMBER(J151),1+SUMPRODUCT(ISNUMBER($G151:$J151)*($G151:$J151&lt;J151)),"")</f>
        <v/>
      </c>
      <c r="AE151" s="82" t="n">
        <f aca="false">IF(NOT(ISNUMBER(G151)),0,IF($S151&lt;2,5,IF(AA151=1,1,IF(G151=MAX($G151:$J151),4,IF(AA151=2,2,3)))))</f>
        <v>0</v>
      </c>
      <c r="AF151" s="82" t="n">
        <f aca="false">IF(NOT(ISNUMBER(H151)),0,IF($S151&lt;2,5,IF(AB151=1,1,IF(H151=MAX($G151:$J151),4,IF(AB151=2,2,3)))))</f>
        <v>5</v>
      </c>
      <c r="AG151" s="82" t="n">
        <f aca="false">IF(NOT(ISNUMBER(I151)),0,IF($S151&lt;2,5,IF(AC151=1,1,IF(I151=MAX($G151:$J151),4,IF(AC151=2,2,3)))))</f>
        <v>0</v>
      </c>
      <c r="AH151" s="82" t="n">
        <f aca="false">IF(NOT(ISNUMBER(J151)),0,IF($S151&lt;2,5,IF(AD151=1,1,IF(J151=MAX($G151:$J151),4,IF(AD151=2,2,3)))))</f>
        <v>0</v>
      </c>
      <c r="AI151" s="83" t="n">
        <f aca="false">IF($S151&gt;=2,IF(ISNUMBER(G151),G151*$F151,MIN($G151:$J151)*$F151),0)</f>
        <v>0</v>
      </c>
      <c r="AJ151" s="83" t="n">
        <f aca="false">IF($S151&gt;=2,IF(ISNUMBER(H151),H151*$F151,MIN($G151:$J151)*$F151),0)</f>
        <v>0</v>
      </c>
      <c r="AK151" s="83" t="n">
        <f aca="false">IF($S151&gt;=2,IF(ISNUMBER(I151),I151*$F151,MIN($G151:$J151)*$F151),0)</f>
        <v>0</v>
      </c>
      <c r="AL151" s="83" t="n">
        <f aca="false">IF($S151&gt;=2,IF(ISNUMBER(J151),J151*$F151,MIN($G151:$J151)*$F151),0)</f>
        <v>0</v>
      </c>
      <c r="AM151" s="84" t="str">
        <f aca="false">IF($S151&gt;=2,$R151+ROW()/1000000,"")</f>
        <v/>
      </c>
      <c r="AN151" s="83" t="str">
        <f aca="false">IF($S151&gt;=2,MAX(G151:J151),"")</f>
        <v/>
      </c>
      <c r="AO151" s="82" t="str">
        <f aca="false">IF($S151&gt;=2,INDEX($G$6:$J$6,MATCH(MAX(G151:J151),G151:J151,0)),"")</f>
        <v/>
      </c>
      <c r="AP151" s="83" t="n">
        <f aca="false">IF($S151&gt;=2,MIN(G151:J151)*$F151,0)</f>
        <v>0</v>
      </c>
      <c r="AQ151" s="82" t="str">
        <f aca="false">IF($S151&gt;=2,INDEX($G$6:$J$6,MATCH(MIN(G151:J151),G151:J151,0)),"")</f>
        <v/>
      </c>
    </row>
    <row r="152" customFormat="false" ht="15" hidden="false" customHeight="true" outlineLevel="0" collapsed="false">
      <c r="A152" s="70" t="s">
        <v>471</v>
      </c>
      <c r="B152" s="71" t="s">
        <v>457</v>
      </c>
      <c r="C152" s="72" t="s">
        <v>469</v>
      </c>
      <c r="D152" s="73" t="s">
        <v>472</v>
      </c>
      <c r="E152" s="74" t="s">
        <v>473</v>
      </c>
      <c r="F152" s="75" t="n">
        <v>5</v>
      </c>
      <c r="G152" s="85" t="s">
        <v>138</v>
      </c>
      <c r="H152" s="76" t="n">
        <f aca="false">IF(COUNTIF('Quote Lines'!$P$3:$P$805,$A152&amp;"|"&amp;H$6&amp;"|1")=0,"—",SUMIFS('Quote Lines'!$O$3:$O$805,'Quote Lines'!$P$3:$P$805,$A152&amp;"|"&amp;H$6&amp;"|1")/SUMIFS('Quote Lines'!$L$3:$L$805,'Quote Lines'!$P$3:$P$805,$A152&amp;"|"&amp;H$6&amp;"|1"))</f>
        <v>6.64</v>
      </c>
      <c r="I152" s="85" t="s">
        <v>138</v>
      </c>
      <c r="J152" s="85" t="s">
        <v>138</v>
      </c>
      <c r="K152" s="14" t="str">
        <f aca="false">IF(ISNUMBER(G152),G152*$F152,"—")</f>
        <v>—</v>
      </c>
      <c r="L152" s="14" t="n">
        <f aca="false">IF(ISNUMBER(H152),H152*$F152,"—")</f>
        <v>33.2</v>
      </c>
      <c r="M152" s="14" t="str">
        <f aca="false">IF(ISNUMBER(I152),I152*$F152,"—")</f>
        <v>—</v>
      </c>
      <c r="N152" s="14" t="str">
        <f aca="false">IF(ISNUMBER(J152),J152*$F152,"—")</f>
        <v>—</v>
      </c>
      <c r="O152" s="77" t="n">
        <f aca="false">IF($S152=0,"—",MIN(G152:J152))</f>
        <v>6.64</v>
      </c>
      <c r="P152" s="42" t="str">
        <f aca="false">IF($S152=0,"—",IF(COUNTIF(G152:J152,O152)&gt;1,"Tie",INDEX($G$6:$J$6,MATCH(O152,G152:J152,0))))</f>
        <v>HD Fowler</v>
      </c>
      <c r="Q152" s="48" t="str">
        <f aca="false">IF($S152&gt;=2,MAX(G152:J152)/MIN(G152:J152)-1,"—")</f>
        <v>—</v>
      </c>
      <c r="R152" s="78" t="str">
        <f aca="false">IF($S152&gt;=2,(MAX(G152:J152)-MIN(G152:J152))*$F152,"—")</f>
        <v>—</v>
      </c>
      <c r="S152" s="18" t="n">
        <f aca="false">COUNT(G152:J152)</f>
        <v>1</v>
      </c>
      <c r="T152" s="79" t="str">
        <f aca="false">IF($S152&lt;=1,IF($S152=1,"Single quote","—"),"Like-for-like")</f>
        <v>Single quote</v>
      </c>
      <c r="U152" s="79" t="str">
        <f aca="false">IF(COUNT(W152:Z152)&lt;2,"",IF(MAX(W152:Z152)=MIN(W152:Z152),"OK","Qty differs"))</f>
        <v/>
      </c>
      <c r="V152" s="80"/>
      <c r="W152" s="81"/>
      <c r="X152" s="81" t="n">
        <f aca="false">IF(COUNTIFS('Quote Lines'!$P$3:$P$805,$A152&amp;"|"&amp;H$6&amp;"|1",'Quote Lines'!$M$3:$M$805,"Y")=0,"",SUMIFS('Quote Lines'!$L$3:$L$805,'Quote Lines'!$P$3:$P$805,$A152&amp;"|"&amp;H$6&amp;"|1",'Quote Lines'!$M$3:$M$805,"Y"))</f>
        <v>5</v>
      </c>
      <c r="Y152" s="81"/>
      <c r="Z152" s="81"/>
      <c r="AA152" s="82" t="str">
        <f aca="false">IF(ISNUMBER(G152),1+SUMPRODUCT(ISNUMBER($G152:$J152)*($G152:$J152&lt;G152)),"")</f>
        <v/>
      </c>
      <c r="AB152" s="82" t="n">
        <f aca="false">IF(ISNUMBER(H152),1+SUMPRODUCT(ISNUMBER($G152:$J152)*($G152:$J152&lt;H152)),"")</f>
        <v>1</v>
      </c>
      <c r="AC152" s="82" t="str">
        <f aca="false">IF(ISNUMBER(I152),1+SUMPRODUCT(ISNUMBER($G152:$J152)*($G152:$J152&lt;I152)),"")</f>
        <v/>
      </c>
      <c r="AD152" s="82" t="str">
        <f aca="false">IF(ISNUMBER(J152),1+SUMPRODUCT(ISNUMBER($G152:$J152)*($G152:$J152&lt;J152)),"")</f>
        <v/>
      </c>
      <c r="AE152" s="82" t="n">
        <f aca="false">IF(NOT(ISNUMBER(G152)),0,IF($S152&lt;2,5,IF(AA152=1,1,IF(G152=MAX($G152:$J152),4,IF(AA152=2,2,3)))))</f>
        <v>0</v>
      </c>
      <c r="AF152" s="82" t="n">
        <f aca="false">IF(NOT(ISNUMBER(H152)),0,IF($S152&lt;2,5,IF(AB152=1,1,IF(H152=MAX($G152:$J152),4,IF(AB152=2,2,3)))))</f>
        <v>5</v>
      </c>
      <c r="AG152" s="82" t="n">
        <f aca="false">IF(NOT(ISNUMBER(I152)),0,IF($S152&lt;2,5,IF(AC152=1,1,IF(I152=MAX($G152:$J152),4,IF(AC152=2,2,3)))))</f>
        <v>0</v>
      </c>
      <c r="AH152" s="82" t="n">
        <f aca="false">IF(NOT(ISNUMBER(J152)),0,IF($S152&lt;2,5,IF(AD152=1,1,IF(J152=MAX($G152:$J152),4,IF(AD152=2,2,3)))))</f>
        <v>0</v>
      </c>
      <c r="AI152" s="83" t="n">
        <f aca="false">IF($S152&gt;=2,IF(ISNUMBER(G152),G152*$F152,MIN($G152:$J152)*$F152),0)</f>
        <v>0</v>
      </c>
      <c r="AJ152" s="83" t="n">
        <f aca="false">IF($S152&gt;=2,IF(ISNUMBER(H152),H152*$F152,MIN($G152:$J152)*$F152),0)</f>
        <v>0</v>
      </c>
      <c r="AK152" s="83" t="n">
        <f aca="false">IF($S152&gt;=2,IF(ISNUMBER(I152),I152*$F152,MIN($G152:$J152)*$F152),0)</f>
        <v>0</v>
      </c>
      <c r="AL152" s="83" t="n">
        <f aca="false">IF($S152&gt;=2,IF(ISNUMBER(J152),J152*$F152,MIN($G152:$J152)*$F152),0)</f>
        <v>0</v>
      </c>
      <c r="AM152" s="84" t="str">
        <f aca="false">IF($S152&gt;=2,$R152+ROW()/1000000,"")</f>
        <v/>
      </c>
      <c r="AN152" s="83" t="str">
        <f aca="false">IF($S152&gt;=2,MAX(G152:J152),"")</f>
        <v/>
      </c>
      <c r="AO152" s="82" t="str">
        <f aca="false">IF($S152&gt;=2,INDEX($G$6:$J$6,MATCH(MAX(G152:J152),G152:J152,0)),"")</f>
        <v/>
      </c>
      <c r="AP152" s="83" t="n">
        <f aca="false">IF($S152&gt;=2,MIN(G152:J152)*$F152,0)</f>
        <v>0</v>
      </c>
      <c r="AQ152" s="82" t="str">
        <f aca="false">IF($S152&gt;=2,INDEX($G$6:$J$6,MATCH(MIN(G152:J152),G152:J152,0)),"")</f>
        <v/>
      </c>
    </row>
    <row r="153" customFormat="false" ht="15" hidden="false" customHeight="true" outlineLevel="0" collapsed="false">
      <c r="A153" s="70" t="s">
        <v>474</v>
      </c>
      <c r="B153" s="71" t="s">
        <v>457</v>
      </c>
      <c r="C153" s="72" t="s">
        <v>469</v>
      </c>
      <c r="D153" s="73" t="s">
        <v>475</v>
      </c>
      <c r="E153" s="74" t="s">
        <v>133</v>
      </c>
      <c r="F153" s="75" t="n">
        <v>2</v>
      </c>
      <c r="G153" s="85" t="s">
        <v>138</v>
      </c>
      <c r="H153" s="76" t="n">
        <f aca="false">IF(COUNTIF('Quote Lines'!$P$3:$P$805,$A153&amp;"|"&amp;H$6&amp;"|1")=0,"—",SUMIFS('Quote Lines'!$O$3:$O$805,'Quote Lines'!$P$3:$P$805,$A153&amp;"|"&amp;H$6&amp;"|1")/SUMIFS('Quote Lines'!$L$3:$L$805,'Quote Lines'!$P$3:$P$805,$A153&amp;"|"&amp;H$6&amp;"|1"))</f>
        <v>42.82</v>
      </c>
      <c r="I153" s="85" t="s">
        <v>138</v>
      </c>
      <c r="J153" s="85" t="s">
        <v>138</v>
      </c>
      <c r="K153" s="14" t="str">
        <f aca="false">IF(ISNUMBER(G153),G153*$F153,"—")</f>
        <v>—</v>
      </c>
      <c r="L153" s="14" t="n">
        <f aca="false">IF(ISNUMBER(H153),H153*$F153,"—")</f>
        <v>85.64</v>
      </c>
      <c r="M153" s="14" t="str">
        <f aca="false">IF(ISNUMBER(I153),I153*$F153,"—")</f>
        <v>—</v>
      </c>
      <c r="N153" s="14" t="str">
        <f aca="false">IF(ISNUMBER(J153),J153*$F153,"—")</f>
        <v>—</v>
      </c>
      <c r="O153" s="77" t="n">
        <f aca="false">IF($S153=0,"—",MIN(G153:J153))</f>
        <v>42.82</v>
      </c>
      <c r="P153" s="42" t="str">
        <f aca="false">IF($S153=0,"—",IF(COUNTIF(G153:J153,O153)&gt;1,"Tie",INDEX($G$6:$J$6,MATCH(O153,G153:J153,0))))</f>
        <v>HD Fowler</v>
      </c>
      <c r="Q153" s="48" t="str">
        <f aca="false">IF($S153&gt;=2,MAX(G153:J153)/MIN(G153:J153)-1,"—")</f>
        <v>—</v>
      </c>
      <c r="R153" s="78" t="str">
        <f aca="false">IF($S153&gt;=2,(MAX(G153:J153)-MIN(G153:J153))*$F153,"—")</f>
        <v>—</v>
      </c>
      <c r="S153" s="18" t="n">
        <f aca="false">COUNT(G153:J153)</f>
        <v>1</v>
      </c>
      <c r="T153" s="79" t="str">
        <f aca="false">IF($S153&lt;=1,IF($S153=1,"Single quote","—"),"Like-for-like")</f>
        <v>Single quote</v>
      </c>
      <c r="U153" s="79" t="str">
        <f aca="false">IF(COUNT(W153:Z153)&lt;2,"",IF(MAX(W153:Z153)=MIN(W153:Z153),"OK","Qty differs"))</f>
        <v/>
      </c>
      <c r="V153" s="80"/>
      <c r="W153" s="81"/>
      <c r="X153" s="81" t="n">
        <f aca="false">IF(COUNTIFS('Quote Lines'!$P$3:$P$805,$A153&amp;"|"&amp;H$6&amp;"|1",'Quote Lines'!$M$3:$M$805,"Y")=0,"",SUMIFS('Quote Lines'!$L$3:$L$805,'Quote Lines'!$P$3:$P$805,$A153&amp;"|"&amp;H$6&amp;"|1",'Quote Lines'!$M$3:$M$805,"Y"))</f>
        <v>2</v>
      </c>
      <c r="Y153" s="81"/>
      <c r="Z153" s="81"/>
      <c r="AA153" s="82" t="str">
        <f aca="false">IF(ISNUMBER(G153),1+SUMPRODUCT(ISNUMBER($G153:$J153)*($G153:$J153&lt;G153)),"")</f>
        <v/>
      </c>
      <c r="AB153" s="82" t="n">
        <f aca="false">IF(ISNUMBER(H153),1+SUMPRODUCT(ISNUMBER($G153:$J153)*($G153:$J153&lt;H153)),"")</f>
        <v>1</v>
      </c>
      <c r="AC153" s="82" t="str">
        <f aca="false">IF(ISNUMBER(I153),1+SUMPRODUCT(ISNUMBER($G153:$J153)*($G153:$J153&lt;I153)),"")</f>
        <v/>
      </c>
      <c r="AD153" s="82" t="str">
        <f aca="false">IF(ISNUMBER(J153),1+SUMPRODUCT(ISNUMBER($G153:$J153)*($G153:$J153&lt;J153)),"")</f>
        <v/>
      </c>
      <c r="AE153" s="82" t="n">
        <f aca="false">IF(NOT(ISNUMBER(G153)),0,IF($S153&lt;2,5,IF(AA153=1,1,IF(G153=MAX($G153:$J153),4,IF(AA153=2,2,3)))))</f>
        <v>0</v>
      </c>
      <c r="AF153" s="82" t="n">
        <f aca="false">IF(NOT(ISNUMBER(H153)),0,IF($S153&lt;2,5,IF(AB153=1,1,IF(H153=MAX($G153:$J153),4,IF(AB153=2,2,3)))))</f>
        <v>5</v>
      </c>
      <c r="AG153" s="82" t="n">
        <f aca="false">IF(NOT(ISNUMBER(I153)),0,IF($S153&lt;2,5,IF(AC153=1,1,IF(I153=MAX($G153:$J153),4,IF(AC153=2,2,3)))))</f>
        <v>0</v>
      </c>
      <c r="AH153" s="82" t="n">
        <f aca="false">IF(NOT(ISNUMBER(J153)),0,IF($S153&lt;2,5,IF(AD153=1,1,IF(J153=MAX($G153:$J153),4,IF(AD153=2,2,3)))))</f>
        <v>0</v>
      </c>
      <c r="AI153" s="83" t="n">
        <f aca="false">IF($S153&gt;=2,IF(ISNUMBER(G153),G153*$F153,MIN($G153:$J153)*$F153),0)</f>
        <v>0</v>
      </c>
      <c r="AJ153" s="83" t="n">
        <f aca="false">IF($S153&gt;=2,IF(ISNUMBER(H153),H153*$F153,MIN($G153:$J153)*$F153),0)</f>
        <v>0</v>
      </c>
      <c r="AK153" s="83" t="n">
        <f aca="false">IF($S153&gt;=2,IF(ISNUMBER(I153),I153*$F153,MIN($G153:$J153)*$F153),0)</f>
        <v>0</v>
      </c>
      <c r="AL153" s="83" t="n">
        <f aca="false">IF($S153&gt;=2,IF(ISNUMBER(J153),J153*$F153,MIN($G153:$J153)*$F153),0)</f>
        <v>0</v>
      </c>
      <c r="AM153" s="84" t="str">
        <f aca="false">IF($S153&gt;=2,$R153+ROW()/1000000,"")</f>
        <v/>
      </c>
      <c r="AN153" s="83" t="str">
        <f aca="false">IF($S153&gt;=2,MAX(G153:J153),"")</f>
        <v/>
      </c>
      <c r="AO153" s="82" t="str">
        <f aca="false">IF($S153&gt;=2,INDEX($G$6:$J$6,MATCH(MAX(G153:J153),G153:J153,0)),"")</f>
        <v/>
      </c>
      <c r="AP153" s="83" t="n">
        <f aca="false">IF($S153&gt;=2,MIN(G153:J153)*$F153,0)</f>
        <v>0</v>
      </c>
      <c r="AQ153" s="82" t="str">
        <f aca="false">IF($S153&gt;=2,INDEX($G$6:$J$6,MATCH(MIN(G153:J153),G153:J153,0)),"")</f>
        <v/>
      </c>
    </row>
    <row r="154" customFormat="false" ht="15" hidden="false" customHeight="true" outlineLevel="0" collapsed="false">
      <c r="A154" s="70" t="s">
        <v>476</v>
      </c>
      <c r="B154" s="71" t="s">
        <v>457</v>
      </c>
      <c r="C154" s="72" t="s">
        <v>469</v>
      </c>
      <c r="D154" s="73" t="s">
        <v>477</v>
      </c>
      <c r="E154" s="74" t="s">
        <v>133</v>
      </c>
      <c r="F154" s="75" t="n">
        <v>1</v>
      </c>
      <c r="G154" s="85" t="s">
        <v>138</v>
      </c>
      <c r="H154" s="76" t="n">
        <f aca="false">IF(COUNTIF('Quote Lines'!$P$3:$P$805,$A154&amp;"|"&amp;H$6&amp;"|1")=0,"—",SUMIFS('Quote Lines'!$O$3:$O$805,'Quote Lines'!$P$3:$P$805,$A154&amp;"|"&amp;H$6&amp;"|1")/SUMIFS('Quote Lines'!$L$3:$L$805,'Quote Lines'!$P$3:$P$805,$A154&amp;"|"&amp;H$6&amp;"|1"))</f>
        <v>647.81</v>
      </c>
      <c r="I154" s="85" t="s">
        <v>138</v>
      </c>
      <c r="J154" s="85" t="s">
        <v>138</v>
      </c>
      <c r="K154" s="14" t="str">
        <f aca="false">IF(ISNUMBER(G154),G154*$F154,"—")</f>
        <v>—</v>
      </c>
      <c r="L154" s="14" t="n">
        <f aca="false">IF(ISNUMBER(H154),H154*$F154,"—")</f>
        <v>647.81</v>
      </c>
      <c r="M154" s="14" t="str">
        <f aca="false">IF(ISNUMBER(I154),I154*$F154,"—")</f>
        <v>—</v>
      </c>
      <c r="N154" s="14" t="str">
        <f aca="false">IF(ISNUMBER(J154),J154*$F154,"—")</f>
        <v>—</v>
      </c>
      <c r="O154" s="77" t="n">
        <f aca="false">IF($S154=0,"—",MIN(G154:J154))</f>
        <v>647.81</v>
      </c>
      <c r="P154" s="42" t="str">
        <f aca="false">IF($S154=0,"—",IF(COUNTIF(G154:J154,O154)&gt;1,"Tie",INDEX($G$6:$J$6,MATCH(O154,G154:J154,0))))</f>
        <v>HD Fowler</v>
      </c>
      <c r="Q154" s="48" t="str">
        <f aca="false">IF($S154&gt;=2,MAX(G154:J154)/MIN(G154:J154)-1,"—")</f>
        <v>—</v>
      </c>
      <c r="R154" s="78" t="str">
        <f aca="false">IF($S154&gt;=2,(MAX(G154:J154)-MIN(G154:J154))*$F154,"—")</f>
        <v>—</v>
      </c>
      <c r="S154" s="18" t="n">
        <f aca="false">COUNT(G154:J154)</f>
        <v>1</v>
      </c>
      <c r="T154" s="79" t="str">
        <f aca="false">IF($S154&lt;=1,IF($S154=1,"Single quote","—"),"Like-for-like")</f>
        <v>Single quote</v>
      </c>
      <c r="U154" s="79" t="str">
        <f aca="false">IF(COUNT(W154:Z154)&lt;2,"",IF(MAX(W154:Z154)=MIN(W154:Z154),"OK","Qty differs"))</f>
        <v/>
      </c>
      <c r="V154" s="80" t="s">
        <v>478</v>
      </c>
      <c r="W154" s="81"/>
      <c r="X154" s="81" t="str">
        <f aca="false">IF(COUNTIFS('Quote Lines'!$P$3:$P$805,$A154&amp;"|"&amp;H$6&amp;"|1",'Quote Lines'!$M$3:$M$805,"Y")=0,"",SUMIFS('Quote Lines'!$L$3:$L$805,'Quote Lines'!$P$3:$P$805,$A154&amp;"|"&amp;H$6&amp;"|1",'Quote Lines'!$M$3:$M$805,"Y"))</f>
        <v/>
      </c>
      <c r="Y154" s="81"/>
      <c r="Z154" s="81"/>
      <c r="AA154" s="82" t="str">
        <f aca="false">IF(ISNUMBER(G154),1+SUMPRODUCT(ISNUMBER($G154:$J154)*($G154:$J154&lt;G154)),"")</f>
        <v/>
      </c>
      <c r="AB154" s="82" t="n">
        <f aca="false">IF(ISNUMBER(H154),1+SUMPRODUCT(ISNUMBER($G154:$J154)*($G154:$J154&lt;H154)),"")</f>
        <v>1</v>
      </c>
      <c r="AC154" s="82" t="str">
        <f aca="false">IF(ISNUMBER(I154),1+SUMPRODUCT(ISNUMBER($G154:$J154)*($G154:$J154&lt;I154)),"")</f>
        <v/>
      </c>
      <c r="AD154" s="82" t="str">
        <f aca="false">IF(ISNUMBER(J154),1+SUMPRODUCT(ISNUMBER($G154:$J154)*($G154:$J154&lt;J154)),"")</f>
        <v/>
      </c>
      <c r="AE154" s="82" t="n">
        <f aca="false">IF(NOT(ISNUMBER(G154)),0,IF($S154&lt;2,5,IF(AA154=1,1,IF(G154=MAX($G154:$J154),4,IF(AA154=2,2,3)))))</f>
        <v>0</v>
      </c>
      <c r="AF154" s="82" t="n">
        <f aca="false">IF(NOT(ISNUMBER(H154)),0,IF($S154&lt;2,5,IF(AB154=1,1,IF(H154=MAX($G154:$J154),4,IF(AB154=2,2,3)))))</f>
        <v>5</v>
      </c>
      <c r="AG154" s="82" t="n">
        <f aca="false">IF(NOT(ISNUMBER(I154)),0,IF($S154&lt;2,5,IF(AC154=1,1,IF(I154=MAX($G154:$J154),4,IF(AC154=2,2,3)))))</f>
        <v>0</v>
      </c>
      <c r="AH154" s="82" t="n">
        <f aca="false">IF(NOT(ISNUMBER(J154)),0,IF($S154&lt;2,5,IF(AD154=1,1,IF(J154=MAX($G154:$J154),4,IF(AD154=2,2,3)))))</f>
        <v>0</v>
      </c>
      <c r="AI154" s="83" t="n">
        <f aca="false">IF($S154&gt;=2,IF(ISNUMBER(G154),G154*$F154,MIN($G154:$J154)*$F154),0)</f>
        <v>0</v>
      </c>
      <c r="AJ154" s="83" t="n">
        <f aca="false">IF($S154&gt;=2,IF(ISNUMBER(H154),H154*$F154,MIN($G154:$J154)*$F154),0)</f>
        <v>0</v>
      </c>
      <c r="AK154" s="83" t="n">
        <f aca="false">IF($S154&gt;=2,IF(ISNUMBER(I154),I154*$F154,MIN($G154:$J154)*$F154),0)</f>
        <v>0</v>
      </c>
      <c r="AL154" s="83" t="n">
        <f aca="false">IF($S154&gt;=2,IF(ISNUMBER(J154),J154*$F154,MIN($G154:$J154)*$F154),0)</f>
        <v>0</v>
      </c>
      <c r="AM154" s="84" t="str">
        <f aca="false">IF($S154&gt;=2,$R154+ROW()/1000000,"")</f>
        <v/>
      </c>
      <c r="AN154" s="83" t="str">
        <f aca="false">IF($S154&gt;=2,MAX(G154:J154),"")</f>
        <v/>
      </c>
      <c r="AO154" s="82" t="str">
        <f aca="false">IF($S154&gt;=2,INDEX($G$6:$J$6,MATCH(MAX(G154:J154),G154:J154,0)),"")</f>
        <v/>
      </c>
      <c r="AP154" s="83" t="n">
        <f aca="false">IF($S154&gt;=2,MIN(G154:J154)*$F154,0)</f>
        <v>0</v>
      </c>
      <c r="AQ154" s="82" t="str">
        <f aca="false">IF($S154&gt;=2,INDEX($G$6:$J$6,MATCH(MIN(G154:J154),G154:J154,0)),"")</f>
        <v/>
      </c>
    </row>
    <row r="155" customFormat="false" ht="19.5" hidden="false" customHeight="true" outlineLevel="0" collapsed="false">
      <c r="A155" s="69"/>
      <c r="B155" s="9" t="s">
        <v>479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customFormat="false" ht="15" hidden="false" customHeight="true" outlineLevel="0" collapsed="false">
      <c r="A156" s="70" t="s">
        <v>480</v>
      </c>
      <c r="B156" s="71" t="s">
        <v>481</v>
      </c>
      <c r="C156" s="72" t="s">
        <v>176</v>
      </c>
      <c r="D156" s="73" t="s">
        <v>482</v>
      </c>
      <c r="E156" s="74" t="s">
        <v>178</v>
      </c>
      <c r="F156" s="75" t="n">
        <v>3000</v>
      </c>
      <c r="G156" s="76" t="n">
        <f aca="false">IF(COUNTIF('Quote Lines'!$P$3:$P$805,$A156&amp;"|"&amp;G$6&amp;"|1")=0,"—",SUMIFS('Quote Lines'!$O$3:$O$805,'Quote Lines'!$P$3:$P$805,$A156&amp;"|"&amp;G$6&amp;"|1")/SUMIFS('Quote Lines'!$L$3:$L$805,'Quote Lines'!$P$3:$P$805,$A156&amp;"|"&amp;G$6&amp;"|1"))</f>
        <v>35.9</v>
      </c>
      <c r="H156" s="76" t="n">
        <f aca="false">IF(COUNTIF('Quote Lines'!$P$3:$P$805,$A156&amp;"|"&amp;H$6&amp;"|1")=0,"—",SUMIFS('Quote Lines'!$O$3:$O$805,'Quote Lines'!$P$3:$P$805,$A156&amp;"|"&amp;H$6&amp;"|1")/SUMIFS('Quote Lines'!$L$3:$L$805,'Quote Lines'!$P$3:$P$805,$A156&amp;"|"&amp;H$6&amp;"|1"))</f>
        <v>38.83</v>
      </c>
      <c r="I156" s="76" t="n">
        <f aca="false">IF(COUNTIF('Quote Lines'!$P$3:$P$805,$A156&amp;"|"&amp;I$6&amp;"|1")=0,"—",SUMIFS('Quote Lines'!$O$3:$O$805,'Quote Lines'!$P$3:$P$805,$A156&amp;"|"&amp;I$6&amp;"|1")/SUMIFS('Quote Lines'!$L$3:$L$805,'Quote Lines'!$P$3:$P$805,$A156&amp;"|"&amp;I$6&amp;"|1"))</f>
        <v>38.6010366666667</v>
      </c>
      <c r="J156" s="76" t="n">
        <f aca="false">IF(COUNTIF('Quote Lines'!$P$3:$P$805,$A156&amp;"|"&amp;J$6&amp;"|1")=0,"—",SUMIFS('Quote Lines'!$O$3:$O$805,'Quote Lines'!$P$3:$P$805,$A156&amp;"|"&amp;J$6&amp;"|1")/SUMIFS('Quote Lines'!$L$3:$L$805,'Quote Lines'!$P$3:$P$805,$A156&amp;"|"&amp;J$6&amp;"|1"))</f>
        <v>36.35</v>
      </c>
      <c r="K156" s="14" t="n">
        <f aca="false">IF(ISNUMBER(G156),G156*$F156,"—")</f>
        <v>107700</v>
      </c>
      <c r="L156" s="14" t="n">
        <f aca="false">IF(ISNUMBER(H156),H156*$F156,"—")</f>
        <v>116490</v>
      </c>
      <c r="M156" s="14" t="n">
        <f aca="false">IF(ISNUMBER(I156),I156*$F156,"—")</f>
        <v>115803.11</v>
      </c>
      <c r="N156" s="14" t="n">
        <f aca="false">IF(ISNUMBER(J156),J156*$F156,"—")</f>
        <v>109050</v>
      </c>
      <c r="O156" s="77" t="n">
        <f aca="false">IF($S156=0,"—",MIN(G156:J156))</f>
        <v>35.9</v>
      </c>
      <c r="P156" s="42" t="str">
        <f aca="false">IF($S156=0,"—",IF(COUNTIF(G156:J156,O156)&gt;1,"Tie",INDEX($G$6:$J$6,MATCH(O156,G156:J156,0))))</f>
        <v>Ferguson</v>
      </c>
      <c r="Q156" s="48" t="n">
        <f aca="false">IF($S156&gt;=2,MAX(G156:J156)/MIN(G156:J156)-1,"—")</f>
        <v>0.0816155988857938</v>
      </c>
      <c r="R156" s="78" t="n">
        <f aca="false">IF($S156&gt;=2,(MAX(G156:J156)-MIN(G156:J156))*$F156,"—")</f>
        <v>8790</v>
      </c>
      <c r="S156" s="18" t="n">
        <f aca="false">COUNT(G156:J156)</f>
        <v>4</v>
      </c>
      <c r="T156" s="79" t="str">
        <f aca="false">IF($S156&lt;=1,IF($S156=1,"Single quote","—"),"Alt spec – verify")</f>
        <v>Alt spec – verify</v>
      </c>
      <c r="U156" s="79" t="str">
        <f aca="false">IF(COUNT(W156:Z156)&lt;2,"",IF(MAX(W156:Z156)=MIN(W156:Z156),"OK","Qty differs"))</f>
        <v>OK</v>
      </c>
      <c r="V156" s="80" t="s">
        <v>483</v>
      </c>
      <c r="W156" s="81" t="n">
        <f aca="false">IF(COUNTIFS('Quote Lines'!$P$3:$P$805,$A156&amp;"|"&amp;G$6&amp;"|1",'Quote Lines'!$M$3:$M$805,"Y")=0,"",SUMIFS('Quote Lines'!$L$3:$L$805,'Quote Lines'!$P$3:$P$805,$A156&amp;"|"&amp;G$6&amp;"|1",'Quote Lines'!$M$3:$M$805,"Y"))</f>
        <v>3000</v>
      </c>
      <c r="X156" s="81" t="n">
        <f aca="false">IF(COUNTIFS('Quote Lines'!$P$3:$P$805,$A156&amp;"|"&amp;H$6&amp;"|1",'Quote Lines'!$M$3:$M$805,"Y")=0,"",SUMIFS('Quote Lines'!$L$3:$L$805,'Quote Lines'!$P$3:$P$805,$A156&amp;"|"&amp;H$6&amp;"|1",'Quote Lines'!$M$3:$M$805,"Y"))</f>
        <v>3000</v>
      </c>
      <c r="Y156" s="81" t="n">
        <f aca="false">IF(COUNTIFS('Quote Lines'!$P$3:$P$805,$A156&amp;"|"&amp;I$6&amp;"|1",'Quote Lines'!$M$3:$M$805,"Y")=0,"",SUMIFS('Quote Lines'!$L$3:$L$805,'Quote Lines'!$P$3:$P$805,$A156&amp;"|"&amp;I$6&amp;"|1",'Quote Lines'!$M$3:$M$805,"Y"))</f>
        <v>3000</v>
      </c>
      <c r="Z156" s="81" t="n">
        <f aca="false">IF(COUNTIFS('Quote Lines'!$P$3:$P$805,$A156&amp;"|"&amp;J$6&amp;"|1",'Quote Lines'!$M$3:$M$805,"Y")=0,"",SUMIFS('Quote Lines'!$L$3:$L$805,'Quote Lines'!$P$3:$P$805,$A156&amp;"|"&amp;J$6&amp;"|1",'Quote Lines'!$M$3:$M$805,"Y"))</f>
        <v>3000</v>
      </c>
      <c r="AA156" s="82" t="n">
        <f aca="false">IF(ISNUMBER(G156),1+SUMPRODUCT(ISNUMBER($G156:$J156)*($G156:$J156&lt;G156)),"")</f>
        <v>1</v>
      </c>
      <c r="AB156" s="82" t="n">
        <f aca="false">IF(ISNUMBER(H156),1+SUMPRODUCT(ISNUMBER($G156:$J156)*($G156:$J156&lt;H156)),"")</f>
        <v>4</v>
      </c>
      <c r="AC156" s="82" t="n">
        <f aca="false">IF(ISNUMBER(I156),1+SUMPRODUCT(ISNUMBER($G156:$J156)*($G156:$J156&lt;I156)),"")</f>
        <v>3</v>
      </c>
      <c r="AD156" s="82" t="n">
        <f aca="false">IF(ISNUMBER(J156),1+SUMPRODUCT(ISNUMBER($G156:$J156)*($G156:$J156&lt;J156)),"")</f>
        <v>2</v>
      </c>
      <c r="AE156" s="82" t="n">
        <f aca="false">IF(NOT(ISNUMBER(G156)),0,IF($S156&lt;2,5,IF(AA156=1,1,IF(G156=MAX($G156:$J156),4,IF(AA156=2,2,3)))))</f>
        <v>1</v>
      </c>
      <c r="AF156" s="82" t="n">
        <f aca="false">IF(NOT(ISNUMBER(H156)),0,IF($S156&lt;2,5,IF(AB156=1,1,IF(H156=MAX($G156:$J156),4,IF(AB156=2,2,3)))))</f>
        <v>4</v>
      </c>
      <c r="AG156" s="82" t="n">
        <f aca="false">IF(NOT(ISNUMBER(I156)),0,IF($S156&lt;2,5,IF(AC156=1,1,IF(I156=MAX($G156:$J156),4,IF(AC156=2,2,3)))))</f>
        <v>3</v>
      </c>
      <c r="AH156" s="82" t="n">
        <f aca="false">IF(NOT(ISNUMBER(J156)),0,IF($S156&lt;2,5,IF(AD156=1,1,IF(J156=MAX($G156:$J156),4,IF(AD156=2,2,3)))))</f>
        <v>2</v>
      </c>
      <c r="AI156" s="83" t="n">
        <f aca="false">IF($S156&gt;=2,IF(ISNUMBER(G156),G156*$F156,MIN($G156:$J156)*$F156),0)</f>
        <v>107700</v>
      </c>
      <c r="AJ156" s="83" t="n">
        <f aca="false">IF($S156&gt;=2,IF(ISNUMBER(H156),H156*$F156,MIN($G156:$J156)*$F156),0)</f>
        <v>116490</v>
      </c>
      <c r="AK156" s="83" t="n">
        <f aca="false">IF($S156&gt;=2,IF(ISNUMBER(I156),I156*$F156,MIN($G156:$J156)*$F156),0)</f>
        <v>115803.11</v>
      </c>
      <c r="AL156" s="83" t="n">
        <f aca="false">IF($S156&gt;=2,IF(ISNUMBER(J156),J156*$F156,MIN($G156:$J156)*$F156),0)</f>
        <v>109050</v>
      </c>
      <c r="AM156" s="84" t="n">
        <f aca="false">IF($S156&gt;=2,$R156+ROW()/1000000,"")</f>
        <v>8790.000156</v>
      </c>
      <c r="AN156" s="83" t="n">
        <f aca="false">IF($S156&gt;=2,MAX(G156:J156),"")</f>
        <v>38.83</v>
      </c>
      <c r="AO156" s="82" t="str">
        <f aca="false">IF($S156&gt;=2,INDEX($G$6:$J$6,MATCH(MAX(G156:J156),G156:J156,0)),"")</f>
        <v>HD Fowler</v>
      </c>
      <c r="AP156" s="83" t="n">
        <f aca="false">IF($S156&gt;=2,MIN(G156:J156)*$F156,0)</f>
        <v>107700</v>
      </c>
      <c r="AQ156" s="82" t="str">
        <f aca="false">IF($S156&gt;=2,INDEX($G$6:$J$6,MATCH(MIN(G156:J156),G156:J156,0)),"")</f>
        <v>Ferguson</v>
      </c>
    </row>
    <row r="157" customFormat="false" ht="15" hidden="false" customHeight="true" outlineLevel="0" collapsed="false">
      <c r="A157" s="70" t="s">
        <v>484</v>
      </c>
      <c r="B157" s="71" t="s">
        <v>481</v>
      </c>
      <c r="C157" s="72" t="s">
        <v>460</v>
      </c>
      <c r="D157" s="73" t="s">
        <v>461</v>
      </c>
      <c r="E157" s="74" t="s">
        <v>178</v>
      </c>
      <c r="F157" s="75" t="n">
        <v>3500</v>
      </c>
      <c r="G157" s="76" t="n">
        <f aca="false">IF(COUNTIF('Quote Lines'!$P$3:$P$805,$A157&amp;"|"&amp;G$6&amp;"|1")=0,"—",SUMIFS('Quote Lines'!$O$3:$O$805,'Quote Lines'!$P$3:$P$805,$A157&amp;"|"&amp;G$6&amp;"|1")/SUMIFS('Quote Lines'!$L$3:$L$805,'Quote Lines'!$P$3:$P$805,$A157&amp;"|"&amp;G$6&amp;"|1"))</f>
        <v>0.372388571428571</v>
      </c>
      <c r="H157" s="76" t="n">
        <f aca="false">IF(COUNTIF('Quote Lines'!$P$3:$P$805,$A157&amp;"|"&amp;H$6&amp;"|1")=0,"—",SUMIFS('Quote Lines'!$O$3:$O$805,'Quote Lines'!$P$3:$P$805,$A157&amp;"|"&amp;H$6&amp;"|1")/SUMIFS('Quote Lines'!$L$3:$L$805,'Quote Lines'!$P$3:$P$805,$A157&amp;"|"&amp;H$6&amp;"|1"))</f>
        <v>0.25672</v>
      </c>
      <c r="I157" s="76" t="n">
        <f aca="false">IF(COUNTIF('Quote Lines'!$P$3:$P$805,$A157&amp;"|"&amp;I$6&amp;"|1")=0,"—",SUMIFS('Quote Lines'!$O$3:$O$805,'Quote Lines'!$P$3:$P$805,$A157&amp;"|"&amp;I$6&amp;"|1")/SUMIFS('Quote Lines'!$L$3:$L$805,'Quote Lines'!$P$3:$P$805,$A157&amp;"|"&amp;I$6&amp;"|1"))</f>
        <v>0.297</v>
      </c>
      <c r="J157" s="76" t="n">
        <f aca="false">IF(COUNTIF('Quote Lines'!$P$3:$P$805,$A157&amp;"|"&amp;J$6&amp;"|1")=0,"—",SUMIFS('Quote Lines'!$O$3:$O$805,'Quote Lines'!$P$3:$P$805,$A157&amp;"|"&amp;J$6&amp;"|1")/SUMIFS('Quote Lines'!$L$3:$L$805,'Quote Lines'!$P$3:$P$805,$A157&amp;"|"&amp;J$6&amp;"|1"))</f>
        <v>0.39866</v>
      </c>
      <c r="K157" s="14" t="n">
        <f aca="false">IF(ISNUMBER(G157),G157*$F157,"—")</f>
        <v>1303.36</v>
      </c>
      <c r="L157" s="14" t="n">
        <f aca="false">IF(ISNUMBER(H157),H157*$F157,"—")</f>
        <v>898.52</v>
      </c>
      <c r="M157" s="14" t="n">
        <f aca="false">IF(ISNUMBER(I157),I157*$F157,"—")</f>
        <v>1039.5</v>
      </c>
      <c r="N157" s="14" t="n">
        <f aca="false">IF(ISNUMBER(J157),J157*$F157,"—")</f>
        <v>1395.31</v>
      </c>
      <c r="O157" s="77" t="n">
        <f aca="false">IF($S157=0,"—",MIN(G157:J157))</f>
        <v>0.25672</v>
      </c>
      <c r="P157" s="42" t="str">
        <f aca="false">IF($S157=0,"—",IF(COUNTIF(G157:J157,O157)&gt;1,"Tie",INDEX($G$6:$J$6,MATCH(O157,G157:J157,0))))</f>
        <v>HD Fowler</v>
      </c>
      <c r="Q157" s="48" t="n">
        <f aca="false">IF($S157&gt;=2,MAX(G157:J157)/MIN(G157:J157)-1,"—")</f>
        <v>0.552898099096292</v>
      </c>
      <c r="R157" s="78" t="n">
        <f aca="false">IF($S157&gt;=2,(MAX(G157:J157)-MIN(G157:J157))*$F157,"—")</f>
        <v>496.79</v>
      </c>
      <c r="S157" s="18" t="n">
        <f aca="false">COUNT(G157:J157)</f>
        <v>4</v>
      </c>
      <c r="T157" s="79" t="str">
        <f aca="false">IF($S157&lt;=1,IF($S157=1,"Single quote","—"),"Like-for-like")</f>
        <v>Like-for-like</v>
      </c>
      <c r="U157" s="79" t="str">
        <f aca="false">IF(COUNT(W157:Z157)&lt;2,"",IF(MAX(W157:Z157)=MIN(W157:Z157),"OK","Qty differs"))</f>
        <v>Qty differs</v>
      </c>
      <c r="V157" s="80"/>
      <c r="W157" s="81" t="n">
        <f aca="false">IF(COUNTIFS('Quote Lines'!$P$3:$P$805,$A157&amp;"|"&amp;G$6&amp;"|1",'Quote Lines'!$M$3:$M$805,"Y")=0,"",SUMIFS('Quote Lines'!$L$3:$L$805,'Quote Lines'!$P$3:$P$805,$A157&amp;"|"&amp;G$6&amp;"|1",'Quote Lines'!$M$3:$M$805,"Y"))</f>
        <v>3500</v>
      </c>
      <c r="X157" s="81" t="n">
        <f aca="false">IF(COUNTIFS('Quote Lines'!$P$3:$P$805,$A157&amp;"|"&amp;H$6&amp;"|1",'Quote Lines'!$M$3:$M$805,"Y")=0,"",SUMIFS('Quote Lines'!$L$3:$L$805,'Quote Lines'!$P$3:$P$805,$A157&amp;"|"&amp;H$6&amp;"|1",'Quote Lines'!$M$3:$M$805,"Y"))</f>
        <v>3500</v>
      </c>
      <c r="Y157" s="81" t="n">
        <f aca="false">IF(COUNTIFS('Quote Lines'!$P$3:$P$805,$A157&amp;"|"&amp;I$6&amp;"|1",'Quote Lines'!$M$3:$M$805,"Y")=0,"",SUMIFS('Quote Lines'!$L$3:$L$805,'Quote Lines'!$P$3:$P$805,$A157&amp;"|"&amp;I$6&amp;"|1",'Quote Lines'!$M$3:$M$805,"Y"))</f>
        <v>3000</v>
      </c>
      <c r="Z157" s="81" t="n">
        <f aca="false">IF(COUNTIFS('Quote Lines'!$P$3:$P$805,$A157&amp;"|"&amp;J$6&amp;"|1",'Quote Lines'!$M$3:$M$805,"Y")=0,"",SUMIFS('Quote Lines'!$L$3:$L$805,'Quote Lines'!$P$3:$P$805,$A157&amp;"|"&amp;J$6&amp;"|1",'Quote Lines'!$M$3:$M$805,"Y"))</f>
        <v>3000</v>
      </c>
      <c r="AA157" s="82" t="n">
        <f aca="false">IF(ISNUMBER(G157),1+SUMPRODUCT(ISNUMBER($G157:$J157)*($G157:$J157&lt;G157)),"")</f>
        <v>3</v>
      </c>
      <c r="AB157" s="82" t="n">
        <f aca="false">IF(ISNUMBER(H157),1+SUMPRODUCT(ISNUMBER($G157:$J157)*($G157:$J157&lt;H157)),"")</f>
        <v>1</v>
      </c>
      <c r="AC157" s="82" t="n">
        <f aca="false">IF(ISNUMBER(I157),1+SUMPRODUCT(ISNUMBER($G157:$J157)*($G157:$J157&lt;I157)),"")</f>
        <v>2</v>
      </c>
      <c r="AD157" s="82" t="n">
        <f aca="false">IF(ISNUMBER(J157),1+SUMPRODUCT(ISNUMBER($G157:$J157)*($G157:$J157&lt;J157)),"")</f>
        <v>4</v>
      </c>
      <c r="AE157" s="82" t="n">
        <f aca="false">IF(NOT(ISNUMBER(G157)),0,IF($S157&lt;2,5,IF(AA157=1,1,IF(G157=MAX($G157:$J157),4,IF(AA157=2,2,3)))))</f>
        <v>3</v>
      </c>
      <c r="AF157" s="82" t="n">
        <f aca="false">IF(NOT(ISNUMBER(H157)),0,IF($S157&lt;2,5,IF(AB157=1,1,IF(H157=MAX($G157:$J157),4,IF(AB157=2,2,3)))))</f>
        <v>1</v>
      </c>
      <c r="AG157" s="82" t="n">
        <f aca="false">IF(NOT(ISNUMBER(I157)),0,IF($S157&lt;2,5,IF(AC157=1,1,IF(I157=MAX($G157:$J157),4,IF(AC157=2,2,3)))))</f>
        <v>2</v>
      </c>
      <c r="AH157" s="82" t="n">
        <f aca="false">IF(NOT(ISNUMBER(J157)),0,IF($S157&lt;2,5,IF(AD157=1,1,IF(J157=MAX($G157:$J157),4,IF(AD157=2,2,3)))))</f>
        <v>4</v>
      </c>
      <c r="AI157" s="83" t="n">
        <f aca="false">IF($S157&gt;=2,IF(ISNUMBER(G157),G157*$F157,MIN($G157:$J157)*$F157),0)</f>
        <v>1303.36</v>
      </c>
      <c r="AJ157" s="83" t="n">
        <f aca="false">IF($S157&gt;=2,IF(ISNUMBER(H157),H157*$F157,MIN($G157:$J157)*$F157),0)</f>
        <v>898.52</v>
      </c>
      <c r="AK157" s="83" t="n">
        <f aca="false">IF($S157&gt;=2,IF(ISNUMBER(I157),I157*$F157,MIN($G157:$J157)*$F157),0)</f>
        <v>1039.5</v>
      </c>
      <c r="AL157" s="83" t="n">
        <f aca="false">IF($S157&gt;=2,IF(ISNUMBER(J157),J157*$F157,MIN($G157:$J157)*$F157),0)</f>
        <v>1395.31</v>
      </c>
      <c r="AM157" s="84" t="n">
        <f aca="false">IF($S157&gt;=2,$R157+ROW()/1000000,"")</f>
        <v>496.790157</v>
      </c>
      <c r="AN157" s="83" t="n">
        <f aca="false">IF($S157&gt;=2,MAX(G157:J157),"")</f>
        <v>0.39866</v>
      </c>
      <c r="AO157" s="82" t="str">
        <f aca="false">IF($S157&gt;=2,INDEX($G$6:$J$6,MATCH(MAX(G157:J157),G157:J157,0)),"")</f>
        <v>Scholzen</v>
      </c>
      <c r="AP157" s="83" t="n">
        <f aca="false">IF($S157&gt;=2,MIN(G157:J157)*$F157,0)</f>
        <v>898.52</v>
      </c>
      <c r="AQ157" s="82" t="str">
        <f aca="false">IF($S157&gt;=2,INDEX($G$6:$J$6,MATCH(MIN(G157:J157),G157:J157,0)),"")</f>
        <v>HD Fowler</v>
      </c>
    </row>
    <row r="158" customFormat="false" ht="15" hidden="false" customHeight="true" outlineLevel="0" collapsed="false">
      <c r="A158" s="70" t="s">
        <v>485</v>
      </c>
      <c r="B158" s="71" t="s">
        <v>481</v>
      </c>
      <c r="C158" s="72" t="s">
        <v>460</v>
      </c>
      <c r="D158" s="73" t="s">
        <v>464</v>
      </c>
      <c r="E158" s="74" t="s">
        <v>133</v>
      </c>
      <c r="F158" s="75" t="n">
        <v>4</v>
      </c>
      <c r="G158" s="76" t="n">
        <f aca="false">IF(COUNTIF('Quote Lines'!$P$3:$P$805,$A158&amp;"|"&amp;G$6&amp;"|1")=0,"—",SUMIFS('Quote Lines'!$O$3:$O$805,'Quote Lines'!$P$3:$P$805,$A158&amp;"|"&amp;G$6&amp;"|1")/SUMIFS('Quote Lines'!$L$3:$L$805,'Quote Lines'!$P$3:$P$805,$A158&amp;"|"&amp;G$6&amp;"|1"))</f>
        <v>39.71</v>
      </c>
      <c r="H158" s="76" t="n">
        <f aca="false">IF(COUNTIF('Quote Lines'!$P$3:$P$805,$A158&amp;"|"&amp;H$6&amp;"|1")=0,"—",SUMIFS('Quote Lines'!$O$3:$O$805,'Quote Lines'!$P$3:$P$805,$A158&amp;"|"&amp;H$6&amp;"|1")/SUMIFS('Quote Lines'!$L$3:$L$805,'Quote Lines'!$P$3:$P$805,$A158&amp;"|"&amp;H$6&amp;"|1"))</f>
        <v>47.6</v>
      </c>
      <c r="I158" s="85" t="s">
        <v>138</v>
      </c>
      <c r="J158" s="85" t="s">
        <v>138</v>
      </c>
      <c r="K158" s="14" t="n">
        <f aca="false">IF(ISNUMBER(G158),G158*$F158,"—")</f>
        <v>158.84</v>
      </c>
      <c r="L158" s="14" t="n">
        <f aca="false">IF(ISNUMBER(H158),H158*$F158,"—")</f>
        <v>190.4</v>
      </c>
      <c r="M158" s="14" t="str">
        <f aca="false">IF(ISNUMBER(I158),I158*$F158,"—")</f>
        <v>—</v>
      </c>
      <c r="N158" s="14" t="str">
        <f aca="false">IF(ISNUMBER(J158),J158*$F158,"—")</f>
        <v>—</v>
      </c>
      <c r="O158" s="77" t="n">
        <f aca="false">IF($S158=0,"—",MIN(G158:J158))</f>
        <v>39.71</v>
      </c>
      <c r="P158" s="42" t="str">
        <f aca="false">IF($S158=0,"—",IF(COUNTIF(G158:J158,O158)&gt;1,"Tie",INDEX($G$6:$J$6,MATCH(O158,G158:J158,0))))</f>
        <v>Ferguson</v>
      </c>
      <c r="Q158" s="48" t="n">
        <f aca="false">IF($S158&gt;=2,MAX(G158:J158)/MIN(G158:J158)-1,"—")</f>
        <v>0.198690506169731</v>
      </c>
      <c r="R158" s="78" t="n">
        <f aca="false">IF($S158&gt;=2,(MAX(G158:J158)-MIN(G158:J158))*$F158,"—")</f>
        <v>31.56</v>
      </c>
      <c r="S158" s="18" t="n">
        <f aca="false">COUNT(G158:J158)</f>
        <v>2</v>
      </c>
      <c r="T158" s="79" t="str">
        <f aca="false">IF($S158&lt;=1,IF($S158=1,"Single quote","—"),"Like-for-like")</f>
        <v>Like-for-like</v>
      </c>
      <c r="U158" s="79" t="str">
        <f aca="false">IF(COUNT(W158:Z158)&lt;2,"",IF(MAX(W158:Z158)=MIN(W158:Z158),"OK","Qty differs"))</f>
        <v>OK</v>
      </c>
      <c r="V158" s="80"/>
      <c r="W158" s="81" t="n">
        <f aca="false">IF(COUNTIFS('Quote Lines'!$P$3:$P$805,$A158&amp;"|"&amp;G$6&amp;"|1",'Quote Lines'!$M$3:$M$805,"Y")=0,"",SUMIFS('Quote Lines'!$L$3:$L$805,'Quote Lines'!$P$3:$P$805,$A158&amp;"|"&amp;G$6&amp;"|1",'Quote Lines'!$M$3:$M$805,"Y"))</f>
        <v>4</v>
      </c>
      <c r="X158" s="81" t="n">
        <f aca="false">IF(COUNTIFS('Quote Lines'!$P$3:$P$805,$A158&amp;"|"&amp;H$6&amp;"|1",'Quote Lines'!$M$3:$M$805,"Y")=0,"",SUMIFS('Quote Lines'!$L$3:$L$805,'Quote Lines'!$P$3:$P$805,$A158&amp;"|"&amp;H$6&amp;"|1",'Quote Lines'!$M$3:$M$805,"Y"))</f>
        <v>4</v>
      </c>
      <c r="Y158" s="81"/>
      <c r="Z158" s="81"/>
      <c r="AA158" s="82" t="n">
        <f aca="false">IF(ISNUMBER(G158),1+SUMPRODUCT(ISNUMBER($G158:$J158)*($G158:$J158&lt;G158)),"")</f>
        <v>1</v>
      </c>
      <c r="AB158" s="82" t="n">
        <f aca="false">IF(ISNUMBER(H158),1+SUMPRODUCT(ISNUMBER($G158:$J158)*($G158:$J158&lt;H158)),"")</f>
        <v>2</v>
      </c>
      <c r="AC158" s="82" t="str">
        <f aca="false">IF(ISNUMBER(I158),1+SUMPRODUCT(ISNUMBER($G158:$J158)*($G158:$J158&lt;I158)),"")</f>
        <v/>
      </c>
      <c r="AD158" s="82" t="str">
        <f aca="false">IF(ISNUMBER(J158),1+SUMPRODUCT(ISNUMBER($G158:$J158)*($G158:$J158&lt;J158)),"")</f>
        <v/>
      </c>
      <c r="AE158" s="82" t="n">
        <f aca="false">IF(NOT(ISNUMBER(G158)),0,IF($S158&lt;2,5,IF(AA158=1,1,IF(G158=MAX($G158:$J158),4,IF(AA158=2,2,3)))))</f>
        <v>1</v>
      </c>
      <c r="AF158" s="82" t="n">
        <f aca="false">IF(NOT(ISNUMBER(H158)),0,IF($S158&lt;2,5,IF(AB158=1,1,IF(H158=MAX($G158:$J158),4,IF(AB158=2,2,3)))))</f>
        <v>4</v>
      </c>
      <c r="AG158" s="82" t="n">
        <f aca="false">IF(NOT(ISNUMBER(I158)),0,IF($S158&lt;2,5,IF(AC158=1,1,IF(I158=MAX($G158:$J158),4,IF(AC158=2,2,3)))))</f>
        <v>0</v>
      </c>
      <c r="AH158" s="82" t="n">
        <f aca="false">IF(NOT(ISNUMBER(J158)),0,IF($S158&lt;2,5,IF(AD158=1,1,IF(J158=MAX($G158:$J158),4,IF(AD158=2,2,3)))))</f>
        <v>0</v>
      </c>
      <c r="AI158" s="83" t="n">
        <f aca="false">IF($S158&gt;=2,IF(ISNUMBER(G158),G158*$F158,MIN($G158:$J158)*$F158),0)</f>
        <v>158.84</v>
      </c>
      <c r="AJ158" s="83" t="n">
        <f aca="false">IF($S158&gt;=2,IF(ISNUMBER(H158),H158*$F158,MIN($G158:$J158)*$F158),0)</f>
        <v>190.4</v>
      </c>
      <c r="AK158" s="83" t="n">
        <f aca="false">IF($S158&gt;=2,IF(ISNUMBER(I158),I158*$F158,MIN($G158:$J158)*$F158),0)</f>
        <v>158.84</v>
      </c>
      <c r="AL158" s="83" t="n">
        <f aca="false">IF($S158&gt;=2,IF(ISNUMBER(J158),J158*$F158,MIN($G158:$J158)*$F158),0)</f>
        <v>158.84</v>
      </c>
      <c r="AM158" s="84" t="n">
        <f aca="false">IF($S158&gt;=2,$R158+ROW()/1000000,"")</f>
        <v>31.560158</v>
      </c>
      <c r="AN158" s="83" t="n">
        <f aca="false">IF($S158&gt;=2,MAX(G158:J158),"")</f>
        <v>47.6</v>
      </c>
      <c r="AO158" s="82" t="str">
        <f aca="false">IF($S158&gt;=2,INDEX($G$6:$J$6,MATCH(MAX(G158:J158),G158:J158,0)),"")</f>
        <v>HD Fowler</v>
      </c>
      <c r="AP158" s="83" t="n">
        <f aca="false">IF($S158&gt;=2,MIN(G158:J158)*$F158,0)</f>
        <v>158.84</v>
      </c>
      <c r="AQ158" s="82" t="str">
        <f aca="false">IF($S158&gt;=2,INDEX($G$6:$J$6,MATCH(MIN(G158:J158),G158:J158,0)),"")</f>
        <v>Ferguson</v>
      </c>
    </row>
    <row r="159" customFormat="false" ht="27.75" hidden="false" customHeight="true" outlineLevel="0" collapsed="false">
      <c r="A159" s="70" t="s">
        <v>486</v>
      </c>
      <c r="B159" s="71" t="s">
        <v>481</v>
      </c>
      <c r="C159" s="72" t="s">
        <v>294</v>
      </c>
      <c r="D159" s="73" t="s">
        <v>487</v>
      </c>
      <c r="E159" s="74" t="s">
        <v>133</v>
      </c>
      <c r="F159" s="75" t="n">
        <v>89</v>
      </c>
      <c r="G159" s="76" t="n">
        <f aca="false">IF(COUNTIF('Quote Lines'!$P$3:$P$805,$A159&amp;"|"&amp;G$6&amp;"|1")=0,"—",SUMIFS('Quote Lines'!$O$3:$O$805,'Quote Lines'!$P$3:$P$805,$A159&amp;"|"&amp;G$6&amp;"|1")/SUMIFS('Quote Lines'!$L$3:$L$805,'Quote Lines'!$P$3:$P$805,$A159&amp;"|"&amp;G$6&amp;"|1"))</f>
        <v>677.79</v>
      </c>
      <c r="H159" s="76" t="n">
        <f aca="false">IF(COUNTIF('Quote Lines'!$P$3:$P$805,$A159&amp;"|"&amp;H$6&amp;"|1")=0,"—",SUMIFS('Quote Lines'!$O$3:$O$805,'Quote Lines'!$P$3:$P$805,$A159&amp;"|"&amp;H$6&amp;"|1")/SUMIFS('Quote Lines'!$L$3:$L$805,'Quote Lines'!$P$3:$P$805,$A159&amp;"|"&amp;H$6&amp;"|1"))</f>
        <v>528.22</v>
      </c>
      <c r="I159" s="76" t="n">
        <f aca="false">IF(COUNTIF('Quote Lines'!$P$3:$P$805,$A159&amp;"|"&amp;I$6&amp;"|1")=0,"—",SUMIFS('Quote Lines'!$O$3:$O$805,'Quote Lines'!$P$3:$P$805,$A159&amp;"|"&amp;I$6&amp;"|1")/SUMIFS('Quote Lines'!$L$3:$L$805,'Quote Lines'!$P$3:$P$805,$A159&amp;"|"&amp;I$6&amp;"|1"))</f>
        <v>408.482333333333</v>
      </c>
      <c r="J159" s="76" t="n">
        <f aca="false">IF(COUNTIF('Quote Lines'!$P$3:$P$805,$A159&amp;"|"&amp;J$6&amp;"|1")=0,"—",SUMIFS('Quote Lines'!$O$3:$O$805,'Quote Lines'!$P$3:$P$805,$A159&amp;"|"&amp;J$6&amp;"|1")/SUMIFS('Quote Lines'!$L$3:$L$805,'Quote Lines'!$P$3:$P$805,$A159&amp;"|"&amp;J$6&amp;"|1"))</f>
        <v>408.48</v>
      </c>
      <c r="K159" s="14" t="n">
        <f aca="false">IF(ISNUMBER(G159),G159*$F159,"—")</f>
        <v>60323.31</v>
      </c>
      <c r="L159" s="14" t="n">
        <f aca="false">IF(ISNUMBER(H159),H159*$F159,"—")</f>
        <v>47011.58</v>
      </c>
      <c r="M159" s="14" t="n">
        <f aca="false">IF(ISNUMBER(I159),I159*$F159,"—")</f>
        <v>36354.9276666667</v>
      </c>
      <c r="N159" s="14" t="n">
        <f aca="false">IF(ISNUMBER(J159),J159*$F159,"—")</f>
        <v>36354.72</v>
      </c>
      <c r="O159" s="77" t="n">
        <f aca="false">IF($S159=0,"—",MIN(G159:J159))</f>
        <v>408.48</v>
      </c>
      <c r="P159" s="42" t="str">
        <f aca="false">IF($S159=0,"—",IF(COUNTIF(G159:J159,O159)&gt;1,"Tie",INDEX($G$6:$J$6,MATCH(O159,G159:J159,0))))</f>
        <v>Scholzen</v>
      </c>
      <c r="Q159" s="48" t="n">
        <f aca="false">IF($S159&gt;=2,MAX(G159:J159)/MIN(G159:J159)-1,"—")</f>
        <v>0.659297884841363</v>
      </c>
      <c r="R159" s="78" t="n">
        <f aca="false">IF($S159&gt;=2,(MAX(G159:J159)-MIN(G159:J159))*$F159,"—")</f>
        <v>23968.59</v>
      </c>
      <c r="S159" s="18" t="n">
        <f aca="false">COUNT(G159:J159)</f>
        <v>4</v>
      </c>
      <c r="T159" s="79" t="str">
        <f aca="false">IF($S159&lt;=1,IF($S159=1,"Single quote","—"),"Alt spec – verify")</f>
        <v>Alt spec – verify</v>
      </c>
      <c r="U159" s="79" t="str">
        <f aca="false">IF(COUNT(W159:Z159)&lt;2,"",IF(MAX(W159:Z159)=MIN(W159:Z159),"OK","Qty differs"))</f>
        <v>Qty differs</v>
      </c>
      <c r="V159" s="80" t="s">
        <v>488</v>
      </c>
      <c r="W159" s="81" t="n">
        <f aca="false">IF(COUNTIFS('Quote Lines'!$P$3:$P$805,$A159&amp;"|"&amp;G$6&amp;"|1",'Quote Lines'!$M$3:$M$805,"Y")=0,"",SUMIFS('Quote Lines'!$L$3:$L$805,'Quote Lines'!$P$3:$P$805,$A159&amp;"|"&amp;G$6&amp;"|1",'Quote Lines'!$M$3:$M$805,"Y"))</f>
        <v>89</v>
      </c>
      <c r="X159" s="81" t="str">
        <f aca="false">IF(COUNTIFS('Quote Lines'!$P$3:$P$805,$A159&amp;"|"&amp;H$6&amp;"|1",'Quote Lines'!$M$3:$M$805,"Y")=0,"",SUMIFS('Quote Lines'!$L$3:$L$805,'Quote Lines'!$P$3:$P$805,$A159&amp;"|"&amp;H$6&amp;"|1",'Quote Lines'!$M$3:$M$805,"Y"))</f>
        <v/>
      </c>
      <c r="Y159" s="81" t="n">
        <f aca="false">IF(COUNTIFS('Quote Lines'!$P$3:$P$805,$A159&amp;"|"&amp;I$6&amp;"|1",'Quote Lines'!$M$3:$M$805,"Y")=0,"",SUMIFS('Quote Lines'!$L$3:$L$805,'Quote Lines'!$P$3:$P$805,$A159&amp;"|"&amp;I$6&amp;"|1",'Quote Lines'!$M$3:$M$805,"Y"))</f>
        <v>90</v>
      </c>
      <c r="Z159" s="81" t="n">
        <f aca="false">IF(COUNTIFS('Quote Lines'!$P$3:$P$805,$A159&amp;"|"&amp;J$6&amp;"|1",'Quote Lines'!$M$3:$M$805,"Y")=0,"",SUMIFS('Quote Lines'!$L$3:$L$805,'Quote Lines'!$P$3:$P$805,$A159&amp;"|"&amp;J$6&amp;"|1",'Quote Lines'!$M$3:$M$805,"Y"))</f>
        <v>88</v>
      </c>
      <c r="AA159" s="82" t="n">
        <f aca="false">IF(ISNUMBER(G159),1+SUMPRODUCT(ISNUMBER($G159:$J159)*($G159:$J159&lt;G159)),"")</f>
        <v>4</v>
      </c>
      <c r="AB159" s="82" t="n">
        <f aca="false">IF(ISNUMBER(H159),1+SUMPRODUCT(ISNUMBER($G159:$J159)*($G159:$J159&lt;H159)),"")</f>
        <v>3</v>
      </c>
      <c r="AC159" s="82" t="n">
        <f aca="false">IF(ISNUMBER(I159),1+SUMPRODUCT(ISNUMBER($G159:$J159)*($G159:$J159&lt;I159)),"")</f>
        <v>2</v>
      </c>
      <c r="AD159" s="82" t="n">
        <f aca="false">IF(ISNUMBER(J159),1+SUMPRODUCT(ISNUMBER($G159:$J159)*($G159:$J159&lt;J159)),"")</f>
        <v>1</v>
      </c>
      <c r="AE159" s="82" t="n">
        <f aca="false">IF(NOT(ISNUMBER(G159)),0,IF($S159&lt;2,5,IF(AA159=1,1,IF(G159=MAX($G159:$J159),4,IF(AA159=2,2,3)))))</f>
        <v>4</v>
      </c>
      <c r="AF159" s="82" t="n">
        <f aca="false">IF(NOT(ISNUMBER(H159)),0,IF($S159&lt;2,5,IF(AB159=1,1,IF(H159=MAX($G159:$J159),4,IF(AB159=2,2,3)))))</f>
        <v>3</v>
      </c>
      <c r="AG159" s="82" t="n">
        <f aca="false">IF(NOT(ISNUMBER(I159)),0,IF($S159&lt;2,5,IF(AC159=1,1,IF(I159=MAX($G159:$J159),4,IF(AC159=2,2,3)))))</f>
        <v>2</v>
      </c>
      <c r="AH159" s="82" t="n">
        <f aca="false">IF(NOT(ISNUMBER(J159)),0,IF($S159&lt;2,5,IF(AD159=1,1,IF(J159=MAX($G159:$J159),4,IF(AD159=2,2,3)))))</f>
        <v>1</v>
      </c>
      <c r="AI159" s="83" t="n">
        <f aca="false">IF($S159&gt;=2,IF(ISNUMBER(G159),G159*$F159,MIN($G159:$J159)*$F159),0)</f>
        <v>60323.31</v>
      </c>
      <c r="AJ159" s="83" t="n">
        <f aca="false">IF($S159&gt;=2,IF(ISNUMBER(H159),H159*$F159,MIN($G159:$J159)*$F159),0)</f>
        <v>47011.58</v>
      </c>
      <c r="AK159" s="83" t="n">
        <f aca="false">IF($S159&gt;=2,IF(ISNUMBER(I159),I159*$F159,MIN($G159:$J159)*$F159),0)</f>
        <v>36354.9276666667</v>
      </c>
      <c r="AL159" s="83" t="n">
        <f aca="false">IF($S159&gt;=2,IF(ISNUMBER(J159),J159*$F159,MIN($G159:$J159)*$F159),0)</f>
        <v>36354.72</v>
      </c>
      <c r="AM159" s="84" t="n">
        <f aca="false">IF($S159&gt;=2,$R159+ROW()/1000000,"")</f>
        <v>23968.590159</v>
      </c>
      <c r="AN159" s="83" t="n">
        <f aca="false">IF($S159&gt;=2,MAX(G159:J159),"")</f>
        <v>677.79</v>
      </c>
      <c r="AO159" s="82" t="str">
        <f aca="false">IF($S159&gt;=2,INDEX($G$6:$J$6,MATCH(MAX(G159:J159),G159:J159,0)),"")</f>
        <v>Ferguson</v>
      </c>
      <c r="AP159" s="83" t="n">
        <f aca="false">IF($S159&gt;=2,MIN(G159:J159)*$F159,0)</f>
        <v>36354.72</v>
      </c>
      <c r="AQ159" s="82" t="str">
        <f aca="false">IF($S159&gt;=2,INDEX($G$6:$J$6,MATCH(MIN(G159:J159),G159:J159,0)),"")</f>
        <v>Scholzen</v>
      </c>
    </row>
    <row r="160" customFormat="false" ht="15" hidden="false" customHeight="true" outlineLevel="0" collapsed="false">
      <c r="A160" s="70" t="s">
        <v>489</v>
      </c>
      <c r="B160" s="71" t="s">
        <v>481</v>
      </c>
      <c r="C160" s="72" t="s">
        <v>131</v>
      </c>
      <c r="D160" s="73" t="s">
        <v>490</v>
      </c>
      <c r="E160" s="74" t="s">
        <v>133</v>
      </c>
      <c r="F160" s="75" t="n">
        <v>1</v>
      </c>
      <c r="G160" s="85" t="s">
        <v>138</v>
      </c>
      <c r="H160" s="76" t="n">
        <f aca="false">IF(COUNTIF('Quote Lines'!$P$3:$P$805,$A160&amp;"|"&amp;H$6&amp;"|1")=0,"—",SUMIFS('Quote Lines'!$O$3:$O$805,'Quote Lines'!$P$3:$P$805,$A160&amp;"|"&amp;H$6&amp;"|1")/SUMIFS('Quote Lines'!$L$3:$L$805,'Quote Lines'!$P$3:$P$805,$A160&amp;"|"&amp;H$6&amp;"|1"))</f>
        <v>410.41</v>
      </c>
      <c r="I160" s="85" t="s">
        <v>138</v>
      </c>
      <c r="J160" s="85" t="s">
        <v>138</v>
      </c>
      <c r="K160" s="14" t="str">
        <f aca="false">IF(ISNUMBER(G160),G160*$F160,"—")</f>
        <v>—</v>
      </c>
      <c r="L160" s="14" t="n">
        <f aca="false">IF(ISNUMBER(H160),H160*$F160,"—")</f>
        <v>410.41</v>
      </c>
      <c r="M160" s="14" t="str">
        <f aca="false">IF(ISNUMBER(I160),I160*$F160,"—")</f>
        <v>—</v>
      </c>
      <c r="N160" s="14" t="str">
        <f aca="false">IF(ISNUMBER(J160),J160*$F160,"—")</f>
        <v>—</v>
      </c>
      <c r="O160" s="77" t="n">
        <f aca="false">IF($S160=0,"—",MIN(G160:J160))</f>
        <v>410.41</v>
      </c>
      <c r="P160" s="42" t="str">
        <f aca="false">IF($S160=0,"—",IF(COUNTIF(G160:J160,O160)&gt;1,"Tie",INDEX($G$6:$J$6,MATCH(O160,G160:J160,0))))</f>
        <v>HD Fowler</v>
      </c>
      <c r="Q160" s="48" t="str">
        <f aca="false">IF($S160&gt;=2,MAX(G160:J160)/MIN(G160:J160)-1,"—")</f>
        <v>—</v>
      </c>
      <c r="R160" s="78" t="str">
        <f aca="false">IF($S160&gt;=2,(MAX(G160:J160)-MIN(G160:J160))*$F160,"—")</f>
        <v>—</v>
      </c>
      <c r="S160" s="18" t="n">
        <f aca="false">COUNT(G160:J160)</f>
        <v>1</v>
      </c>
      <c r="T160" s="79" t="str">
        <f aca="false">IF($S160&lt;=1,IF($S160=1,"Single quote","—"),"Like-for-like")</f>
        <v>Single quote</v>
      </c>
      <c r="U160" s="79" t="str">
        <f aca="false">IF(COUNT(W160:Z160)&lt;2,"",IF(MAX(W160:Z160)=MIN(W160:Z160),"OK","Qty differs"))</f>
        <v/>
      </c>
      <c r="V160" s="80"/>
      <c r="W160" s="81"/>
      <c r="X160" s="81" t="n">
        <f aca="false">IF(COUNTIFS('Quote Lines'!$P$3:$P$805,$A160&amp;"|"&amp;H$6&amp;"|1",'Quote Lines'!$M$3:$M$805,"Y")=0,"",SUMIFS('Quote Lines'!$L$3:$L$805,'Quote Lines'!$P$3:$P$805,$A160&amp;"|"&amp;H$6&amp;"|1",'Quote Lines'!$M$3:$M$805,"Y"))</f>
        <v>1</v>
      </c>
      <c r="Y160" s="81"/>
      <c r="Z160" s="81"/>
      <c r="AA160" s="82" t="str">
        <f aca="false">IF(ISNUMBER(G160),1+SUMPRODUCT(ISNUMBER($G160:$J160)*($G160:$J160&lt;G160)),"")</f>
        <v/>
      </c>
      <c r="AB160" s="82" t="n">
        <f aca="false">IF(ISNUMBER(H160),1+SUMPRODUCT(ISNUMBER($G160:$J160)*($G160:$J160&lt;H160)),"")</f>
        <v>1</v>
      </c>
      <c r="AC160" s="82" t="str">
        <f aca="false">IF(ISNUMBER(I160),1+SUMPRODUCT(ISNUMBER($G160:$J160)*($G160:$J160&lt;I160)),"")</f>
        <v/>
      </c>
      <c r="AD160" s="82" t="str">
        <f aca="false">IF(ISNUMBER(J160),1+SUMPRODUCT(ISNUMBER($G160:$J160)*($G160:$J160&lt;J160)),"")</f>
        <v/>
      </c>
      <c r="AE160" s="82" t="n">
        <f aca="false">IF(NOT(ISNUMBER(G160)),0,IF($S160&lt;2,5,IF(AA160=1,1,IF(G160=MAX($G160:$J160),4,IF(AA160=2,2,3)))))</f>
        <v>0</v>
      </c>
      <c r="AF160" s="82" t="n">
        <f aca="false">IF(NOT(ISNUMBER(H160)),0,IF($S160&lt;2,5,IF(AB160=1,1,IF(H160=MAX($G160:$J160),4,IF(AB160=2,2,3)))))</f>
        <v>5</v>
      </c>
      <c r="AG160" s="82" t="n">
        <f aca="false">IF(NOT(ISNUMBER(I160)),0,IF($S160&lt;2,5,IF(AC160=1,1,IF(I160=MAX($G160:$J160),4,IF(AC160=2,2,3)))))</f>
        <v>0</v>
      </c>
      <c r="AH160" s="82" t="n">
        <f aca="false">IF(NOT(ISNUMBER(J160)),0,IF($S160&lt;2,5,IF(AD160=1,1,IF(J160=MAX($G160:$J160),4,IF(AD160=2,2,3)))))</f>
        <v>0</v>
      </c>
      <c r="AI160" s="83" t="n">
        <f aca="false">IF($S160&gt;=2,IF(ISNUMBER(G160),G160*$F160,MIN($G160:$J160)*$F160),0)</f>
        <v>0</v>
      </c>
      <c r="AJ160" s="83" t="n">
        <f aca="false">IF($S160&gt;=2,IF(ISNUMBER(H160),H160*$F160,MIN($G160:$J160)*$F160),0)</f>
        <v>0</v>
      </c>
      <c r="AK160" s="83" t="n">
        <f aca="false">IF($S160&gt;=2,IF(ISNUMBER(I160),I160*$F160,MIN($G160:$J160)*$F160),0)</f>
        <v>0</v>
      </c>
      <c r="AL160" s="83" t="n">
        <f aca="false">IF($S160&gt;=2,IF(ISNUMBER(J160),J160*$F160,MIN($G160:$J160)*$F160),0)</f>
        <v>0</v>
      </c>
      <c r="AM160" s="84" t="str">
        <f aca="false">IF($S160&gt;=2,$R160+ROW()/1000000,"")</f>
        <v/>
      </c>
      <c r="AN160" s="83" t="str">
        <f aca="false">IF($S160&gt;=2,MAX(G160:J160),"")</f>
        <v/>
      </c>
      <c r="AO160" s="82" t="str">
        <f aca="false">IF($S160&gt;=2,INDEX($G$6:$J$6,MATCH(MAX(G160:J160),G160:J160,0)),"")</f>
        <v/>
      </c>
      <c r="AP160" s="83" t="n">
        <f aca="false">IF($S160&gt;=2,MIN(G160:J160)*$F160,0)</f>
        <v>0</v>
      </c>
      <c r="AQ160" s="82" t="str">
        <f aca="false">IF($S160&gt;=2,INDEX($G$6:$J$6,MATCH(MIN(G160:J160),G160:J160,0)),"")</f>
        <v/>
      </c>
    </row>
    <row r="161" customFormat="false" ht="15" hidden="false" customHeight="true" outlineLevel="0" collapsed="false">
      <c r="A161" s="70" t="s">
        <v>491</v>
      </c>
      <c r="B161" s="71" t="s">
        <v>481</v>
      </c>
      <c r="C161" s="72" t="s">
        <v>469</v>
      </c>
      <c r="D161" s="73" t="s">
        <v>492</v>
      </c>
      <c r="E161" s="74" t="s">
        <v>178</v>
      </c>
      <c r="F161" s="75" t="n">
        <v>340</v>
      </c>
      <c r="G161" s="85" t="s">
        <v>138</v>
      </c>
      <c r="H161" s="76" t="n">
        <f aca="false">IF(COUNTIF('Quote Lines'!$P$3:$P$805,$A161&amp;"|"&amp;H$6&amp;"|1")=0,"—",SUMIFS('Quote Lines'!$O$3:$O$805,'Quote Lines'!$P$3:$P$805,$A161&amp;"|"&amp;H$6&amp;"|1")/SUMIFS('Quote Lines'!$L$3:$L$805,'Quote Lines'!$P$3:$P$805,$A161&amp;"|"&amp;H$6&amp;"|1"))</f>
        <v>1.04</v>
      </c>
      <c r="I161" s="85" t="s">
        <v>138</v>
      </c>
      <c r="J161" s="85" t="s">
        <v>138</v>
      </c>
      <c r="K161" s="14" t="str">
        <f aca="false">IF(ISNUMBER(G161),G161*$F161,"—")</f>
        <v>—</v>
      </c>
      <c r="L161" s="14" t="n">
        <f aca="false">IF(ISNUMBER(H161),H161*$F161,"—")</f>
        <v>353.6</v>
      </c>
      <c r="M161" s="14" t="str">
        <f aca="false">IF(ISNUMBER(I161),I161*$F161,"—")</f>
        <v>—</v>
      </c>
      <c r="N161" s="14" t="str">
        <f aca="false">IF(ISNUMBER(J161),J161*$F161,"—")</f>
        <v>—</v>
      </c>
      <c r="O161" s="77" t="n">
        <f aca="false">IF($S161=0,"—",MIN(G161:J161))</f>
        <v>1.04</v>
      </c>
      <c r="P161" s="42" t="str">
        <f aca="false">IF($S161=0,"—",IF(COUNTIF(G161:J161,O161)&gt;1,"Tie",INDEX($G$6:$J$6,MATCH(O161,G161:J161,0))))</f>
        <v>HD Fowler</v>
      </c>
      <c r="Q161" s="48" t="str">
        <f aca="false">IF($S161&gt;=2,MAX(G161:J161)/MIN(G161:J161)-1,"—")</f>
        <v>—</v>
      </c>
      <c r="R161" s="78" t="str">
        <f aca="false">IF($S161&gt;=2,(MAX(G161:J161)-MIN(G161:J161))*$F161,"—")</f>
        <v>—</v>
      </c>
      <c r="S161" s="18" t="n">
        <f aca="false">COUNT(G161:J161)</f>
        <v>1</v>
      </c>
      <c r="T161" s="79" t="str">
        <f aca="false">IF($S161&lt;=1,IF($S161=1,"Single quote","—"),"Like-for-like")</f>
        <v>Single quote</v>
      </c>
      <c r="U161" s="79" t="str">
        <f aca="false">IF(COUNT(W161:Z161)&lt;2,"",IF(MAX(W161:Z161)=MIN(W161:Z161),"OK","Qty differs"))</f>
        <v/>
      </c>
      <c r="V161" s="80"/>
      <c r="W161" s="81"/>
      <c r="X161" s="81" t="n">
        <f aca="false">IF(COUNTIFS('Quote Lines'!$P$3:$P$805,$A161&amp;"|"&amp;H$6&amp;"|1",'Quote Lines'!$M$3:$M$805,"Y")=0,"",SUMIFS('Quote Lines'!$L$3:$L$805,'Quote Lines'!$P$3:$P$805,$A161&amp;"|"&amp;H$6&amp;"|1",'Quote Lines'!$M$3:$M$805,"Y"))</f>
        <v>340</v>
      </c>
      <c r="Y161" s="81"/>
      <c r="Z161" s="81"/>
      <c r="AA161" s="82" t="str">
        <f aca="false">IF(ISNUMBER(G161),1+SUMPRODUCT(ISNUMBER($G161:$J161)*($G161:$J161&lt;G161)),"")</f>
        <v/>
      </c>
      <c r="AB161" s="82" t="n">
        <f aca="false">IF(ISNUMBER(H161),1+SUMPRODUCT(ISNUMBER($G161:$J161)*($G161:$J161&lt;H161)),"")</f>
        <v>1</v>
      </c>
      <c r="AC161" s="82" t="str">
        <f aca="false">IF(ISNUMBER(I161),1+SUMPRODUCT(ISNUMBER($G161:$J161)*($G161:$J161&lt;I161)),"")</f>
        <v/>
      </c>
      <c r="AD161" s="82" t="str">
        <f aca="false">IF(ISNUMBER(J161),1+SUMPRODUCT(ISNUMBER($G161:$J161)*($G161:$J161&lt;J161)),"")</f>
        <v/>
      </c>
      <c r="AE161" s="82" t="n">
        <f aca="false">IF(NOT(ISNUMBER(G161)),0,IF($S161&lt;2,5,IF(AA161=1,1,IF(G161=MAX($G161:$J161),4,IF(AA161=2,2,3)))))</f>
        <v>0</v>
      </c>
      <c r="AF161" s="82" t="n">
        <f aca="false">IF(NOT(ISNUMBER(H161)),0,IF($S161&lt;2,5,IF(AB161=1,1,IF(H161=MAX($G161:$J161),4,IF(AB161=2,2,3)))))</f>
        <v>5</v>
      </c>
      <c r="AG161" s="82" t="n">
        <f aca="false">IF(NOT(ISNUMBER(I161)),0,IF($S161&lt;2,5,IF(AC161=1,1,IF(I161=MAX($G161:$J161),4,IF(AC161=2,2,3)))))</f>
        <v>0</v>
      </c>
      <c r="AH161" s="82" t="n">
        <f aca="false">IF(NOT(ISNUMBER(J161)),0,IF($S161&lt;2,5,IF(AD161=1,1,IF(J161=MAX($G161:$J161),4,IF(AD161=2,2,3)))))</f>
        <v>0</v>
      </c>
      <c r="AI161" s="83" t="n">
        <f aca="false">IF($S161&gt;=2,IF(ISNUMBER(G161),G161*$F161,MIN($G161:$J161)*$F161),0)</f>
        <v>0</v>
      </c>
      <c r="AJ161" s="83" t="n">
        <f aca="false">IF($S161&gt;=2,IF(ISNUMBER(H161),H161*$F161,MIN($G161:$J161)*$F161),0)</f>
        <v>0</v>
      </c>
      <c r="AK161" s="83" t="n">
        <f aca="false">IF($S161&gt;=2,IF(ISNUMBER(I161),I161*$F161,MIN($G161:$J161)*$F161),0)</f>
        <v>0</v>
      </c>
      <c r="AL161" s="83" t="n">
        <f aca="false">IF($S161&gt;=2,IF(ISNUMBER(J161),J161*$F161,MIN($G161:$J161)*$F161),0)</f>
        <v>0</v>
      </c>
      <c r="AM161" s="84" t="str">
        <f aca="false">IF($S161&gt;=2,$R161+ROW()/1000000,"")</f>
        <v/>
      </c>
      <c r="AN161" s="83" t="str">
        <f aca="false">IF($S161&gt;=2,MAX(G161:J161),"")</f>
        <v/>
      </c>
      <c r="AO161" s="82" t="str">
        <f aca="false">IF($S161&gt;=2,INDEX($G$6:$J$6,MATCH(MAX(G161:J161),G161:J161,0)),"")</f>
        <v/>
      </c>
      <c r="AP161" s="83" t="n">
        <f aca="false">IF($S161&gt;=2,MIN(G161:J161)*$F161,0)</f>
        <v>0</v>
      </c>
      <c r="AQ161" s="82" t="str">
        <f aca="false">IF($S161&gt;=2,INDEX($G$6:$J$6,MATCH(MIN(G161:J161),G161:J161,0)),"")</f>
        <v/>
      </c>
    </row>
    <row r="162" customFormat="false" ht="15" hidden="false" customHeight="true" outlineLevel="0" collapsed="false">
      <c r="A162" s="70" t="s">
        <v>493</v>
      </c>
      <c r="B162" s="71" t="s">
        <v>481</v>
      </c>
      <c r="C162" s="72" t="s">
        <v>469</v>
      </c>
      <c r="D162" s="73" t="s">
        <v>472</v>
      </c>
      <c r="E162" s="74" t="s">
        <v>473</v>
      </c>
      <c r="F162" s="75" t="n">
        <v>5</v>
      </c>
      <c r="G162" s="85" t="s">
        <v>138</v>
      </c>
      <c r="H162" s="76" t="n">
        <f aca="false">IF(COUNTIF('Quote Lines'!$P$3:$P$805,$A162&amp;"|"&amp;H$6&amp;"|1")=0,"—",SUMIFS('Quote Lines'!$O$3:$O$805,'Quote Lines'!$P$3:$P$805,$A162&amp;"|"&amp;H$6&amp;"|1")/SUMIFS('Quote Lines'!$L$3:$L$805,'Quote Lines'!$P$3:$P$805,$A162&amp;"|"&amp;H$6&amp;"|1"))</f>
        <v>6.64</v>
      </c>
      <c r="I162" s="85" t="s">
        <v>138</v>
      </c>
      <c r="J162" s="85" t="s">
        <v>138</v>
      </c>
      <c r="K162" s="14" t="str">
        <f aca="false">IF(ISNUMBER(G162),G162*$F162,"—")</f>
        <v>—</v>
      </c>
      <c r="L162" s="14" t="n">
        <f aca="false">IF(ISNUMBER(H162),H162*$F162,"—")</f>
        <v>33.2</v>
      </c>
      <c r="M162" s="14" t="str">
        <f aca="false">IF(ISNUMBER(I162),I162*$F162,"—")</f>
        <v>—</v>
      </c>
      <c r="N162" s="14" t="str">
        <f aca="false">IF(ISNUMBER(J162),J162*$F162,"—")</f>
        <v>—</v>
      </c>
      <c r="O162" s="77" t="n">
        <f aca="false">IF($S162=0,"—",MIN(G162:J162))</f>
        <v>6.64</v>
      </c>
      <c r="P162" s="42" t="str">
        <f aca="false">IF($S162=0,"—",IF(COUNTIF(G162:J162,O162)&gt;1,"Tie",INDEX($G$6:$J$6,MATCH(O162,G162:J162,0))))</f>
        <v>HD Fowler</v>
      </c>
      <c r="Q162" s="48" t="str">
        <f aca="false">IF($S162&gt;=2,MAX(G162:J162)/MIN(G162:J162)-1,"—")</f>
        <v>—</v>
      </c>
      <c r="R162" s="78" t="str">
        <f aca="false">IF($S162&gt;=2,(MAX(G162:J162)-MIN(G162:J162))*$F162,"—")</f>
        <v>—</v>
      </c>
      <c r="S162" s="18" t="n">
        <f aca="false">COUNT(G162:J162)</f>
        <v>1</v>
      </c>
      <c r="T162" s="79" t="str">
        <f aca="false">IF($S162&lt;=1,IF($S162=1,"Single quote","—"),"Like-for-like")</f>
        <v>Single quote</v>
      </c>
      <c r="U162" s="79" t="str">
        <f aca="false">IF(COUNT(W162:Z162)&lt;2,"",IF(MAX(W162:Z162)=MIN(W162:Z162),"OK","Qty differs"))</f>
        <v/>
      </c>
      <c r="V162" s="80"/>
      <c r="W162" s="81"/>
      <c r="X162" s="81" t="n">
        <f aca="false">IF(COUNTIFS('Quote Lines'!$P$3:$P$805,$A162&amp;"|"&amp;H$6&amp;"|1",'Quote Lines'!$M$3:$M$805,"Y")=0,"",SUMIFS('Quote Lines'!$L$3:$L$805,'Quote Lines'!$P$3:$P$805,$A162&amp;"|"&amp;H$6&amp;"|1",'Quote Lines'!$M$3:$M$805,"Y"))</f>
        <v>5</v>
      </c>
      <c r="Y162" s="81"/>
      <c r="Z162" s="81"/>
      <c r="AA162" s="82" t="str">
        <f aca="false">IF(ISNUMBER(G162),1+SUMPRODUCT(ISNUMBER($G162:$J162)*($G162:$J162&lt;G162)),"")</f>
        <v/>
      </c>
      <c r="AB162" s="82" t="n">
        <f aca="false">IF(ISNUMBER(H162),1+SUMPRODUCT(ISNUMBER($G162:$J162)*($G162:$J162&lt;H162)),"")</f>
        <v>1</v>
      </c>
      <c r="AC162" s="82" t="str">
        <f aca="false">IF(ISNUMBER(I162),1+SUMPRODUCT(ISNUMBER($G162:$J162)*($G162:$J162&lt;I162)),"")</f>
        <v/>
      </c>
      <c r="AD162" s="82" t="str">
        <f aca="false">IF(ISNUMBER(J162),1+SUMPRODUCT(ISNUMBER($G162:$J162)*($G162:$J162&lt;J162)),"")</f>
        <v/>
      </c>
      <c r="AE162" s="82" t="n">
        <f aca="false">IF(NOT(ISNUMBER(G162)),0,IF($S162&lt;2,5,IF(AA162=1,1,IF(G162=MAX($G162:$J162),4,IF(AA162=2,2,3)))))</f>
        <v>0</v>
      </c>
      <c r="AF162" s="82" t="n">
        <f aca="false">IF(NOT(ISNUMBER(H162)),0,IF($S162&lt;2,5,IF(AB162=1,1,IF(H162=MAX($G162:$J162),4,IF(AB162=2,2,3)))))</f>
        <v>5</v>
      </c>
      <c r="AG162" s="82" t="n">
        <f aca="false">IF(NOT(ISNUMBER(I162)),0,IF($S162&lt;2,5,IF(AC162=1,1,IF(I162=MAX($G162:$J162),4,IF(AC162=2,2,3)))))</f>
        <v>0</v>
      </c>
      <c r="AH162" s="82" t="n">
        <f aca="false">IF(NOT(ISNUMBER(J162)),0,IF($S162&lt;2,5,IF(AD162=1,1,IF(J162=MAX($G162:$J162),4,IF(AD162=2,2,3)))))</f>
        <v>0</v>
      </c>
      <c r="AI162" s="83" t="n">
        <f aca="false">IF($S162&gt;=2,IF(ISNUMBER(G162),G162*$F162,MIN($G162:$J162)*$F162),0)</f>
        <v>0</v>
      </c>
      <c r="AJ162" s="83" t="n">
        <f aca="false">IF($S162&gt;=2,IF(ISNUMBER(H162),H162*$F162,MIN($G162:$J162)*$F162),0)</f>
        <v>0</v>
      </c>
      <c r="AK162" s="83" t="n">
        <f aca="false">IF($S162&gt;=2,IF(ISNUMBER(I162),I162*$F162,MIN($G162:$J162)*$F162),0)</f>
        <v>0</v>
      </c>
      <c r="AL162" s="83" t="n">
        <f aca="false">IF($S162&gt;=2,IF(ISNUMBER(J162),J162*$F162,MIN($G162:$J162)*$F162),0)</f>
        <v>0</v>
      </c>
      <c r="AM162" s="84" t="str">
        <f aca="false">IF($S162&gt;=2,$R162+ROW()/1000000,"")</f>
        <v/>
      </c>
      <c r="AN162" s="83" t="str">
        <f aca="false">IF($S162&gt;=2,MAX(G162:J162),"")</f>
        <v/>
      </c>
      <c r="AO162" s="82" t="str">
        <f aca="false">IF($S162&gt;=2,INDEX($G$6:$J$6,MATCH(MAX(G162:J162),G162:J162,0)),"")</f>
        <v/>
      </c>
      <c r="AP162" s="83" t="n">
        <f aca="false">IF($S162&gt;=2,MIN(G162:J162)*$F162,0)</f>
        <v>0</v>
      </c>
      <c r="AQ162" s="82" t="str">
        <f aca="false">IF($S162&gt;=2,INDEX($G$6:$J$6,MATCH(MIN(G162:J162),G162:J162,0)),"")</f>
        <v/>
      </c>
    </row>
    <row r="163" customFormat="false" ht="15" hidden="false" customHeight="true" outlineLevel="0" collapsed="false">
      <c r="A163" s="70" t="s">
        <v>494</v>
      </c>
      <c r="B163" s="71" t="s">
        <v>481</v>
      </c>
      <c r="C163" s="72" t="s">
        <v>469</v>
      </c>
      <c r="D163" s="73" t="s">
        <v>475</v>
      </c>
      <c r="E163" s="74" t="s">
        <v>133</v>
      </c>
      <c r="F163" s="75" t="n">
        <v>9</v>
      </c>
      <c r="G163" s="85" t="s">
        <v>138</v>
      </c>
      <c r="H163" s="76" t="n">
        <f aca="false">IF(COUNTIF('Quote Lines'!$P$3:$P$805,$A163&amp;"|"&amp;H$6&amp;"|1")=0,"—",SUMIFS('Quote Lines'!$O$3:$O$805,'Quote Lines'!$P$3:$P$805,$A163&amp;"|"&amp;H$6&amp;"|1")/SUMIFS('Quote Lines'!$L$3:$L$805,'Quote Lines'!$P$3:$P$805,$A163&amp;"|"&amp;H$6&amp;"|1"))</f>
        <v>42.82</v>
      </c>
      <c r="I163" s="85" t="s">
        <v>138</v>
      </c>
      <c r="J163" s="85" t="s">
        <v>138</v>
      </c>
      <c r="K163" s="14" t="str">
        <f aca="false">IF(ISNUMBER(G163),G163*$F163,"—")</f>
        <v>—</v>
      </c>
      <c r="L163" s="14" t="n">
        <f aca="false">IF(ISNUMBER(H163),H163*$F163,"—")</f>
        <v>385.38</v>
      </c>
      <c r="M163" s="14" t="str">
        <f aca="false">IF(ISNUMBER(I163),I163*$F163,"—")</f>
        <v>—</v>
      </c>
      <c r="N163" s="14" t="str">
        <f aca="false">IF(ISNUMBER(J163),J163*$F163,"—")</f>
        <v>—</v>
      </c>
      <c r="O163" s="77" t="n">
        <f aca="false">IF($S163=0,"—",MIN(G163:J163))</f>
        <v>42.82</v>
      </c>
      <c r="P163" s="42" t="str">
        <f aca="false">IF($S163=0,"—",IF(COUNTIF(G163:J163,O163)&gt;1,"Tie",INDEX($G$6:$J$6,MATCH(O163,G163:J163,0))))</f>
        <v>HD Fowler</v>
      </c>
      <c r="Q163" s="48" t="str">
        <f aca="false">IF($S163&gt;=2,MAX(G163:J163)/MIN(G163:J163)-1,"—")</f>
        <v>—</v>
      </c>
      <c r="R163" s="78" t="str">
        <f aca="false">IF($S163&gt;=2,(MAX(G163:J163)-MIN(G163:J163))*$F163,"—")</f>
        <v>—</v>
      </c>
      <c r="S163" s="18" t="n">
        <f aca="false">COUNT(G163:J163)</f>
        <v>1</v>
      </c>
      <c r="T163" s="79" t="str">
        <f aca="false">IF($S163&lt;=1,IF($S163=1,"Single quote","—"),"Like-for-like")</f>
        <v>Single quote</v>
      </c>
      <c r="U163" s="79" t="str">
        <f aca="false">IF(COUNT(W163:Z163)&lt;2,"",IF(MAX(W163:Z163)=MIN(W163:Z163),"OK","Qty differs"))</f>
        <v/>
      </c>
      <c r="V163" s="80"/>
      <c r="W163" s="81"/>
      <c r="X163" s="81" t="n">
        <f aca="false">IF(COUNTIFS('Quote Lines'!$P$3:$P$805,$A163&amp;"|"&amp;H$6&amp;"|1",'Quote Lines'!$M$3:$M$805,"Y")=0,"",SUMIFS('Quote Lines'!$L$3:$L$805,'Quote Lines'!$P$3:$P$805,$A163&amp;"|"&amp;H$6&amp;"|1",'Quote Lines'!$M$3:$M$805,"Y"))</f>
        <v>9</v>
      </c>
      <c r="Y163" s="81"/>
      <c r="Z163" s="81"/>
      <c r="AA163" s="82" t="str">
        <f aca="false">IF(ISNUMBER(G163),1+SUMPRODUCT(ISNUMBER($G163:$J163)*($G163:$J163&lt;G163)),"")</f>
        <v/>
      </c>
      <c r="AB163" s="82" t="n">
        <f aca="false">IF(ISNUMBER(H163),1+SUMPRODUCT(ISNUMBER($G163:$J163)*($G163:$J163&lt;H163)),"")</f>
        <v>1</v>
      </c>
      <c r="AC163" s="82" t="str">
        <f aca="false">IF(ISNUMBER(I163),1+SUMPRODUCT(ISNUMBER($G163:$J163)*($G163:$J163&lt;I163)),"")</f>
        <v/>
      </c>
      <c r="AD163" s="82" t="str">
        <f aca="false">IF(ISNUMBER(J163),1+SUMPRODUCT(ISNUMBER($G163:$J163)*($G163:$J163&lt;J163)),"")</f>
        <v/>
      </c>
      <c r="AE163" s="82" t="n">
        <f aca="false">IF(NOT(ISNUMBER(G163)),0,IF($S163&lt;2,5,IF(AA163=1,1,IF(G163=MAX($G163:$J163),4,IF(AA163=2,2,3)))))</f>
        <v>0</v>
      </c>
      <c r="AF163" s="82" t="n">
        <f aca="false">IF(NOT(ISNUMBER(H163)),0,IF($S163&lt;2,5,IF(AB163=1,1,IF(H163=MAX($G163:$J163),4,IF(AB163=2,2,3)))))</f>
        <v>5</v>
      </c>
      <c r="AG163" s="82" t="n">
        <f aca="false">IF(NOT(ISNUMBER(I163)),0,IF($S163&lt;2,5,IF(AC163=1,1,IF(I163=MAX($G163:$J163),4,IF(AC163=2,2,3)))))</f>
        <v>0</v>
      </c>
      <c r="AH163" s="82" t="n">
        <f aca="false">IF(NOT(ISNUMBER(J163)),0,IF($S163&lt;2,5,IF(AD163=1,1,IF(J163=MAX($G163:$J163),4,IF(AD163=2,2,3)))))</f>
        <v>0</v>
      </c>
      <c r="AI163" s="83" t="n">
        <f aca="false">IF($S163&gt;=2,IF(ISNUMBER(G163),G163*$F163,MIN($G163:$J163)*$F163),0)</f>
        <v>0</v>
      </c>
      <c r="AJ163" s="83" t="n">
        <f aca="false">IF($S163&gt;=2,IF(ISNUMBER(H163),H163*$F163,MIN($G163:$J163)*$F163),0)</f>
        <v>0</v>
      </c>
      <c r="AK163" s="83" t="n">
        <f aca="false">IF($S163&gt;=2,IF(ISNUMBER(I163),I163*$F163,MIN($G163:$J163)*$F163),0)</f>
        <v>0</v>
      </c>
      <c r="AL163" s="83" t="n">
        <f aca="false">IF($S163&gt;=2,IF(ISNUMBER(J163),J163*$F163,MIN($G163:$J163)*$F163),0)</f>
        <v>0</v>
      </c>
      <c r="AM163" s="84" t="str">
        <f aca="false">IF($S163&gt;=2,$R163+ROW()/1000000,"")</f>
        <v/>
      </c>
      <c r="AN163" s="83" t="str">
        <f aca="false">IF($S163&gt;=2,MAX(G163:J163),"")</f>
        <v/>
      </c>
      <c r="AO163" s="82" t="str">
        <f aca="false">IF($S163&gt;=2,INDEX($G$6:$J$6,MATCH(MAX(G163:J163),G163:J163,0)),"")</f>
        <v/>
      </c>
      <c r="AP163" s="83" t="n">
        <f aca="false">IF($S163&gt;=2,MIN(G163:J163)*$F163,0)</f>
        <v>0</v>
      </c>
      <c r="AQ163" s="82" t="str">
        <f aca="false">IF($S163&gt;=2,INDEX($G$6:$J$6,MATCH(MIN(G163:J163),G163:J163,0)),"")</f>
        <v/>
      </c>
    </row>
    <row r="164" customFormat="false" ht="15" hidden="false" customHeight="true" outlineLevel="0" collapsed="false">
      <c r="A164" s="70" t="s">
        <v>495</v>
      </c>
      <c r="B164" s="71" t="s">
        <v>481</v>
      </c>
      <c r="C164" s="72" t="s">
        <v>469</v>
      </c>
      <c r="D164" s="73" t="s">
        <v>477</v>
      </c>
      <c r="E164" s="74" t="s">
        <v>133</v>
      </c>
      <c r="F164" s="75" t="n">
        <v>1</v>
      </c>
      <c r="G164" s="85" t="s">
        <v>138</v>
      </c>
      <c r="H164" s="76" t="n">
        <f aca="false">IF(COUNTIF('Quote Lines'!$P$3:$P$805,$A164&amp;"|"&amp;H$6&amp;"|1")=0,"—",SUMIFS('Quote Lines'!$O$3:$O$805,'Quote Lines'!$P$3:$P$805,$A164&amp;"|"&amp;H$6&amp;"|1")/SUMIFS('Quote Lines'!$L$3:$L$805,'Quote Lines'!$P$3:$P$805,$A164&amp;"|"&amp;H$6&amp;"|1"))</f>
        <v>647.81</v>
      </c>
      <c r="I164" s="85" t="s">
        <v>138</v>
      </c>
      <c r="J164" s="85" t="s">
        <v>138</v>
      </c>
      <c r="K164" s="14" t="str">
        <f aca="false">IF(ISNUMBER(G164),G164*$F164,"—")</f>
        <v>—</v>
      </c>
      <c r="L164" s="14" t="n">
        <f aca="false">IF(ISNUMBER(H164),H164*$F164,"—")</f>
        <v>647.81</v>
      </c>
      <c r="M164" s="14" t="str">
        <f aca="false">IF(ISNUMBER(I164),I164*$F164,"—")</f>
        <v>—</v>
      </c>
      <c r="N164" s="14" t="str">
        <f aca="false">IF(ISNUMBER(J164),J164*$F164,"—")</f>
        <v>—</v>
      </c>
      <c r="O164" s="77" t="n">
        <f aca="false">IF($S164=0,"—",MIN(G164:J164))</f>
        <v>647.81</v>
      </c>
      <c r="P164" s="42" t="str">
        <f aca="false">IF($S164=0,"—",IF(COUNTIF(G164:J164,O164)&gt;1,"Tie",INDEX($G$6:$J$6,MATCH(O164,G164:J164,0))))</f>
        <v>HD Fowler</v>
      </c>
      <c r="Q164" s="48" t="str">
        <f aca="false">IF($S164&gt;=2,MAX(G164:J164)/MIN(G164:J164)-1,"—")</f>
        <v>—</v>
      </c>
      <c r="R164" s="78" t="str">
        <f aca="false">IF($S164&gt;=2,(MAX(G164:J164)-MIN(G164:J164))*$F164,"—")</f>
        <v>—</v>
      </c>
      <c r="S164" s="18" t="n">
        <f aca="false">COUNT(G164:J164)</f>
        <v>1</v>
      </c>
      <c r="T164" s="79" t="str">
        <f aca="false">IF($S164&lt;=1,IF($S164=1,"Single quote","—"),"Like-for-like")</f>
        <v>Single quote</v>
      </c>
      <c r="U164" s="79" t="str">
        <f aca="false">IF(COUNT(W164:Z164)&lt;2,"",IF(MAX(W164:Z164)=MIN(W164:Z164),"OK","Qty differs"))</f>
        <v/>
      </c>
      <c r="V164" s="80" t="s">
        <v>478</v>
      </c>
      <c r="W164" s="81"/>
      <c r="X164" s="81" t="str">
        <f aca="false">IF(COUNTIFS('Quote Lines'!$P$3:$P$805,$A164&amp;"|"&amp;H$6&amp;"|1",'Quote Lines'!$M$3:$M$805,"Y")=0,"",SUMIFS('Quote Lines'!$L$3:$L$805,'Quote Lines'!$P$3:$P$805,$A164&amp;"|"&amp;H$6&amp;"|1",'Quote Lines'!$M$3:$M$805,"Y"))</f>
        <v/>
      </c>
      <c r="Y164" s="81"/>
      <c r="Z164" s="81"/>
      <c r="AA164" s="82" t="str">
        <f aca="false">IF(ISNUMBER(G164),1+SUMPRODUCT(ISNUMBER($G164:$J164)*($G164:$J164&lt;G164)),"")</f>
        <v/>
      </c>
      <c r="AB164" s="82" t="n">
        <f aca="false">IF(ISNUMBER(H164),1+SUMPRODUCT(ISNUMBER($G164:$J164)*($G164:$J164&lt;H164)),"")</f>
        <v>1</v>
      </c>
      <c r="AC164" s="82" t="str">
        <f aca="false">IF(ISNUMBER(I164),1+SUMPRODUCT(ISNUMBER($G164:$J164)*($G164:$J164&lt;I164)),"")</f>
        <v/>
      </c>
      <c r="AD164" s="82" t="str">
        <f aca="false">IF(ISNUMBER(J164),1+SUMPRODUCT(ISNUMBER($G164:$J164)*($G164:$J164&lt;J164)),"")</f>
        <v/>
      </c>
      <c r="AE164" s="82" t="n">
        <f aca="false">IF(NOT(ISNUMBER(G164)),0,IF($S164&lt;2,5,IF(AA164=1,1,IF(G164=MAX($G164:$J164),4,IF(AA164=2,2,3)))))</f>
        <v>0</v>
      </c>
      <c r="AF164" s="82" t="n">
        <f aca="false">IF(NOT(ISNUMBER(H164)),0,IF($S164&lt;2,5,IF(AB164=1,1,IF(H164=MAX($G164:$J164),4,IF(AB164=2,2,3)))))</f>
        <v>5</v>
      </c>
      <c r="AG164" s="82" t="n">
        <f aca="false">IF(NOT(ISNUMBER(I164)),0,IF($S164&lt;2,5,IF(AC164=1,1,IF(I164=MAX($G164:$J164),4,IF(AC164=2,2,3)))))</f>
        <v>0</v>
      </c>
      <c r="AH164" s="82" t="n">
        <f aca="false">IF(NOT(ISNUMBER(J164)),0,IF($S164&lt;2,5,IF(AD164=1,1,IF(J164=MAX($G164:$J164),4,IF(AD164=2,2,3)))))</f>
        <v>0</v>
      </c>
      <c r="AI164" s="83" t="n">
        <f aca="false">IF($S164&gt;=2,IF(ISNUMBER(G164),G164*$F164,MIN($G164:$J164)*$F164),0)</f>
        <v>0</v>
      </c>
      <c r="AJ164" s="83" t="n">
        <f aca="false">IF($S164&gt;=2,IF(ISNUMBER(H164),H164*$F164,MIN($G164:$J164)*$F164),0)</f>
        <v>0</v>
      </c>
      <c r="AK164" s="83" t="n">
        <f aca="false">IF($S164&gt;=2,IF(ISNUMBER(I164),I164*$F164,MIN($G164:$J164)*$F164),0)</f>
        <v>0</v>
      </c>
      <c r="AL164" s="83" t="n">
        <f aca="false">IF($S164&gt;=2,IF(ISNUMBER(J164),J164*$F164,MIN($G164:$J164)*$F164),0)</f>
        <v>0</v>
      </c>
      <c r="AM164" s="84" t="str">
        <f aca="false">IF($S164&gt;=2,$R164+ROW()/1000000,"")</f>
        <v/>
      </c>
      <c r="AN164" s="83" t="str">
        <f aca="false">IF($S164&gt;=2,MAX(G164:J164),"")</f>
        <v/>
      </c>
      <c r="AO164" s="82" t="str">
        <f aca="false">IF($S164&gt;=2,INDEX($G$6:$J$6,MATCH(MAX(G164:J164),G164:J164,0)),"")</f>
        <v/>
      </c>
      <c r="AP164" s="83" t="n">
        <f aca="false">IF($S164&gt;=2,MIN(G164:J164)*$F164,0)</f>
        <v>0</v>
      </c>
      <c r="AQ164" s="82" t="str">
        <f aca="false">IF($S164&gt;=2,INDEX($G$6:$J$6,MATCH(MIN(G164:J164),G164:J164,0)),"")</f>
        <v/>
      </c>
    </row>
    <row r="165" customFormat="false" ht="19.5" hidden="false" customHeight="true" outlineLevel="0" collapsed="false">
      <c r="A165" s="69"/>
      <c r="B165" s="9" t="s">
        <v>496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customFormat="false" ht="15" hidden="false" customHeight="true" outlineLevel="0" collapsed="false">
      <c r="A166" s="70" t="s">
        <v>497</v>
      </c>
      <c r="B166" s="71" t="s">
        <v>498</v>
      </c>
      <c r="C166" s="72" t="s">
        <v>176</v>
      </c>
      <c r="D166" s="73" t="s">
        <v>499</v>
      </c>
      <c r="E166" s="74" t="s">
        <v>178</v>
      </c>
      <c r="F166" s="75" t="n">
        <v>12500</v>
      </c>
      <c r="G166" s="76" t="n">
        <f aca="false">IF(COUNTIF('Quote Lines'!$P$3:$P$805,$A166&amp;"|"&amp;G$6&amp;"|1")=0,"—",SUMIFS('Quote Lines'!$O$3:$O$805,'Quote Lines'!$P$3:$P$805,$A166&amp;"|"&amp;G$6&amp;"|1")/SUMIFS('Quote Lines'!$L$3:$L$805,'Quote Lines'!$P$3:$P$805,$A166&amp;"|"&amp;G$6&amp;"|1"))</f>
        <v>28.64</v>
      </c>
      <c r="H166" s="76" t="n">
        <f aca="false">IF(COUNTIF('Quote Lines'!$P$3:$P$805,$A166&amp;"|"&amp;H$6&amp;"|1")=0,"—",SUMIFS('Quote Lines'!$O$3:$O$805,'Quote Lines'!$P$3:$P$805,$A166&amp;"|"&amp;H$6&amp;"|1")/SUMIFS('Quote Lines'!$L$3:$L$805,'Quote Lines'!$P$3:$P$805,$A166&amp;"|"&amp;H$6&amp;"|1"))</f>
        <v>30.07</v>
      </c>
      <c r="I166" s="76" t="n">
        <f aca="false">IF(COUNTIF('Quote Lines'!$P$3:$P$805,$A166&amp;"|"&amp;I$6&amp;"|1")=0,"—",SUMIFS('Quote Lines'!$O$3:$O$805,'Quote Lines'!$P$3:$P$805,$A166&amp;"|"&amp;I$6&amp;"|1")/SUMIFS('Quote Lines'!$L$3:$L$805,'Quote Lines'!$P$3:$P$805,$A166&amp;"|"&amp;I$6&amp;"|1"))</f>
        <v>30.0830736</v>
      </c>
      <c r="J166" s="76" t="n">
        <f aca="false">IF(COUNTIF('Quote Lines'!$P$3:$P$805,$A166&amp;"|"&amp;J$6&amp;"|1")=0,"—",SUMIFS('Quote Lines'!$O$3:$O$805,'Quote Lines'!$P$3:$P$805,$A166&amp;"|"&amp;J$6&amp;"|1")/SUMIFS('Quote Lines'!$L$3:$L$805,'Quote Lines'!$P$3:$P$805,$A166&amp;"|"&amp;J$6&amp;"|1"))</f>
        <v>30.29</v>
      </c>
      <c r="K166" s="14" t="n">
        <f aca="false">IF(ISNUMBER(G166),G166*$F166,"—")</f>
        <v>358000</v>
      </c>
      <c r="L166" s="14" t="n">
        <f aca="false">IF(ISNUMBER(H166),H166*$F166,"—")</f>
        <v>375875</v>
      </c>
      <c r="M166" s="14" t="n">
        <f aca="false">IF(ISNUMBER(I166),I166*$F166,"—")</f>
        <v>376038.42</v>
      </c>
      <c r="N166" s="14" t="n">
        <f aca="false">IF(ISNUMBER(J166),J166*$F166,"—")</f>
        <v>378625</v>
      </c>
      <c r="O166" s="77" t="n">
        <f aca="false">IF($S166=0,"—",MIN(G166:J166))</f>
        <v>28.64</v>
      </c>
      <c r="P166" s="42" t="str">
        <f aca="false">IF($S166=0,"—",IF(COUNTIF(G166:J166,O166)&gt;1,"Tie",INDEX($G$6:$J$6,MATCH(O166,G166:J166,0))))</f>
        <v>Ferguson</v>
      </c>
      <c r="Q166" s="48" t="n">
        <f aca="false">IF($S166&gt;=2,MAX(G166:J166)/MIN(G166:J166)-1,"—")</f>
        <v>0.0576117318435754</v>
      </c>
      <c r="R166" s="78" t="n">
        <f aca="false">IF($S166&gt;=2,(MAX(G166:J166)-MIN(G166:J166))*$F166,"—")</f>
        <v>20625</v>
      </c>
      <c r="S166" s="18" t="n">
        <f aca="false">COUNT(G166:J166)</f>
        <v>4</v>
      </c>
      <c r="T166" s="79" t="str">
        <f aca="false">IF($S166&lt;=1,IF($S166=1,"Single quote","—"),"Like-for-like")</f>
        <v>Like-for-like</v>
      </c>
      <c r="U166" s="79" t="str">
        <f aca="false">IF(COUNT(W166:Z166)&lt;2,"",IF(MAX(W166:Z166)=MIN(W166:Z166),"OK","Qty differs"))</f>
        <v>OK</v>
      </c>
      <c r="V166" s="80"/>
      <c r="W166" s="81" t="n">
        <f aca="false">IF(COUNTIFS('Quote Lines'!$P$3:$P$805,$A166&amp;"|"&amp;G$6&amp;"|1",'Quote Lines'!$M$3:$M$805,"Y")=0,"",SUMIFS('Quote Lines'!$L$3:$L$805,'Quote Lines'!$P$3:$P$805,$A166&amp;"|"&amp;G$6&amp;"|1",'Quote Lines'!$M$3:$M$805,"Y"))</f>
        <v>12500</v>
      </c>
      <c r="X166" s="81" t="n">
        <f aca="false">IF(COUNTIFS('Quote Lines'!$P$3:$P$805,$A166&amp;"|"&amp;H$6&amp;"|1",'Quote Lines'!$M$3:$M$805,"Y")=0,"",SUMIFS('Quote Lines'!$L$3:$L$805,'Quote Lines'!$P$3:$P$805,$A166&amp;"|"&amp;H$6&amp;"|1",'Quote Lines'!$M$3:$M$805,"Y"))</f>
        <v>12500</v>
      </c>
      <c r="Y166" s="81" t="n">
        <f aca="false">IF(COUNTIFS('Quote Lines'!$P$3:$P$805,$A166&amp;"|"&amp;I$6&amp;"|1",'Quote Lines'!$M$3:$M$805,"Y")=0,"",SUMIFS('Quote Lines'!$L$3:$L$805,'Quote Lines'!$P$3:$P$805,$A166&amp;"|"&amp;I$6&amp;"|1",'Quote Lines'!$M$3:$M$805,"Y"))</f>
        <v>12500</v>
      </c>
      <c r="Z166" s="81" t="n">
        <f aca="false">IF(COUNTIFS('Quote Lines'!$P$3:$P$805,$A166&amp;"|"&amp;J$6&amp;"|1",'Quote Lines'!$M$3:$M$805,"Y")=0,"",SUMIFS('Quote Lines'!$L$3:$L$805,'Quote Lines'!$P$3:$P$805,$A166&amp;"|"&amp;J$6&amp;"|1",'Quote Lines'!$M$3:$M$805,"Y"))</f>
        <v>12500</v>
      </c>
      <c r="AA166" s="82" t="n">
        <f aca="false">IF(ISNUMBER(G166),1+SUMPRODUCT(ISNUMBER($G166:$J166)*($G166:$J166&lt;G166)),"")</f>
        <v>1</v>
      </c>
      <c r="AB166" s="82" t="n">
        <f aca="false">IF(ISNUMBER(H166),1+SUMPRODUCT(ISNUMBER($G166:$J166)*($G166:$J166&lt;H166)),"")</f>
        <v>2</v>
      </c>
      <c r="AC166" s="82" t="n">
        <f aca="false">IF(ISNUMBER(I166),1+SUMPRODUCT(ISNUMBER($G166:$J166)*($G166:$J166&lt;I166)),"")</f>
        <v>3</v>
      </c>
      <c r="AD166" s="82" t="n">
        <f aca="false">IF(ISNUMBER(J166),1+SUMPRODUCT(ISNUMBER($G166:$J166)*($G166:$J166&lt;J166)),"")</f>
        <v>4</v>
      </c>
      <c r="AE166" s="82" t="n">
        <f aca="false">IF(NOT(ISNUMBER(G166)),0,IF($S166&lt;2,5,IF(AA166=1,1,IF(G166=MAX($G166:$J166),4,IF(AA166=2,2,3)))))</f>
        <v>1</v>
      </c>
      <c r="AF166" s="82" t="n">
        <f aca="false">IF(NOT(ISNUMBER(H166)),0,IF($S166&lt;2,5,IF(AB166=1,1,IF(H166=MAX($G166:$J166),4,IF(AB166=2,2,3)))))</f>
        <v>2</v>
      </c>
      <c r="AG166" s="82" t="n">
        <f aca="false">IF(NOT(ISNUMBER(I166)),0,IF($S166&lt;2,5,IF(AC166=1,1,IF(I166=MAX($G166:$J166),4,IF(AC166=2,2,3)))))</f>
        <v>3</v>
      </c>
      <c r="AH166" s="82" t="n">
        <f aca="false">IF(NOT(ISNUMBER(J166)),0,IF($S166&lt;2,5,IF(AD166=1,1,IF(J166=MAX($G166:$J166),4,IF(AD166=2,2,3)))))</f>
        <v>4</v>
      </c>
      <c r="AI166" s="83" t="n">
        <f aca="false">IF($S166&gt;=2,IF(ISNUMBER(G166),G166*$F166,MIN($G166:$J166)*$F166),0)</f>
        <v>358000</v>
      </c>
      <c r="AJ166" s="83" t="n">
        <f aca="false">IF($S166&gt;=2,IF(ISNUMBER(H166),H166*$F166,MIN($G166:$J166)*$F166),0)</f>
        <v>375875</v>
      </c>
      <c r="AK166" s="83" t="n">
        <f aca="false">IF($S166&gt;=2,IF(ISNUMBER(I166),I166*$F166,MIN($G166:$J166)*$F166),0)</f>
        <v>376038.42</v>
      </c>
      <c r="AL166" s="83" t="n">
        <f aca="false">IF($S166&gt;=2,IF(ISNUMBER(J166),J166*$F166,MIN($G166:$J166)*$F166),0)</f>
        <v>378625</v>
      </c>
      <c r="AM166" s="84" t="n">
        <f aca="false">IF($S166&gt;=2,$R166+ROW()/1000000,"")</f>
        <v>20625.000166</v>
      </c>
      <c r="AN166" s="83" t="n">
        <f aca="false">IF($S166&gt;=2,MAX(G166:J166),"")</f>
        <v>30.29</v>
      </c>
      <c r="AO166" s="82" t="str">
        <f aca="false">IF($S166&gt;=2,INDEX($G$6:$J$6,MATCH(MAX(G166:J166),G166:J166,0)),"")</f>
        <v>Scholzen</v>
      </c>
      <c r="AP166" s="83" t="n">
        <f aca="false">IF($S166&gt;=2,MIN(G166:J166)*$F166,0)</f>
        <v>358000</v>
      </c>
      <c r="AQ166" s="82" t="str">
        <f aca="false">IF($S166&gt;=2,INDEX($G$6:$J$6,MATCH(MIN(G166:J166),G166:J166,0)),"")</f>
        <v>Ferguson</v>
      </c>
    </row>
    <row r="167" customFormat="false" ht="15" hidden="false" customHeight="true" outlineLevel="0" collapsed="false">
      <c r="A167" s="70" t="s">
        <v>500</v>
      </c>
      <c r="B167" s="71" t="s">
        <v>498</v>
      </c>
      <c r="C167" s="72" t="s">
        <v>460</v>
      </c>
      <c r="D167" s="73" t="s">
        <v>461</v>
      </c>
      <c r="E167" s="74" t="s">
        <v>178</v>
      </c>
      <c r="F167" s="75" t="n">
        <v>13000</v>
      </c>
      <c r="G167" s="76" t="n">
        <f aca="false">IF(COUNTIF('Quote Lines'!$P$3:$P$805,$A167&amp;"|"&amp;G$6&amp;"|1")=0,"—",SUMIFS('Quote Lines'!$O$3:$O$805,'Quote Lines'!$P$3:$P$805,$A167&amp;"|"&amp;G$6&amp;"|1")/SUMIFS('Quote Lines'!$L$3:$L$805,'Quote Lines'!$P$3:$P$805,$A167&amp;"|"&amp;G$6&amp;"|1"))</f>
        <v>0.37239</v>
      </c>
      <c r="H167" s="76" t="n">
        <f aca="false">IF(COUNTIF('Quote Lines'!$P$3:$P$805,$A167&amp;"|"&amp;H$6&amp;"|1")=0,"—",SUMIFS('Quote Lines'!$O$3:$O$805,'Quote Lines'!$P$3:$P$805,$A167&amp;"|"&amp;H$6&amp;"|1")/SUMIFS('Quote Lines'!$L$3:$L$805,'Quote Lines'!$P$3:$P$805,$A167&amp;"|"&amp;H$6&amp;"|1"))</f>
        <v>0.25672</v>
      </c>
      <c r="I167" s="76" t="n">
        <f aca="false">IF(COUNTIF('Quote Lines'!$P$3:$P$805,$A167&amp;"|"&amp;I$6&amp;"|1")=0,"—",SUMIFS('Quote Lines'!$O$3:$O$805,'Quote Lines'!$P$3:$P$805,$A167&amp;"|"&amp;I$6&amp;"|1")/SUMIFS('Quote Lines'!$L$3:$L$805,'Quote Lines'!$P$3:$P$805,$A167&amp;"|"&amp;I$6&amp;"|1"))</f>
        <v>0.297</v>
      </c>
      <c r="J167" s="76" t="n">
        <f aca="false">IF(COUNTIF('Quote Lines'!$P$3:$P$805,$A167&amp;"|"&amp;J$6&amp;"|1")=0,"—",SUMIFS('Quote Lines'!$O$3:$O$805,'Quote Lines'!$P$3:$P$805,$A167&amp;"|"&amp;J$6&amp;"|1")/SUMIFS('Quote Lines'!$L$3:$L$805,'Quote Lines'!$P$3:$P$805,$A167&amp;"|"&amp;J$6&amp;"|1"))</f>
        <v>0.39866</v>
      </c>
      <c r="K167" s="14" t="n">
        <f aca="false">IF(ISNUMBER(G167),G167*$F167,"—")</f>
        <v>4841.07</v>
      </c>
      <c r="L167" s="14" t="n">
        <f aca="false">IF(ISNUMBER(H167),H167*$F167,"—")</f>
        <v>3337.36</v>
      </c>
      <c r="M167" s="14" t="n">
        <f aca="false">IF(ISNUMBER(I167),I167*$F167,"—")</f>
        <v>3861</v>
      </c>
      <c r="N167" s="14" t="n">
        <f aca="false">IF(ISNUMBER(J167),J167*$F167,"—")</f>
        <v>5182.58</v>
      </c>
      <c r="O167" s="77" t="n">
        <f aca="false">IF($S167=0,"—",MIN(G167:J167))</f>
        <v>0.25672</v>
      </c>
      <c r="P167" s="42" t="str">
        <f aca="false">IF($S167=0,"—",IF(COUNTIF(G167:J167,O167)&gt;1,"Tie",INDEX($G$6:$J$6,MATCH(O167,G167:J167,0))))</f>
        <v>HD Fowler</v>
      </c>
      <c r="Q167" s="48" t="n">
        <f aca="false">IF($S167&gt;=2,MAX(G167:J167)/MIN(G167:J167)-1,"—")</f>
        <v>0.552898099096292</v>
      </c>
      <c r="R167" s="78" t="n">
        <f aca="false">IF($S167&gt;=2,(MAX(G167:J167)-MIN(G167:J167))*$F167,"—")</f>
        <v>1845.22</v>
      </c>
      <c r="S167" s="18" t="n">
        <f aca="false">COUNT(G167:J167)</f>
        <v>4</v>
      </c>
      <c r="T167" s="79" t="str">
        <f aca="false">IF($S167&lt;=1,IF($S167=1,"Single quote","—"),"Like-for-like")</f>
        <v>Like-for-like</v>
      </c>
      <c r="U167" s="79" t="str">
        <f aca="false">IF(COUNT(W167:Z167)&lt;2,"",IF(MAX(W167:Z167)=MIN(W167:Z167),"OK","Qty differs"))</f>
        <v>Qty differs</v>
      </c>
      <c r="V167" s="80"/>
      <c r="W167" s="81" t="n">
        <f aca="false">IF(COUNTIFS('Quote Lines'!$P$3:$P$805,$A167&amp;"|"&amp;G$6&amp;"|1",'Quote Lines'!$M$3:$M$805,"Y")=0,"",SUMIFS('Quote Lines'!$L$3:$L$805,'Quote Lines'!$P$3:$P$805,$A167&amp;"|"&amp;G$6&amp;"|1",'Quote Lines'!$M$3:$M$805,"Y"))</f>
        <v>13000</v>
      </c>
      <c r="X167" s="81" t="n">
        <f aca="false">IF(COUNTIFS('Quote Lines'!$P$3:$P$805,$A167&amp;"|"&amp;H$6&amp;"|1",'Quote Lines'!$M$3:$M$805,"Y")=0,"",SUMIFS('Quote Lines'!$L$3:$L$805,'Quote Lines'!$P$3:$P$805,$A167&amp;"|"&amp;H$6&amp;"|1",'Quote Lines'!$M$3:$M$805,"Y"))</f>
        <v>13000</v>
      </c>
      <c r="Y167" s="81" t="n">
        <f aca="false">IF(COUNTIFS('Quote Lines'!$P$3:$P$805,$A167&amp;"|"&amp;I$6&amp;"|1",'Quote Lines'!$M$3:$M$805,"Y")=0,"",SUMIFS('Quote Lines'!$L$3:$L$805,'Quote Lines'!$P$3:$P$805,$A167&amp;"|"&amp;I$6&amp;"|1",'Quote Lines'!$M$3:$M$805,"Y"))</f>
        <v>12500</v>
      </c>
      <c r="Z167" s="81" t="n">
        <f aca="false">IF(COUNTIFS('Quote Lines'!$P$3:$P$805,$A167&amp;"|"&amp;J$6&amp;"|1",'Quote Lines'!$M$3:$M$805,"Y")=0,"",SUMIFS('Quote Lines'!$L$3:$L$805,'Quote Lines'!$P$3:$P$805,$A167&amp;"|"&amp;J$6&amp;"|1",'Quote Lines'!$M$3:$M$805,"Y"))</f>
        <v>12500</v>
      </c>
      <c r="AA167" s="82" t="n">
        <f aca="false">IF(ISNUMBER(G167),1+SUMPRODUCT(ISNUMBER($G167:$J167)*($G167:$J167&lt;G167)),"")</f>
        <v>3</v>
      </c>
      <c r="AB167" s="82" t="n">
        <f aca="false">IF(ISNUMBER(H167),1+SUMPRODUCT(ISNUMBER($G167:$J167)*($G167:$J167&lt;H167)),"")</f>
        <v>1</v>
      </c>
      <c r="AC167" s="82" t="n">
        <f aca="false">IF(ISNUMBER(I167),1+SUMPRODUCT(ISNUMBER($G167:$J167)*($G167:$J167&lt;I167)),"")</f>
        <v>2</v>
      </c>
      <c r="AD167" s="82" t="n">
        <f aca="false">IF(ISNUMBER(J167),1+SUMPRODUCT(ISNUMBER($G167:$J167)*($G167:$J167&lt;J167)),"")</f>
        <v>4</v>
      </c>
      <c r="AE167" s="82" t="n">
        <f aca="false">IF(NOT(ISNUMBER(G167)),0,IF($S167&lt;2,5,IF(AA167=1,1,IF(G167=MAX($G167:$J167),4,IF(AA167=2,2,3)))))</f>
        <v>3</v>
      </c>
      <c r="AF167" s="82" t="n">
        <f aca="false">IF(NOT(ISNUMBER(H167)),0,IF($S167&lt;2,5,IF(AB167=1,1,IF(H167=MAX($G167:$J167),4,IF(AB167=2,2,3)))))</f>
        <v>1</v>
      </c>
      <c r="AG167" s="82" t="n">
        <f aca="false">IF(NOT(ISNUMBER(I167)),0,IF($S167&lt;2,5,IF(AC167=1,1,IF(I167=MAX($G167:$J167),4,IF(AC167=2,2,3)))))</f>
        <v>2</v>
      </c>
      <c r="AH167" s="82" t="n">
        <f aca="false">IF(NOT(ISNUMBER(J167)),0,IF($S167&lt;2,5,IF(AD167=1,1,IF(J167=MAX($G167:$J167),4,IF(AD167=2,2,3)))))</f>
        <v>4</v>
      </c>
      <c r="AI167" s="83" t="n">
        <f aca="false">IF($S167&gt;=2,IF(ISNUMBER(G167),G167*$F167,MIN($G167:$J167)*$F167),0)</f>
        <v>4841.07</v>
      </c>
      <c r="AJ167" s="83" t="n">
        <f aca="false">IF($S167&gt;=2,IF(ISNUMBER(H167),H167*$F167,MIN($G167:$J167)*$F167),0)</f>
        <v>3337.36</v>
      </c>
      <c r="AK167" s="83" t="n">
        <f aca="false">IF($S167&gt;=2,IF(ISNUMBER(I167),I167*$F167,MIN($G167:$J167)*$F167),0)</f>
        <v>3861</v>
      </c>
      <c r="AL167" s="83" t="n">
        <f aca="false">IF($S167&gt;=2,IF(ISNUMBER(J167),J167*$F167,MIN($G167:$J167)*$F167),0)</f>
        <v>5182.58</v>
      </c>
      <c r="AM167" s="84" t="n">
        <f aca="false">IF($S167&gt;=2,$R167+ROW()/1000000,"")</f>
        <v>1845.220167</v>
      </c>
      <c r="AN167" s="83" t="n">
        <f aca="false">IF($S167&gt;=2,MAX(G167:J167),"")</f>
        <v>0.39866</v>
      </c>
      <c r="AO167" s="82" t="str">
        <f aca="false">IF($S167&gt;=2,INDEX($G$6:$J$6,MATCH(MAX(G167:J167),G167:J167,0)),"")</f>
        <v>Scholzen</v>
      </c>
      <c r="AP167" s="83" t="n">
        <f aca="false">IF($S167&gt;=2,MIN(G167:J167)*$F167,0)</f>
        <v>3337.36</v>
      </c>
      <c r="AQ167" s="82" t="str">
        <f aca="false">IF($S167&gt;=2,INDEX($G$6:$J$6,MATCH(MIN(G167:J167),G167:J167,0)),"")</f>
        <v>HD Fowler</v>
      </c>
    </row>
    <row r="168" customFormat="false" ht="15" hidden="false" customHeight="true" outlineLevel="0" collapsed="false">
      <c r="A168" s="70" t="s">
        <v>501</v>
      </c>
      <c r="B168" s="71" t="s">
        <v>498</v>
      </c>
      <c r="C168" s="72" t="s">
        <v>460</v>
      </c>
      <c r="D168" s="73" t="s">
        <v>464</v>
      </c>
      <c r="E168" s="74" t="s">
        <v>133</v>
      </c>
      <c r="F168" s="75" t="n">
        <v>13</v>
      </c>
      <c r="G168" s="76" t="n">
        <f aca="false">IF(COUNTIF('Quote Lines'!$P$3:$P$805,$A168&amp;"|"&amp;G$6&amp;"|1")=0,"—",SUMIFS('Quote Lines'!$O$3:$O$805,'Quote Lines'!$P$3:$P$805,$A168&amp;"|"&amp;G$6&amp;"|1")/SUMIFS('Quote Lines'!$L$3:$L$805,'Quote Lines'!$P$3:$P$805,$A168&amp;"|"&amp;G$6&amp;"|1"))</f>
        <v>39.71</v>
      </c>
      <c r="H168" s="76" t="n">
        <f aca="false">IF(COUNTIF('Quote Lines'!$P$3:$P$805,$A168&amp;"|"&amp;H$6&amp;"|1")=0,"—",SUMIFS('Quote Lines'!$O$3:$O$805,'Quote Lines'!$P$3:$P$805,$A168&amp;"|"&amp;H$6&amp;"|1")/SUMIFS('Quote Lines'!$L$3:$L$805,'Quote Lines'!$P$3:$P$805,$A168&amp;"|"&amp;H$6&amp;"|1"))</f>
        <v>47.6</v>
      </c>
      <c r="I168" s="85" t="s">
        <v>138</v>
      </c>
      <c r="J168" s="85" t="s">
        <v>138</v>
      </c>
      <c r="K168" s="14" t="n">
        <f aca="false">IF(ISNUMBER(G168),G168*$F168,"—")</f>
        <v>516.23</v>
      </c>
      <c r="L168" s="14" t="n">
        <f aca="false">IF(ISNUMBER(H168),H168*$F168,"—")</f>
        <v>618.8</v>
      </c>
      <c r="M168" s="14" t="str">
        <f aca="false">IF(ISNUMBER(I168),I168*$F168,"—")</f>
        <v>—</v>
      </c>
      <c r="N168" s="14" t="str">
        <f aca="false">IF(ISNUMBER(J168),J168*$F168,"—")</f>
        <v>—</v>
      </c>
      <c r="O168" s="77" t="n">
        <f aca="false">IF($S168=0,"—",MIN(G168:J168))</f>
        <v>39.71</v>
      </c>
      <c r="P168" s="42" t="str">
        <f aca="false">IF($S168=0,"—",IF(COUNTIF(G168:J168,O168)&gt;1,"Tie",INDEX($G$6:$J$6,MATCH(O168,G168:J168,0))))</f>
        <v>Ferguson</v>
      </c>
      <c r="Q168" s="48" t="n">
        <f aca="false">IF($S168&gt;=2,MAX(G168:J168)/MIN(G168:J168)-1,"—")</f>
        <v>0.19869050616973</v>
      </c>
      <c r="R168" s="78" t="n">
        <f aca="false">IF($S168&gt;=2,(MAX(G168:J168)-MIN(G168:J168))*$F168,"—")</f>
        <v>102.57</v>
      </c>
      <c r="S168" s="18" t="n">
        <f aca="false">COUNT(G168:J168)</f>
        <v>2</v>
      </c>
      <c r="T168" s="79" t="str">
        <f aca="false">IF($S168&lt;=1,IF($S168=1,"Single quote","—"),"Like-for-like")</f>
        <v>Like-for-like</v>
      </c>
      <c r="U168" s="79" t="str">
        <f aca="false">IF(COUNT(W168:Z168)&lt;2,"",IF(MAX(W168:Z168)=MIN(W168:Z168),"OK","Qty differs"))</f>
        <v>OK</v>
      </c>
      <c r="V168" s="80"/>
      <c r="W168" s="81" t="n">
        <f aca="false">IF(COUNTIFS('Quote Lines'!$P$3:$P$805,$A168&amp;"|"&amp;G$6&amp;"|1",'Quote Lines'!$M$3:$M$805,"Y")=0,"",SUMIFS('Quote Lines'!$L$3:$L$805,'Quote Lines'!$P$3:$P$805,$A168&amp;"|"&amp;G$6&amp;"|1",'Quote Lines'!$M$3:$M$805,"Y"))</f>
        <v>13</v>
      </c>
      <c r="X168" s="81" t="n">
        <f aca="false">IF(COUNTIFS('Quote Lines'!$P$3:$P$805,$A168&amp;"|"&amp;H$6&amp;"|1",'Quote Lines'!$M$3:$M$805,"Y")=0,"",SUMIFS('Quote Lines'!$L$3:$L$805,'Quote Lines'!$P$3:$P$805,$A168&amp;"|"&amp;H$6&amp;"|1",'Quote Lines'!$M$3:$M$805,"Y"))</f>
        <v>13</v>
      </c>
      <c r="Y168" s="81"/>
      <c r="Z168" s="81"/>
      <c r="AA168" s="82" t="n">
        <f aca="false">IF(ISNUMBER(G168),1+SUMPRODUCT(ISNUMBER($G168:$J168)*($G168:$J168&lt;G168)),"")</f>
        <v>1</v>
      </c>
      <c r="AB168" s="82" t="n">
        <f aca="false">IF(ISNUMBER(H168),1+SUMPRODUCT(ISNUMBER($G168:$J168)*($G168:$J168&lt;H168)),"")</f>
        <v>2</v>
      </c>
      <c r="AC168" s="82" t="str">
        <f aca="false">IF(ISNUMBER(I168),1+SUMPRODUCT(ISNUMBER($G168:$J168)*($G168:$J168&lt;I168)),"")</f>
        <v/>
      </c>
      <c r="AD168" s="82" t="str">
        <f aca="false">IF(ISNUMBER(J168),1+SUMPRODUCT(ISNUMBER($G168:$J168)*($G168:$J168&lt;J168)),"")</f>
        <v/>
      </c>
      <c r="AE168" s="82" t="n">
        <f aca="false">IF(NOT(ISNUMBER(G168)),0,IF($S168&lt;2,5,IF(AA168=1,1,IF(G168=MAX($G168:$J168),4,IF(AA168=2,2,3)))))</f>
        <v>1</v>
      </c>
      <c r="AF168" s="82" t="n">
        <f aca="false">IF(NOT(ISNUMBER(H168)),0,IF($S168&lt;2,5,IF(AB168=1,1,IF(H168=MAX($G168:$J168),4,IF(AB168=2,2,3)))))</f>
        <v>4</v>
      </c>
      <c r="AG168" s="82" t="n">
        <f aca="false">IF(NOT(ISNUMBER(I168)),0,IF($S168&lt;2,5,IF(AC168=1,1,IF(I168=MAX($G168:$J168),4,IF(AC168=2,2,3)))))</f>
        <v>0</v>
      </c>
      <c r="AH168" s="82" t="n">
        <f aca="false">IF(NOT(ISNUMBER(J168)),0,IF($S168&lt;2,5,IF(AD168=1,1,IF(J168=MAX($G168:$J168),4,IF(AD168=2,2,3)))))</f>
        <v>0</v>
      </c>
      <c r="AI168" s="83" t="n">
        <f aca="false">IF($S168&gt;=2,IF(ISNUMBER(G168),G168*$F168,MIN($G168:$J168)*$F168),0)</f>
        <v>516.23</v>
      </c>
      <c r="AJ168" s="83" t="n">
        <f aca="false">IF($S168&gt;=2,IF(ISNUMBER(H168),H168*$F168,MIN($G168:$J168)*$F168),0)</f>
        <v>618.8</v>
      </c>
      <c r="AK168" s="83" t="n">
        <f aca="false">IF($S168&gt;=2,IF(ISNUMBER(I168),I168*$F168,MIN($G168:$J168)*$F168),0)</f>
        <v>516.23</v>
      </c>
      <c r="AL168" s="83" t="n">
        <f aca="false">IF($S168&gt;=2,IF(ISNUMBER(J168),J168*$F168,MIN($G168:$J168)*$F168),0)</f>
        <v>516.23</v>
      </c>
      <c r="AM168" s="84" t="n">
        <f aca="false">IF($S168&gt;=2,$R168+ROW()/1000000,"")</f>
        <v>102.570168</v>
      </c>
      <c r="AN168" s="83" t="n">
        <f aca="false">IF($S168&gt;=2,MAX(G168:J168),"")</f>
        <v>47.6</v>
      </c>
      <c r="AO168" s="82" t="str">
        <f aca="false">IF($S168&gt;=2,INDEX($G$6:$J$6,MATCH(MAX(G168:J168),G168:J168,0)),"")</f>
        <v>HD Fowler</v>
      </c>
      <c r="AP168" s="83" t="n">
        <f aca="false">IF($S168&gt;=2,MIN(G168:J168)*$F168,0)</f>
        <v>516.23</v>
      </c>
      <c r="AQ168" s="82" t="str">
        <f aca="false">IF($S168&gt;=2,INDEX($G$6:$J$6,MATCH(MIN(G168:J168),G168:J168,0)),"")</f>
        <v>Ferguson</v>
      </c>
    </row>
    <row r="169" customFormat="false" ht="27.75" hidden="false" customHeight="true" outlineLevel="0" collapsed="false">
      <c r="A169" s="70" t="s">
        <v>502</v>
      </c>
      <c r="B169" s="71" t="s">
        <v>498</v>
      </c>
      <c r="C169" s="72" t="s">
        <v>294</v>
      </c>
      <c r="D169" s="73" t="s">
        <v>503</v>
      </c>
      <c r="E169" s="74" t="s">
        <v>133</v>
      </c>
      <c r="F169" s="75" t="n">
        <v>132</v>
      </c>
      <c r="G169" s="76" t="n">
        <f aca="false">IF(COUNTIF('Quote Lines'!$P$3:$P$805,$A169&amp;"|"&amp;G$6&amp;"|1")=0,"—",SUMIFS('Quote Lines'!$O$3:$O$805,'Quote Lines'!$P$3:$P$805,$A169&amp;"|"&amp;G$6&amp;"|1")/SUMIFS('Quote Lines'!$L$3:$L$805,'Quote Lines'!$P$3:$P$805,$A169&amp;"|"&amp;G$6&amp;"|1"))</f>
        <v>259.37</v>
      </c>
      <c r="H169" s="76" t="n">
        <f aca="false">IF(COUNTIF('Quote Lines'!$P$3:$P$805,$A169&amp;"|"&amp;H$6&amp;"|1")=0,"—",SUMIFS('Quote Lines'!$O$3:$O$805,'Quote Lines'!$P$3:$P$805,$A169&amp;"|"&amp;H$6&amp;"|1")/SUMIFS('Quote Lines'!$L$3:$L$805,'Quote Lines'!$P$3:$P$805,$A169&amp;"|"&amp;H$6&amp;"|1"))</f>
        <v>227.7</v>
      </c>
      <c r="I169" s="76" t="n">
        <f aca="false">IF(COUNTIF('Quote Lines'!$P$3:$P$805,$A169&amp;"|"&amp;I$6&amp;"|1")=0,"—",SUMIFS('Quote Lines'!$O$3:$O$805,'Quote Lines'!$P$3:$P$805,$A169&amp;"|"&amp;I$6&amp;"|1")/SUMIFS('Quote Lines'!$L$3:$L$805,'Quote Lines'!$P$3:$P$805,$A169&amp;"|"&amp;I$6&amp;"|1"))</f>
        <v>164.482391304348</v>
      </c>
      <c r="J169" s="76" t="n">
        <f aca="false">IF(COUNTIF('Quote Lines'!$P$3:$P$805,$A169&amp;"|"&amp;J$6&amp;"|1")=0,"—",SUMIFS('Quote Lines'!$O$3:$O$805,'Quote Lines'!$P$3:$P$805,$A169&amp;"|"&amp;J$6&amp;"|1")/SUMIFS('Quote Lines'!$L$3:$L$805,'Quote Lines'!$P$3:$P$805,$A169&amp;"|"&amp;J$6&amp;"|1"))</f>
        <v>164.48</v>
      </c>
      <c r="K169" s="14" t="n">
        <f aca="false">IF(ISNUMBER(G169),G169*$F169,"—")</f>
        <v>34236.84</v>
      </c>
      <c r="L169" s="14" t="n">
        <f aca="false">IF(ISNUMBER(H169),H169*$F169,"—")</f>
        <v>30056.4</v>
      </c>
      <c r="M169" s="14" t="n">
        <f aca="false">IF(ISNUMBER(I169),I169*$F169,"—")</f>
        <v>21711.6756521739</v>
      </c>
      <c r="N169" s="14" t="n">
        <f aca="false">IF(ISNUMBER(J169),J169*$F169,"—")</f>
        <v>21711.36</v>
      </c>
      <c r="O169" s="77" t="n">
        <f aca="false">IF($S169=0,"—",MIN(G169:J169))</f>
        <v>164.48</v>
      </c>
      <c r="P169" s="42" t="str">
        <f aca="false">IF($S169=0,"—",IF(COUNTIF(G169:J169,O169)&gt;1,"Tie",INDEX($G$6:$J$6,MATCH(O169,G169:J169,0))))</f>
        <v>Scholzen</v>
      </c>
      <c r="Q169" s="48" t="n">
        <f aca="false">IF($S169&gt;=2,MAX(G169:J169)/MIN(G169:J169)-1,"—")</f>
        <v>0.576909046692607</v>
      </c>
      <c r="R169" s="78" t="n">
        <f aca="false">IF($S169&gt;=2,(MAX(G169:J169)-MIN(G169:J169))*$F169,"—")</f>
        <v>12525.48</v>
      </c>
      <c r="S169" s="18" t="n">
        <f aca="false">COUNT(G169:J169)</f>
        <v>4</v>
      </c>
      <c r="T169" s="79" t="str">
        <f aca="false">IF($S169&lt;=1,IF($S169=1,"Single quote","—"),"Alt spec – verify")</f>
        <v>Alt spec – verify</v>
      </c>
      <c r="U169" s="79" t="str">
        <f aca="false">IF(COUNT(W169:Z169)&lt;2,"",IF(MAX(W169:Z169)=MIN(W169:Z169),"OK","Qty differs"))</f>
        <v>Qty differs</v>
      </c>
      <c r="V169" s="80" t="s">
        <v>504</v>
      </c>
      <c r="W169" s="81" t="n">
        <f aca="false">IF(COUNTIFS('Quote Lines'!$P$3:$P$805,$A169&amp;"|"&amp;G$6&amp;"|1",'Quote Lines'!$M$3:$M$805,"Y")=0,"",SUMIFS('Quote Lines'!$L$3:$L$805,'Quote Lines'!$P$3:$P$805,$A169&amp;"|"&amp;G$6&amp;"|1",'Quote Lines'!$M$3:$M$805,"Y"))</f>
        <v>154</v>
      </c>
      <c r="X169" s="81" t="str">
        <f aca="false">IF(COUNTIFS('Quote Lines'!$P$3:$P$805,$A169&amp;"|"&amp;H$6&amp;"|1",'Quote Lines'!$M$3:$M$805,"Y")=0,"",SUMIFS('Quote Lines'!$L$3:$L$805,'Quote Lines'!$P$3:$P$805,$A169&amp;"|"&amp;H$6&amp;"|1",'Quote Lines'!$M$3:$M$805,"Y"))</f>
        <v/>
      </c>
      <c r="Y169" s="81" t="n">
        <f aca="false">IF(COUNTIFS('Quote Lines'!$P$3:$P$805,$A169&amp;"|"&amp;I$6&amp;"|1",'Quote Lines'!$M$3:$M$805,"Y")=0,"",SUMIFS('Quote Lines'!$L$3:$L$805,'Quote Lines'!$P$3:$P$805,$A169&amp;"|"&amp;I$6&amp;"|1",'Quote Lines'!$M$3:$M$805,"Y"))</f>
        <v>92</v>
      </c>
      <c r="Z169" s="81" t="n">
        <f aca="false">IF(COUNTIFS('Quote Lines'!$P$3:$P$805,$A169&amp;"|"&amp;J$6&amp;"|1",'Quote Lines'!$M$3:$M$805,"Y")=0,"",SUMIFS('Quote Lines'!$L$3:$L$805,'Quote Lines'!$P$3:$P$805,$A169&amp;"|"&amp;J$6&amp;"|1",'Quote Lines'!$M$3:$M$805,"Y"))</f>
        <v>132</v>
      </c>
      <c r="AA169" s="82" t="n">
        <f aca="false">IF(ISNUMBER(G169),1+SUMPRODUCT(ISNUMBER($G169:$J169)*($G169:$J169&lt;G169)),"")</f>
        <v>4</v>
      </c>
      <c r="AB169" s="82" t="n">
        <f aca="false">IF(ISNUMBER(H169),1+SUMPRODUCT(ISNUMBER($G169:$J169)*($G169:$J169&lt;H169)),"")</f>
        <v>3</v>
      </c>
      <c r="AC169" s="82" t="n">
        <f aca="false">IF(ISNUMBER(I169),1+SUMPRODUCT(ISNUMBER($G169:$J169)*($G169:$J169&lt;I169)),"")</f>
        <v>2</v>
      </c>
      <c r="AD169" s="82" t="n">
        <f aca="false">IF(ISNUMBER(J169),1+SUMPRODUCT(ISNUMBER($G169:$J169)*($G169:$J169&lt;J169)),"")</f>
        <v>1</v>
      </c>
      <c r="AE169" s="82" t="n">
        <f aca="false">IF(NOT(ISNUMBER(G169)),0,IF($S169&lt;2,5,IF(AA169=1,1,IF(G169=MAX($G169:$J169),4,IF(AA169=2,2,3)))))</f>
        <v>4</v>
      </c>
      <c r="AF169" s="82" t="n">
        <f aca="false">IF(NOT(ISNUMBER(H169)),0,IF($S169&lt;2,5,IF(AB169=1,1,IF(H169=MAX($G169:$J169),4,IF(AB169=2,2,3)))))</f>
        <v>3</v>
      </c>
      <c r="AG169" s="82" t="n">
        <f aca="false">IF(NOT(ISNUMBER(I169)),0,IF($S169&lt;2,5,IF(AC169=1,1,IF(I169=MAX($G169:$J169),4,IF(AC169=2,2,3)))))</f>
        <v>2</v>
      </c>
      <c r="AH169" s="82" t="n">
        <f aca="false">IF(NOT(ISNUMBER(J169)),0,IF($S169&lt;2,5,IF(AD169=1,1,IF(J169=MAX($G169:$J169),4,IF(AD169=2,2,3)))))</f>
        <v>1</v>
      </c>
      <c r="AI169" s="83" t="n">
        <f aca="false">IF($S169&gt;=2,IF(ISNUMBER(G169),G169*$F169,MIN($G169:$J169)*$F169),0)</f>
        <v>34236.84</v>
      </c>
      <c r="AJ169" s="83" t="n">
        <f aca="false">IF($S169&gt;=2,IF(ISNUMBER(H169),H169*$F169,MIN($G169:$J169)*$F169),0)</f>
        <v>30056.4</v>
      </c>
      <c r="AK169" s="83" t="n">
        <f aca="false">IF($S169&gt;=2,IF(ISNUMBER(I169),I169*$F169,MIN($G169:$J169)*$F169),0)</f>
        <v>21711.6756521739</v>
      </c>
      <c r="AL169" s="83" t="n">
        <f aca="false">IF($S169&gt;=2,IF(ISNUMBER(J169),J169*$F169,MIN($G169:$J169)*$F169),0)</f>
        <v>21711.36</v>
      </c>
      <c r="AM169" s="84" t="n">
        <f aca="false">IF($S169&gt;=2,$R169+ROW()/1000000,"")</f>
        <v>12525.480169</v>
      </c>
      <c r="AN169" s="83" t="n">
        <f aca="false">IF($S169&gt;=2,MAX(G169:J169),"")</f>
        <v>259.37</v>
      </c>
      <c r="AO169" s="82" t="str">
        <f aca="false">IF($S169&gt;=2,INDEX($G$6:$J$6,MATCH(MAX(G169:J169),G169:J169,0)),"")</f>
        <v>Ferguson</v>
      </c>
      <c r="AP169" s="83" t="n">
        <f aca="false">IF($S169&gt;=2,MIN(G169:J169)*$F169,0)</f>
        <v>21711.36</v>
      </c>
      <c r="AQ169" s="82" t="str">
        <f aca="false">IF($S169&gt;=2,INDEX($G$6:$J$6,MATCH(MIN(G169:J169),G169:J169,0)),"")</f>
        <v>Scholzen</v>
      </c>
    </row>
    <row r="170" customFormat="false" ht="15" hidden="false" customHeight="true" outlineLevel="0" collapsed="false">
      <c r="A170" s="70" t="s">
        <v>505</v>
      </c>
      <c r="B170" s="71" t="s">
        <v>498</v>
      </c>
      <c r="C170" s="72" t="s">
        <v>469</v>
      </c>
      <c r="D170" s="73" t="s">
        <v>492</v>
      </c>
      <c r="E170" s="74" t="s">
        <v>178</v>
      </c>
      <c r="F170" s="75" t="n">
        <v>340</v>
      </c>
      <c r="G170" s="85" t="s">
        <v>138</v>
      </c>
      <c r="H170" s="76" t="n">
        <f aca="false">IF(COUNTIF('Quote Lines'!$P$3:$P$805,$A170&amp;"|"&amp;H$6&amp;"|1")=0,"—",SUMIFS('Quote Lines'!$O$3:$O$805,'Quote Lines'!$P$3:$P$805,$A170&amp;"|"&amp;H$6&amp;"|1")/SUMIFS('Quote Lines'!$L$3:$L$805,'Quote Lines'!$P$3:$P$805,$A170&amp;"|"&amp;H$6&amp;"|1"))</f>
        <v>1.04</v>
      </c>
      <c r="I170" s="85" t="s">
        <v>138</v>
      </c>
      <c r="J170" s="85" t="s">
        <v>138</v>
      </c>
      <c r="K170" s="14" t="str">
        <f aca="false">IF(ISNUMBER(G170),G170*$F170,"—")</f>
        <v>—</v>
      </c>
      <c r="L170" s="14" t="n">
        <f aca="false">IF(ISNUMBER(H170),H170*$F170,"—")</f>
        <v>353.6</v>
      </c>
      <c r="M170" s="14" t="str">
        <f aca="false">IF(ISNUMBER(I170),I170*$F170,"—")</f>
        <v>—</v>
      </c>
      <c r="N170" s="14" t="str">
        <f aca="false">IF(ISNUMBER(J170),J170*$F170,"—")</f>
        <v>—</v>
      </c>
      <c r="O170" s="77" t="n">
        <f aca="false">IF($S170=0,"—",MIN(G170:J170))</f>
        <v>1.04</v>
      </c>
      <c r="P170" s="42" t="str">
        <f aca="false">IF($S170=0,"—",IF(COUNTIF(G170:J170,O170)&gt;1,"Tie",INDEX($G$6:$J$6,MATCH(O170,G170:J170,0))))</f>
        <v>HD Fowler</v>
      </c>
      <c r="Q170" s="48" t="str">
        <f aca="false">IF($S170&gt;=2,MAX(G170:J170)/MIN(G170:J170)-1,"—")</f>
        <v>—</v>
      </c>
      <c r="R170" s="78" t="str">
        <f aca="false">IF($S170&gt;=2,(MAX(G170:J170)-MIN(G170:J170))*$F170,"—")</f>
        <v>—</v>
      </c>
      <c r="S170" s="18" t="n">
        <f aca="false">COUNT(G170:J170)</f>
        <v>1</v>
      </c>
      <c r="T170" s="79" t="str">
        <f aca="false">IF($S170&lt;=1,IF($S170=1,"Single quote","—"),"Like-for-like")</f>
        <v>Single quote</v>
      </c>
      <c r="U170" s="79" t="str">
        <f aca="false">IF(COUNT(W170:Z170)&lt;2,"",IF(MAX(W170:Z170)=MIN(W170:Z170),"OK","Qty differs"))</f>
        <v/>
      </c>
      <c r="V170" s="80"/>
      <c r="W170" s="81"/>
      <c r="X170" s="81" t="n">
        <f aca="false">IF(COUNTIFS('Quote Lines'!$P$3:$P$805,$A170&amp;"|"&amp;H$6&amp;"|1",'Quote Lines'!$M$3:$M$805,"Y")=0,"",SUMIFS('Quote Lines'!$L$3:$L$805,'Quote Lines'!$P$3:$P$805,$A170&amp;"|"&amp;H$6&amp;"|1",'Quote Lines'!$M$3:$M$805,"Y"))</f>
        <v>340</v>
      </c>
      <c r="Y170" s="81"/>
      <c r="Z170" s="81"/>
      <c r="AA170" s="82" t="str">
        <f aca="false">IF(ISNUMBER(G170),1+SUMPRODUCT(ISNUMBER($G170:$J170)*($G170:$J170&lt;G170)),"")</f>
        <v/>
      </c>
      <c r="AB170" s="82" t="n">
        <f aca="false">IF(ISNUMBER(H170),1+SUMPRODUCT(ISNUMBER($G170:$J170)*($G170:$J170&lt;H170)),"")</f>
        <v>1</v>
      </c>
      <c r="AC170" s="82" t="str">
        <f aca="false">IF(ISNUMBER(I170),1+SUMPRODUCT(ISNUMBER($G170:$J170)*($G170:$J170&lt;I170)),"")</f>
        <v/>
      </c>
      <c r="AD170" s="82" t="str">
        <f aca="false">IF(ISNUMBER(J170),1+SUMPRODUCT(ISNUMBER($G170:$J170)*($G170:$J170&lt;J170)),"")</f>
        <v/>
      </c>
      <c r="AE170" s="82" t="n">
        <f aca="false">IF(NOT(ISNUMBER(G170)),0,IF($S170&lt;2,5,IF(AA170=1,1,IF(G170=MAX($G170:$J170),4,IF(AA170=2,2,3)))))</f>
        <v>0</v>
      </c>
      <c r="AF170" s="82" t="n">
        <f aca="false">IF(NOT(ISNUMBER(H170)),0,IF($S170&lt;2,5,IF(AB170=1,1,IF(H170=MAX($G170:$J170),4,IF(AB170=2,2,3)))))</f>
        <v>5</v>
      </c>
      <c r="AG170" s="82" t="n">
        <f aca="false">IF(NOT(ISNUMBER(I170)),0,IF($S170&lt;2,5,IF(AC170=1,1,IF(I170=MAX($G170:$J170),4,IF(AC170=2,2,3)))))</f>
        <v>0</v>
      </c>
      <c r="AH170" s="82" t="n">
        <f aca="false">IF(NOT(ISNUMBER(J170)),0,IF($S170&lt;2,5,IF(AD170=1,1,IF(J170=MAX($G170:$J170),4,IF(AD170=2,2,3)))))</f>
        <v>0</v>
      </c>
      <c r="AI170" s="83" t="n">
        <f aca="false">IF($S170&gt;=2,IF(ISNUMBER(G170),G170*$F170,MIN($G170:$J170)*$F170),0)</f>
        <v>0</v>
      </c>
      <c r="AJ170" s="83" t="n">
        <f aca="false">IF($S170&gt;=2,IF(ISNUMBER(H170),H170*$F170,MIN($G170:$J170)*$F170),0)</f>
        <v>0</v>
      </c>
      <c r="AK170" s="83" t="n">
        <f aca="false">IF($S170&gt;=2,IF(ISNUMBER(I170),I170*$F170,MIN($G170:$J170)*$F170),0)</f>
        <v>0</v>
      </c>
      <c r="AL170" s="83" t="n">
        <f aca="false">IF($S170&gt;=2,IF(ISNUMBER(J170),J170*$F170,MIN($G170:$J170)*$F170),0)</f>
        <v>0</v>
      </c>
      <c r="AM170" s="84" t="str">
        <f aca="false">IF($S170&gt;=2,$R170+ROW()/1000000,"")</f>
        <v/>
      </c>
      <c r="AN170" s="83" t="str">
        <f aca="false">IF($S170&gt;=2,MAX(G170:J170),"")</f>
        <v/>
      </c>
      <c r="AO170" s="82" t="str">
        <f aca="false">IF($S170&gt;=2,INDEX($G$6:$J$6,MATCH(MAX(G170:J170),G170:J170,0)),"")</f>
        <v/>
      </c>
      <c r="AP170" s="83" t="n">
        <f aca="false">IF($S170&gt;=2,MIN(G170:J170)*$F170,0)</f>
        <v>0</v>
      </c>
      <c r="AQ170" s="82" t="str">
        <f aca="false">IF($S170&gt;=2,INDEX($G$6:$J$6,MATCH(MIN(G170:J170),G170:J170,0)),"")</f>
        <v/>
      </c>
    </row>
    <row r="171" customFormat="false" ht="15" hidden="false" customHeight="true" outlineLevel="0" collapsed="false">
      <c r="A171" s="70" t="s">
        <v>506</v>
      </c>
      <c r="B171" s="71" t="s">
        <v>498</v>
      </c>
      <c r="C171" s="72" t="s">
        <v>469</v>
      </c>
      <c r="D171" s="73" t="s">
        <v>472</v>
      </c>
      <c r="E171" s="74" t="s">
        <v>473</v>
      </c>
      <c r="F171" s="75" t="n">
        <v>5</v>
      </c>
      <c r="G171" s="85" t="s">
        <v>138</v>
      </c>
      <c r="H171" s="76" t="n">
        <f aca="false">IF(COUNTIF('Quote Lines'!$P$3:$P$805,$A171&amp;"|"&amp;H$6&amp;"|1")=0,"—",SUMIFS('Quote Lines'!$O$3:$O$805,'Quote Lines'!$P$3:$P$805,$A171&amp;"|"&amp;H$6&amp;"|1")/SUMIFS('Quote Lines'!$L$3:$L$805,'Quote Lines'!$P$3:$P$805,$A171&amp;"|"&amp;H$6&amp;"|1"))</f>
        <v>6.64</v>
      </c>
      <c r="I171" s="85" t="s">
        <v>138</v>
      </c>
      <c r="J171" s="85" t="s">
        <v>138</v>
      </c>
      <c r="K171" s="14" t="str">
        <f aca="false">IF(ISNUMBER(G171),G171*$F171,"—")</f>
        <v>—</v>
      </c>
      <c r="L171" s="14" t="n">
        <f aca="false">IF(ISNUMBER(H171),H171*$F171,"—")</f>
        <v>33.2</v>
      </c>
      <c r="M171" s="14" t="str">
        <f aca="false">IF(ISNUMBER(I171),I171*$F171,"—")</f>
        <v>—</v>
      </c>
      <c r="N171" s="14" t="str">
        <f aca="false">IF(ISNUMBER(J171),J171*$F171,"—")</f>
        <v>—</v>
      </c>
      <c r="O171" s="77" t="n">
        <f aca="false">IF($S171=0,"—",MIN(G171:J171))</f>
        <v>6.64</v>
      </c>
      <c r="P171" s="42" t="str">
        <f aca="false">IF($S171=0,"—",IF(COUNTIF(G171:J171,O171)&gt;1,"Tie",INDEX($G$6:$J$6,MATCH(O171,G171:J171,0))))</f>
        <v>HD Fowler</v>
      </c>
      <c r="Q171" s="48" t="str">
        <f aca="false">IF($S171&gt;=2,MAX(G171:J171)/MIN(G171:J171)-1,"—")</f>
        <v>—</v>
      </c>
      <c r="R171" s="78" t="str">
        <f aca="false">IF($S171&gt;=2,(MAX(G171:J171)-MIN(G171:J171))*$F171,"—")</f>
        <v>—</v>
      </c>
      <c r="S171" s="18" t="n">
        <f aca="false">COUNT(G171:J171)</f>
        <v>1</v>
      </c>
      <c r="T171" s="79" t="str">
        <f aca="false">IF($S171&lt;=1,IF($S171=1,"Single quote","—"),"Like-for-like")</f>
        <v>Single quote</v>
      </c>
      <c r="U171" s="79" t="str">
        <f aca="false">IF(COUNT(W171:Z171)&lt;2,"",IF(MAX(W171:Z171)=MIN(W171:Z171),"OK","Qty differs"))</f>
        <v/>
      </c>
      <c r="V171" s="80"/>
      <c r="W171" s="81"/>
      <c r="X171" s="81" t="n">
        <f aca="false">IF(COUNTIFS('Quote Lines'!$P$3:$P$805,$A171&amp;"|"&amp;H$6&amp;"|1",'Quote Lines'!$M$3:$M$805,"Y")=0,"",SUMIFS('Quote Lines'!$L$3:$L$805,'Quote Lines'!$P$3:$P$805,$A171&amp;"|"&amp;H$6&amp;"|1",'Quote Lines'!$M$3:$M$805,"Y"))</f>
        <v>5</v>
      </c>
      <c r="Y171" s="81"/>
      <c r="Z171" s="81"/>
      <c r="AA171" s="82" t="str">
        <f aca="false">IF(ISNUMBER(G171),1+SUMPRODUCT(ISNUMBER($G171:$J171)*($G171:$J171&lt;G171)),"")</f>
        <v/>
      </c>
      <c r="AB171" s="82" t="n">
        <f aca="false">IF(ISNUMBER(H171),1+SUMPRODUCT(ISNUMBER($G171:$J171)*($G171:$J171&lt;H171)),"")</f>
        <v>1</v>
      </c>
      <c r="AC171" s="82" t="str">
        <f aca="false">IF(ISNUMBER(I171),1+SUMPRODUCT(ISNUMBER($G171:$J171)*($G171:$J171&lt;I171)),"")</f>
        <v/>
      </c>
      <c r="AD171" s="82" t="str">
        <f aca="false">IF(ISNUMBER(J171),1+SUMPRODUCT(ISNUMBER($G171:$J171)*($G171:$J171&lt;J171)),"")</f>
        <v/>
      </c>
      <c r="AE171" s="82" t="n">
        <f aca="false">IF(NOT(ISNUMBER(G171)),0,IF($S171&lt;2,5,IF(AA171=1,1,IF(G171=MAX($G171:$J171),4,IF(AA171=2,2,3)))))</f>
        <v>0</v>
      </c>
      <c r="AF171" s="82" t="n">
        <f aca="false">IF(NOT(ISNUMBER(H171)),0,IF($S171&lt;2,5,IF(AB171=1,1,IF(H171=MAX($G171:$J171),4,IF(AB171=2,2,3)))))</f>
        <v>5</v>
      </c>
      <c r="AG171" s="82" t="n">
        <f aca="false">IF(NOT(ISNUMBER(I171)),0,IF($S171&lt;2,5,IF(AC171=1,1,IF(I171=MAX($G171:$J171),4,IF(AC171=2,2,3)))))</f>
        <v>0</v>
      </c>
      <c r="AH171" s="82" t="n">
        <f aca="false">IF(NOT(ISNUMBER(J171)),0,IF($S171&lt;2,5,IF(AD171=1,1,IF(J171=MAX($G171:$J171),4,IF(AD171=2,2,3)))))</f>
        <v>0</v>
      </c>
      <c r="AI171" s="83" t="n">
        <f aca="false">IF($S171&gt;=2,IF(ISNUMBER(G171),G171*$F171,MIN($G171:$J171)*$F171),0)</f>
        <v>0</v>
      </c>
      <c r="AJ171" s="83" t="n">
        <f aca="false">IF($S171&gt;=2,IF(ISNUMBER(H171),H171*$F171,MIN($G171:$J171)*$F171),0)</f>
        <v>0</v>
      </c>
      <c r="AK171" s="83" t="n">
        <f aca="false">IF($S171&gt;=2,IF(ISNUMBER(I171),I171*$F171,MIN($G171:$J171)*$F171),0)</f>
        <v>0</v>
      </c>
      <c r="AL171" s="83" t="n">
        <f aca="false">IF($S171&gt;=2,IF(ISNUMBER(J171),J171*$F171,MIN($G171:$J171)*$F171),0)</f>
        <v>0</v>
      </c>
      <c r="AM171" s="84" t="str">
        <f aca="false">IF($S171&gt;=2,$R171+ROW()/1000000,"")</f>
        <v/>
      </c>
      <c r="AN171" s="83" t="str">
        <f aca="false">IF($S171&gt;=2,MAX(G171:J171),"")</f>
        <v/>
      </c>
      <c r="AO171" s="82" t="str">
        <f aca="false">IF($S171&gt;=2,INDEX($G$6:$J$6,MATCH(MAX(G171:J171),G171:J171,0)),"")</f>
        <v/>
      </c>
      <c r="AP171" s="83" t="n">
        <f aca="false">IF($S171&gt;=2,MIN(G171:J171)*$F171,0)</f>
        <v>0</v>
      </c>
      <c r="AQ171" s="82" t="str">
        <f aca="false">IF($S171&gt;=2,INDEX($G$6:$J$6,MATCH(MIN(G171:J171),G171:J171,0)),"")</f>
        <v/>
      </c>
    </row>
    <row r="172" customFormat="false" ht="15" hidden="false" customHeight="true" outlineLevel="0" collapsed="false">
      <c r="A172" s="70" t="s">
        <v>507</v>
      </c>
      <c r="B172" s="71" t="s">
        <v>498</v>
      </c>
      <c r="C172" s="72" t="s">
        <v>469</v>
      </c>
      <c r="D172" s="73" t="s">
        <v>475</v>
      </c>
      <c r="E172" s="74" t="s">
        <v>133</v>
      </c>
      <c r="F172" s="75" t="n">
        <v>25</v>
      </c>
      <c r="G172" s="85" t="s">
        <v>138</v>
      </c>
      <c r="H172" s="76" t="n">
        <f aca="false">IF(COUNTIF('Quote Lines'!$P$3:$P$805,$A172&amp;"|"&amp;H$6&amp;"|1")=0,"—",SUMIFS('Quote Lines'!$O$3:$O$805,'Quote Lines'!$P$3:$P$805,$A172&amp;"|"&amp;H$6&amp;"|1")/SUMIFS('Quote Lines'!$L$3:$L$805,'Quote Lines'!$P$3:$P$805,$A172&amp;"|"&amp;H$6&amp;"|1"))</f>
        <v>42.82</v>
      </c>
      <c r="I172" s="85" t="s">
        <v>138</v>
      </c>
      <c r="J172" s="85" t="s">
        <v>138</v>
      </c>
      <c r="K172" s="14" t="str">
        <f aca="false">IF(ISNUMBER(G172),G172*$F172,"—")</f>
        <v>—</v>
      </c>
      <c r="L172" s="14" t="n">
        <f aca="false">IF(ISNUMBER(H172),H172*$F172,"—")</f>
        <v>1070.5</v>
      </c>
      <c r="M172" s="14" t="str">
        <f aca="false">IF(ISNUMBER(I172),I172*$F172,"—")</f>
        <v>—</v>
      </c>
      <c r="N172" s="14" t="str">
        <f aca="false">IF(ISNUMBER(J172),J172*$F172,"—")</f>
        <v>—</v>
      </c>
      <c r="O172" s="77" t="n">
        <f aca="false">IF($S172=0,"—",MIN(G172:J172))</f>
        <v>42.82</v>
      </c>
      <c r="P172" s="42" t="str">
        <f aca="false">IF($S172=0,"—",IF(COUNTIF(G172:J172,O172)&gt;1,"Tie",INDEX($G$6:$J$6,MATCH(O172,G172:J172,0))))</f>
        <v>HD Fowler</v>
      </c>
      <c r="Q172" s="48" t="str">
        <f aca="false">IF($S172&gt;=2,MAX(G172:J172)/MIN(G172:J172)-1,"—")</f>
        <v>—</v>
      </c>
      <c r="R172" s="78" t="str">
        <f aca="false">IF($S172&gt;=2,(MAX(G172:J172)-MIN(G172:J172))*$F172,"—")</f>
        <v>—</v>
      </c>
      <c r="S172" s="18" t="n">
        <f aca="false">COUNT(G172:J172)</f>
        <v>1</v>
      </c>
      <c r="T172" s="79" t="str">
        <f aca="false">IF($S172&lt;=1,IF($S172=1,"Single quote","—"),"Like-for-like")</f>
        <v>Single quote</v>
      </c>
      <c r="U172" s="79" t="str">
        <f aca="false">IF(COUNT(W172:Z172)&lt;2,"",IF(MAX(W172:Z172)=MIN(W172:Z172),"OK","Qty differs"))</f>
        <v/>
      </c>
      <c r="V172" s="80"/>
      <c r="W172" s="81"/>
      <c r="X172" s="81" t="n">
        <f aca="false">IF(COUNTIFS('Quote Lines'!$P$3:$P$805,$A172&amp;"|"&amp;H$6&amp;"|1",'Quote Lines'!$M$3:$M$805,"Y")=0,"",SUMIFS('Quote Lines'!$L$3:$L$805,'Quote Lines'!$P$3:$P$805,$A172&amp;"|"&amp;H$6&amp;"|1",'Quote Lines'!$M$3:$M$805,"Y"))</f>
        <v>25</v>
      </c>
      <c r="Y172" s="81"/>
      <c r="Z172" s="81"/>
      <c r="AA172" s="82" t="str">
        <f aca="false">IF(ISNUMBER(G172),1+SUMPRODUCT(ISNUMBER($G172:$J172)*($G172:$J172&lt;G172)),"")</f>
        <v/>
      </c>
      <c r="AB172" s="82" t="n">
        <f aca="false">IF(ISNUMBER(H172),1+SUMPRODUCT(ISNUMBER($G172:$J172)*($G172:$J172&lt;H172)),"")</f>
        <v>1</v>
      </c>
      <c r="AC172" s="82" t="str">
        <f aca="false">IF(ISNUMBER(I172),1+SUMPRODUCT(ISNUMBER($G172:$J172)*($G172:$J172&lt;I172)),"")</f>
        <v/>
      </c>
      <c r="AD172" s="82" t="str">
        <f aca="false">IF(ISNUMBER(J172),1+SUMPRODUCT(ISNUMBER($G172:$J172)*($G172:$J172&lt;J172)),"")</f>
        <v/>
      </c>
      <c r="AE172" s="82" t="n">
        <f aca="false">IF(NOT(ISNUMBER(G172)),0,IF($S172&lt;2,5,IF(AA172=1,1,IF(G172=MAX($G172:$J172),4,IF(AA172=2,2,3)))))</f>
        <v>0</v>
      </c>
      <c r="AF172" s="82" t="n">
        <f aca="false">IF(NOT(ISNUMBER(H172)),0,IF($S172&lt;2,5,IF(AB172=1,1,IF(H172=MAX($G172:$J172),4,IF(AB172=2,2,3)))))</f>
        <v>5</v>
      </c>
      <c r="AG172" s="82" t="n">
        <f aca="false">IF(NOT(ISNUMBER(I172)),0,IF($S172&lt;2,5,IF(AC172=1,1,IF(I172=MAX($G172:$J172),4,IF(AC172=2,2,3)))))</f>
        <v>0</v>
      </c>
      <c r="AH172" s="82" t="n">
        <f aca="false">IF(NOT(ISNUMBER(J172)),0,IF($S172&lt;2,5,IF(AD172=1,1,IF(J172=MAX($G172:$J172),4,IF(AD172=2,2,3)))))</f>
        <v>0</v>
      </c>
      <c r="AI172" s="83" t="n">
        <f aca="false">IF($S172&gt;=2,IF(ISNUMBER(G172),G172*$F172,MIN($G172:$J172)*$F172),0)</f>
        <v>0</v>
      </c>
      <c r="AJ172" s="83" t="n">
        <f aca="false">IF($S172&gt;=2,IF(ISNUMBER(H172),H172*$F172,MIN($G172:$J172)*$F172),0)</f>
        <v>0</v>
      </c>
      <c r="AK172" s="83" t="n">
        <f aca="false">IF($S172&gt;=2,IF(ISNUMBER(I172),I172*$F172,MIN($G172:$J172)*$F172),0)</f>
        <v>0</v>
      </c>
      <c r="AL172" s="83" t="n">
        <f aca="false">IF($S172&gt;=2,IF(ISNUMBER(J172),J172*$F172,MIN($G172:$J172)*$F172),0)</f>
        <v>0</v>
      </c>
      <c r="AM172" s="84" t="str">
        <f aca="false">IF($S172&gt;=2,$R172+ROW()/1000000,"")</f>
        <v/>
      </c>
      <c r="AN172" s="83" t="str">
        <f aca="false">IF($S172&gt;=2,MAX(G172:J172),"")</f>
        <v/>
      </c>
      <c r="AO172" s="82" t="str">
        <f aca="false">IF($S172&gt;=2,INDEX($G$6:$J$6,MATCH(MAX(G172:J172),G172:J172,0)),"")</f>
        <v/>
      </c>
      <c r="AP172" s="83" t="n">
        <f aca="false">IF($S172&gt;=2,MIN(G172:J172)*$F172,0)</f>
        <v>0</v>
      </c>
      <c r="AQ172" s="82" t="str">
        <f aca="false">IF($S172&gt;=2,INDEX($G$6:$J$6,MATCH(MIN(G172:J172),G172:J172,0)),"")</f>
        <v/>
      </c>
    </row>
    <row r="173" customFormat="false" ht="15" hidden="false" customHeight="true" outlineLevel="0" collapsed="false">
      <c r="A173" s="70" t="s">
        <v>508</v>
      </c>
      <c r="B173" s="71" t="s">
        <v>498</v>
      </c>
      <c r="C173" s="72" t="s">
        <v>469</v>
      </c>
      <c r="D173" s="73" t="s">
        <v>477</v>
      </c>
      <c r="E173" s="74" t="s">
        <v>133</v>
      </c>
      <c r="F173" s="75" t="n">
        <v>1</v>
      </c>
      <c r="G173" s="85" t="s">
        <v>138</v>
      </c>
      <c r="H173" s="76" t="n">
        <f aca="false">IF(COUNTIF('Quote Lines'!$P$3:$P$805,$A173&amp;"|"&amp;H$6&amp;"|1")=0,"—",SUMIFS('Quote Lines'!$O$3:$O$805,'Quote Lines'!$P$3:$P$805,$A173&amp;"|"&amp;H$6&amp;"|1")/SUMIFS('Quote Lines'!$L$3:$L$805,'Quote Lines'!$P$3:$P$805,$A173&amp;"|"&amp;H$6&amp;"|1"))</f>
        <v>647.81</v>
      </c>
      <c r="I173" s="85" t="s">
        <v>138</v>
      </c>
      <c r="J173" s="85" t="s">
        <v>138</v>
      </c>
      <c r="K173" s="14" t="str">
        <f aca="false">IF(ISNUMBER(G173),G173*$F173,"—")</f>
        <v>—</v>
      </c>
      <c r="L173" s="14" t="n">
        <f aca="false">IF(ISNUMBER(H173),H173*$F173,"—")</f>
        <v>647.81</v>
      </c>
      <c r="M173" s="14" t="str">
        <f aca="false">IF(ISNUMBER(I173),I173*$F173,"—")</f>
        <v>—</v>
      </c>
      <c r="N173" s="14" t="str">
        <f aca="false">IF(ISNUMBER(J173),J173*$F173,"—")</f>
        <v>—</v>
      </c>
      <c r="O173" s="77" t="n">
        <f aca="false">IF($S173=0,"—",MIN(G173:J173))</f>
        <v>647.81</v>
      </c>
      <c r="P173" s="42" t="str">
        <f aca="false">IF($S173=0,"—",IF(COUNTIF(G173:J173,O173)&gt;1,"Tie",INDEX($G$6:$J$6,MATCH(O173,G173:J173,0))))</f>
        <v>HD Fowler</v>
      </c>
      <c r="Q173" s="48" t="str">
        <f aca="false">IF($S173&gt;=2,MAX(G173:J173)/MIN(G173:J173)-1,"—")</f>
        <v>—</v>
      </c>
      <c r="R173" s="78" t="str">
        <f aca="false">IF($S173&gt;=2,(MAX(G173:J173)-MIN(G173:J173))*$F173,"—")</f>
        <v>—</v>
      </c>
      <c r="S173" s="18" t="n">
        <f aca="false">COUNT(G173:J173)</f>
        <v>1</v>
      </c>
      <c r="T173" s="79" t="str">
        <f aca="false">IF($S173&lt;=1,IF($S173=1,"Single quote","—"),"Like-for-like")</f>
        <v>Single quote</v>
      </c>
      <c r="U173" s="79" t="str">
        <f aca="false">IF(COUNT(W173:Z173)&lt;2,"",IF(MAX(W173:Z173)=MIN(W173:Z173),"OK","Qty differs"))</f>
        <v/>
      </c>
      <c r="V173" s="80" t="s">
        <v>478</v>
      </c>
      <c r="W173" s="81"/>
      <c r="X173" s="81" t="str">
        <f aca="false">IF(COUNTIFS('Quote Lines'!$P$3:$P$805,$A173&amp;"|"&amp;H$6&amp;"|1",'Quote Lines'!$M$3:$M$805,"Y")=0,"",SUMIFS('Quote Lines'!$L$3:$L$805,'Quote Lines'!$P$3:$P$805,$A173&amp;"|"&amp;H$6&amp;"|1",'Quote Lines'!$M$3:$M$805,"Y"))</f>
        <v/>
      </c>
      <c r="Y173" s="81"/>
      <c r="Z173" s="81"/>
      <c r="AA173" s="82" t="str">
        <f aca="false">IF(ISNUMBER(G173),1+SUMPRODUCT(ISNUMBER($G173:$J173)*($G173:$J173&lt;G173)),"")</f>
        <v/>
      </c>
      <c r="AB173" s="82" t="n">
        <f aca="false">IF(ISNUMBER(H173),1+SUMPRODUCT(ISNUMBER($G173:$J173)*($G173:$J173&lt;H173)),"")</f>
        <v>1</v>
      </c>
      <c r="AC173" s="82" t="str">
        <f aca="false">IF(ISNUMBER(I173),1+SUMPRODUCT(ISNUMBER($G173:$J173)*($G173:$J173&lt;I173)),"")</f>
        <v/>
      </c>
      <c r="AD173" s="82" t="str">
        <f aca="false">IF(ISNUMBER(J173),1+SUMPRODUCT(ISNUMBER($G173:$J173)*($G173:$J173&lt;J173)),"")</f>
        <v/>
      </c>
      <c r="AE173" s="82" t="n">
        <f aca="false">IF(NOT(ISNUMBER(G173)),0,IF($S173&lt;2,5,IF(AA173=1,1,IF(G173=MAX($G173:$J173),4,IF(AA173=2,2,3)))))</f>
        <v>0</v>
      </c>
      <c r="AF173" s="82" t="n">
        <f aca="false">IF(NOT(ISNUMBER(H173)),0,IF($S173&lt;2,5,IF(AB173=1,1,IF(H173=MAX($G173:$J173),4,IF(AB173=2,2,3)))))</f>
        <v>5</v>
      </c>
      <c r="AG173" s="82" t="n">
        <f aca="false">IF(NOT(ISNUMBER(I173)),0,IF($S173&lt;2,5,IF(AC173=1,1,IF(I173=MAX($G173:$J173),4,IF(AC173=2,2,3)))))</f>
        <v>0</v>
      </c>
      <c r="AH173" s="82" t="n">
        <f aca="false">IF(NOT(ISNUMBER(J173)),0,IF($S173&lt;2,5,IF(AD173=1,1,IF(J173=MAX($G173:$J173),4,IF(AD173=2,2,3)))))</f>
        <v>0</v>
      </c>
      <c r="AI173" s="83" t="n">
        <f aca="false">IF($S173&gt;=2,IF(ISNUMBER(G173),G173*$F173,MIN($G173:$J173)*$F173),0)</f>
        <v>0</v>
      </c>
      <c r="AJ173" s="83" t="n">
        <f aca="false">IF($S173&gt;=2,IF(ISNUMBER(H173),H173*$F173,MIN($G173:$J173)*$F173),0)</f>
        <v>0</v>
      </c>
      <c r="AK173" s="83" t="n">
        <f aca="false">IF($S173&gt;=2,IF(ISNUMBER(I173),I173*$F173,MIN($G173:$J173)*$F173),0)</f>
        <v>0</v>
      </c>
      <c r="AL173" s="83" t="n">
        <f aca="false">IF($S173&gt;=2,IF(ISNUMBER(J173),J173*$F173,MIN($G173:$J173)*$F173),0)</f>
        <v>0</v>
      </c>
      <c r="AM173" s="84" t="str">
        <f aca="false">IF($S173&gt;=2,$R173+ROW()/1000000,"")</f>
        <v/>
      </c>
      <c r="AN173" s="83" t="str">
        <f aca="false">IF($S173&gt;=2,MAX(G173:J173),"")</f>
        <v/>
      </c>
      <c r="AO173" s="82" t="str">
        <f aca="false">IF($S173&gt;=2,INDEX($G$6:$J$6,MATCH(MAX(G173:J173),G173:J173,0)),"")</f>
        <v/>
      </c>
      <c r="AP173" s="83" t="n">
        <f aca="false">IF($S173&gt;=2,MIN(G173:J173)*$F173,0)</f>
        <v>0</v>
      </c>
      <c r="AQ173" s="82" t="str">
        <f aca="false">IF($S173&gt;=2,INDEX($G$6:$J$6,MATCH(MIN(G173:J173),G173:J173,0)),"")</f>
        <v/>
      </c>
    </row>
    <row r="174" customFormat="false" ht="19.5" hidden="false" customHeight="true" outlineLevel="0" collapsed="false">
      <c r="A174" s="69"/>
      <c r="B174" s="9" t="s">
        <v>509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customFormat="false" ht="15" hidden="false" customHeight="true" outlineLevel="0" collapsed="false">
      <c r="A175" s="70" t="s">
        <v>510</v>
      </c>
      <c r="B175" s="71" t="s">
        <v>511</v>
      </c>
      <c r="C175" s="72" t="s">
        <v>240</v>
      </c>
      <c r="D175" s="73" t="s">
        <v>512</v>
      </c>
      <c r="E175" s="74" t="s">
        <v>133</v>
      </c>
      <c r="F175" s="75" t="n">
        <v>16</v>
      </c>
      <c r="G175" s="76" t="n">
        <f aca="false">IF(COUNTIF('Quote Lines'!$P$3:$P$805,$A175&amp;"|"&amp;G$6&amp;"|1")=0,"—",SUMIFS('Quote Lines'!$O$3:$O$805,'Quote Lines'!$P$3:$P$805,$A175&amp;"|"&amp;G$6&amp;"|1")/SUMIFS('Quote Lines'!$L$3:$L$805,'Quote Lines'!$P$3:$P$805,$A175&amp;"|"&amp;G$6&amp;"|1"))</f>
        <v>1238.16</v>
      </c>
      <c r="H175" s="76" t="n">
        <f aca="false">IF(COUNTIF('Quote Lines'!$P$3:$P$805,$A175&amp;"|"&amp;H$6&amp;"|1")=0,"—",SUMIFS('Quote Lines'!$O$3:$O$805,'Quote Lines'!$P$3:$P$805,$A175&amp;"|"&amp;H$6&amp;"|1")/SUMIFS('Quote Lines'!$L$3:$L$805,'Quote Lines'!$P$3:$P$805,$A175&amp;"|"&amp;H$6&amp;"|1"))</f>
        <v>1061.89</v>
      </c>
      <c r="I175" s="76" t="n">
        <f aca="false">IF(COUNTIF('Quote Lines'!$P$3:$P$805,$A175&amp;"|"&amp;I$6&amp;"|1")=0,"—",SUMIFS('Quote Lines'!$O$3:$O$805,'Quote Lines'!$P$3:$P$805,$A175&amp;"|"&amp;I$6&amp;"|1")/SUMIFS('Quote Lines'!$L$3:$L$805,'Quote Lines'!$P$3:$P$805,$A175&amp;"|"&amp;I$6&amp;"|1"))</f>
        <v>1131.923125</v>
      </c>
      <c r="J175" s="76" t="n">
        <f aca="false">IF(COUNTIF('Quote Lines'!$P$3:$P$805,$A175&amp;"|"&amp;J$6&amp;"|1")=0,"—",SUMIFS('Quote Lines'!$O$3:$O$805,'Quote Lines'!$P$3:$P$805,$A175&amp;"|"&amp;J$6&amp;"|1")/SUMIFS('Quote Lines'!$L$3:$L$805,'Quote Lines'!$P$3:$P$805,$A175&amp;"|"&amp;J$6&amp;"|1"))</f>
        <v>1104.53</v>
      </c>
      <c r="K175" s="14" t="n">
        <f aca="false">IF(ISNUMBER(G175),G175*$F175,"—")</f>
        <v>19810.56</v>
      </c>
      <c r="L175" s="14" t="n">
        <f aca="false">IF(ISNUMBER(H175),H175*$F175,"—")</f>
        <v>16990.24</v>
      </c>
      <c r="M175" s="14" t="n">
        <f aca="false">IF(ISNUMBER(I175),I175*$F175,"—")</f>
        <v>18110.77</v>
      </c>
      <c r="N175" s="14" t="n">
        <f aca="false">IF(ISNUMBER(J175),J175*$F175,"—")</f>
        <v>17672.48</v>
      </c>
      <c r="O175" s="77" t="n">
        <f aca="false">IF($S175=0,"—",MIN(G175:J175))</f>
        <v>1061.89</v>
      </c>
      <c r="P175" s="42" t="str">
        <f aca="false">IF($S175=0,"—",IF(COUNTIF(G175:J175,O175)&gt;1,"Tie",INDEX($G$6:$J$6,MATCH(O175,G175:J175,0))))</f>
        <v>HD Fowler</v>
      </c>
      <c r="Q175" s="48" t="n">
        <f aca="false">IF($S175&gt;=2,MAX(G175:J175)/MIN(G175:J175)-1,"—")</f>
        <v>0.165996477977945</v>
      </c>
      <c r="R175" s="78" t="n">
        <f aca="false">IF($S175&gt;=2,(MAX(G175:J175)-MIN(G175:J175))*$F175,"—")</f>
        <v>2820.32</v>
      </c>
      <c r="S175" s="18" t="n">
        <f aca="false">COUNT(G175:J175)</f>
        <v>4</v>
      </c>
      <c r="T175" s="79" t="str">
        <f aca="false">IF($S175&lt;=1,IF($S175=1,"Single quote","—"),"Like-for-like")</f>
        <v>Like-for-like</v>
      </c>
      <c r="U175" s="79" t="str">
        <f aca="false">IF(COUNT(W175:Z175)&lt;2,"",IF(MAX(W175:Z175)=MIN(W175:Z175),"OK","Qty differs"))</f>
        <v>OK</v>
      </c>
      <c r="V175" s="80"/>
      <c r="W175" s="81" t="n">
        <f aca="false">IF(COUNTIFS('Quote Lines'!$P$3:$P$805,$A175&amp;"|"&amp;G$6&amp;"|1",'Quote Lines'!$M$3:$M$805,"Y")=0,"",SUMIFS('Quote Lines'!$L$3:$L$805,'Quote Lines'!$P$3:$P$805,$A175&amp;"|"&amp;G$6&amp;"|1",'Quote Lines'!$M$3:$M$805,"Y"))</f>
        <v>16</v>
      </c>
      <c r="X175" s="81" t="n">
        <f aca="false">IF(COUNTIFS('Quote Lines'!$P$3:$P$805,$A175&amp;"|"&amp;H$6&amp;"|1",'Quote Lines'!$M$3:$M$805,"Y")=0,"",SUMIFS('Quote Lines'!$L$3:$L$805,'Quote Lines'!$P$3:$P$805,$A175&amp;"|"&amp;H$6&amp;"|1",'Quote Lines'!$M$3:$M$805,"Y"))</f>
        <v>16</v>
      </c>
      <c r="Y175" s="81" t="n">
        <f aca="false">IF(COUNTIFS('Quote Lines'!$P$3:$P$805,$A175&amp;"|"&amp;I$6&amp;"|1",'Quote Lines'!$M$3:$M$805,"Y")=0,"",SUMIFS('Quote Lines'!$L$3:$L$805,'Quote Lines'!$P$3:$P$805,$A175&amp;"|"&amp;I$6&amp;"|1",'Quote Lines'!$M$3:$M$805,"Y"))</f>
        <v>16</v>
      </c>
      <c r="Z175" s="81" t="n">
        <f aca="false">IF(COUNTIFS('Quote Lines'!$P$3:$P$805,$A175&amp;"|"&amp;J$6&amp;"|1",'Quote Lines'!$M$3:$M$805,"Y")=0,"",SUMIFS('Quote Lines'!$L$3:$L$805,'Quote Lines'!$P$3:$P$805,$A175&amp;"|"&amp;J$6&amp;"|1",'Quote Lines'!$M$3:$M$805,"Y"))</f>
        <v>16</v>
      </c>
      <c r="AA175" s="82" t="n">
        <f aca="false">IF(ISNUMBER(G175),1+SUMPRODUCT(ISNUMBER($G175:$J175)*($G175:$J175&lt;G175)),"")</f>
        <v>4</v>
      </c>
      <c r="AB175" s="82" t="n">
        <f aca="false">IF(ISNUMBER(H175),1+SUMPRODUCT(ISNUMBER($G175:$J175)*($G175:$J175&lt;H175)),"")</f>
        <v>1</v>
      </c>
      <c r="AC175" s="82" t="n">
        <f aca="false">IF(ISNUMBER(I175),1+SUMPRODUCT(ISNUMBER($G175:$J175)*($G175:$J175&lt;I175)),"")</f>
        <v>3</v>
      </c>
      <c r="AD175" s="82" t="n">
        <f aca="false">IF(ISNUMBER(J175),1+SUMPRODUCT(ISNUMBER($G175:$J175)*($G175:$J175&lt;J175)),"")</f>
        <v>2</v>
      </c>
      <c r="AE175" s="82" t="n">
        <f aca="false">IF(NOT(ISNUMBER(G175)),0,IF($S175&lt;2,5,IF(AA175=1,1,IF(G175=MAX($G175:$J175),4,IF(AA175=2,2,3)))))</f>
        <v>4</v>
      </c>
      <c r="AF175" s="82" t="n">
        <f aca="false">IF(NOT(ISNUMBER(H175)),0,IF($S175&lt;2,5,IF(AB175=1,1,IF(H175=MAX($G175:$J175),4,IF(AB175=2,2,3)))))</f>
        <v>1</v>
      </c>
      <c r="AG175" s="82" t="n">
        <f aca="false">IF(NOT(ISNUMBER(I175)),0,IF($S175&lt;2,5,IF(AC175=1,1,IF(I175=MAX($G175:$J175),4,IF(AC175=2,2,3)))))</f>
        <v>3</v>
      </c>
      <c r="AH175" s="82" t="n">
        <f aca="false">IF(NOT(ISNUMBER(J175)),0,IF($S175&lt;2,5,IF(AD175=1,1,IF(J175=MAX($G175:$J175),4,IF(AD175=2,2,3)))))</f>
        <v>2</v>
      </c>
      <c r="AI175" s="83" t="n">
        <f aca="false">IF($S175&gt;=2,IF(ISNUMBER(G175),G175*$F175,MIN($G175:$J175)*$F175),0)</f>
        <v>19810.56</v>
      </c>
      <c r="AJ175" s="83" t="n">
        <f aca="false">IF($S175&gt;=2,IF(ISNUMBER(H175),H175*$F175,MIN($G175:$J175)*$F175),0)</f>
        <v>16990.24</v>
      </c>
      <c r="AK175" s="83" t="n">
        <f aca="false">IF($S175&gt;=2,IF(ISNUMBER(I175),I175*$F175,MIN($G175:$J175)*$F175),0)</f>
        <v>18110.77</v>
      </c>
      <c r="AL175" s="83" t="n">
        <f aca="false">IF($S175&gt;=2,IF(ISNUMBER(J175),J175*$F175,MIN($G175:$J175)*$F175),0)</f>
        <v>17672.48</v>
      </c>
      <c r="AM175" s="84" t="n">
        <f aca="false">IF($S175&gt;=2,$R175+ROW()/1000000,"")</f>
        <v>2820.320175</v>
      </c>
      <c r="AN175" s="83" t="n">
        <f aca="false">IF($S175&gt;=2,MAX(G175:J175),"")</f>
        <v>1238.16</v>
      </c>
      <c r="AO175" s="82" t="str">
        <f aca="false">IF($S175&gt;=2,INDEX($G$6:$J$6,MATCH(MAX(G175:J175),G175:J175,0)),"")</f>
        <v>Ferguson</v>
      </c>
      <c r="AP175" s="83" t="n">
        <f aca="false">IF($S175&gt;=2,MIN(G175:J175)*$F175,0)</f>
        <v>16990.24</v>
      </c>
      <c r="AQ175" s="82" t="str">
        <f aca="false">IF($S175&gt;=2,INDEX($G$6:$J$6,MATCH(MIN(G175:J175),G175:J175,0)),"")</f>
        <v>HD Fowler</v>
      </c>
    </row>
    <row r="176" customFormat="false" ht="15" hidden="false" customHeight="true" outlineLevel="0" collapsed="false">
      <c r="A176" s="70" t="s">
        <v>513</v>
      </c>
      <c r="B176" s="71" t="s">
        <v>511</v>
      </c>
      <c r="C176" s="72" t="s">
        <v>257</v>
      </c>
      <c r="D176" s="73" t="s">
        <v>514</v>
      </c>
      <c r="E176" s="74" t="s">
        <v>133</v>
      </c>
      <c r="F176" s="75" t="n">
        <v>16</v>
      </c>
      <c r="G176" s="76" t="n">
        <f aca="false">IF(COUNTIF('Quote Lines'!$P$3:$P$805,$A176&amp;"|"&amp;G$6&amp;"|1")=0,"—",SUMIFS('Quote Lines'!$O$3:$O$805,'Quote Lines'!$P$3:$P$805,$A176&amp;"|"&amp;G$6&amp;"|1")/SUMIFS('Quote Lines'!$L$3:$L$805,'Quote Lines'!$P$3:$P$805,$A176&amp;"|"&amp;G$6&amp;"|1")+IFERROR(SUMIFS('Quote Lines'!$O$3:$O$805,'Quote Lines'!$P$3:$P$805,$A176&amp;"|"&amp;G$6&amp;"|2")/SUMIFS('Quote Lines'!$L$3:$L$805,'Quote Lines'!$P$3:$P$805,$A176&amp;"|"&amp;G$6&amp;"|2"),0)+IFERROR(SUMIFS('Quote Lines'!$O$3:$O$805,'Quote Lines'!$P$3:$P$805,$A176&amp;"|"&amp;G$6&amp;"|3")/SUMIFS('Quote Lines'!$L$3:$L$805,'Quote Lines'!$P$3:$P$805,$A176&amp;"|"&amp;G$6&amp;"|3"),0))</f>
        <v>165.05</v>
      </c>
      <c r="H176" s="76" t="n">
        <f aca="false">IF(COUNTIF('Quote Lines'!$P$3:$P$805,$A176&amp;"|"&amp;H$6&amp;"|1")=0,"—",SUMIFS('Quote Lines'!$O$3:$O$805,'Quote Lines'!$P$3:$P$805,$A176&amp;"|"&amp;H$6&amp;"|1")/SUMIFS('Quote Lines'!$L$3:$L$805,'Quote Lines'!$P$3:$P$805,$A176&amp;"|"&amp;H$6&amp;"|1")+IFERROR(SUMIFS('Quote Lines'!$O$3:$O$805,'Quote Lines'!$P$3:$P$805,$A176&amp;"|"&amp;H$6&amp;"|2")/SUMIFS('Quote Lines'!$L$3:$L$805,'Quote Lines'!$P$3:$P$805,$A176&amp;"|"&amp;H$6&amp;"|2"),0)+IFERROR(SUMIFS('Quote Lines'!$O$3:$O$805,'Quote Lines'!$P$3:$P$805,$A176&amp;"|"&amp;H$6&amp;"|3")/SUMIFS('Quote Lines'!$L$3:$L$805,'Quote Lines'!$P$3:$P$805,$A176&amp;"|"&amp;H$6&amp;"|3"),0))</f>
        <v>145.33</v>
      </c>
      <c r="I176" s="76" t="n">
        <f aca="false">IF(COUNTIF('Quote Lines'!$P$3:$P$805,$A176&amp;"|"&amp;I$6&amp;"|1")=0,"—",SUMIFS('Quote Lines'!$O$3:$O$805,'Quote Lines'!$P$3:$P$805,$A176&amp;"|"&amp;I$6&amp;"|1")/SUMIFS('Quote Lines'!$L$3:$L$805,'Quote Lines'!$P$3:$P$805,$A176&amp;"|"&amp;I$6&amp;"|1"))</f>
        <v>132.5</v>
      </c>
      <c r="J176" s="76" t="n">
        <f aca="false">IF(COUNTIF('Quote Lines'!$P$3:$P$805,$A176&amp;"|"&amp;J$6&amp;"|1")=0,"—",SUMIFS('Quote Lines'!$O$3:$O$805,'Quote Lines'!$P$3:$P$805,$A176&amp;"|"&amp;J$6&amp;"|1")/SUMIFS('Quote Lines'!$L$3:$L$805,'Quote Lines'!$P$3:$P$805,$A176&amp;"|"&amp;J$6&amp;"|1"))</f>
        <v>141.45</v>
      </c>
      <c r="K176" s="14" t="n">
        <f aca="false">IF(ISNUMBER(G176),G176*$F176,"—")</f>
        <v>2640.8</v>
      </c>
      <c r="L176" s="14" t="n">
        <f aca="false">IF(ISNUMBER(H176),H176*$F176,"—")</f>
        <v>2325.28</v>
      </c>
      <c r="M176" s="14" t="n">
        <f aca="false">IF(ISNUMBER(I176),I176*$F176,"—")</f>
        <v>2120</v>
      </c>
      <c r="N176" s="14" t="n">
        <f aca="false">IF(ISNUMBER(J176),J176*$F176,"—")</f>
        <v>2263.2</v>
      </c>
      <c r="O176" s="77" t="n">
        <f aca="false">IF($S176=0,"—",MIN(G176:J176))</f>
        <v>132.5</v>
      </c>
      <c r="P176" s="42" t="str">
        <f aca="false">IF($S176=0,"—",IF(COUNTIF(G176:J176,O176)&gt;1,"Tie",INDEX($G$6:$J$6,MATCH(O176,G176:J176,0))))</f>
        <v>Mountainland</v>
      </c>
      <c r="Q176" s="48" t="n">
        <f aca="false">IF($S176&gt;=2,MAX(G176:J176)/MIN(G176:J176)-1,"—")</f>
        <v>0.245660377358491</v>
      </c>
      <c r="R176" s="78" t="n">
        <f aca="false">IF($S176&gt;=2,(MAX(G176:J176)-MIN(G176:J176))*$F176,"—")</f>
        <v>520.8</v>
      </c>
      <c r="S176" s="18" t="n">
        <f aca="false">COUNT(G176:J176)</f>
        <v>4</v>
      </c>
      <c r="T176" s="79" t="str">
        <f aca="false">IF($S176&lt;=1,IF($S176=1,"Single quote","—"),"Like-for-like")</f>
        <v>Like-for-like</v>
      </c>
      <c r="U176" s="79" t="str">
        <f aca="false">IF(COUNT(W176:Z176)&lt;2,"",IF(MAX(W176:Z176)=MIN(W176:Z176),"OK","Qty differs"))</f>
        <v>OK</v>
      </c>
      <c r="V176" s="80" t="s">
        <v>515</v>
      </c>
      <c r="W176" s="81" t="n">
        <f aca="false">IF(COUNTIFS('Quote Lines'!$P$3:$P$805,$A176&amp;"|"&amp;G$6&amp;"|1",'Quote Lines'!$M$3:$M$805,"Y")=0,"",SUMIFS('Quote Lines'!$L$3:$L$805,'Quote Lines'!$P$3:$P$805,$A176&amp;"|"&amp;G$6&amp;"|1",'Quote Lines'!$M$3:$M$805,"Y"))</f>
        <v>16</v>
      </c>
      <c r="X176" s="81" t="n">
        <f aca="false">IF(COUNTIFS('Quote Lines'!$P$3:$P$805,$A176&amp;"|"&amp;H$6&amp;"|1",'Quote Lines'!$M$3:$M$805,"Y")=0,"",SUMIFS('Quote Lines'!$L$3:$L$805,'Quote Lines'!$P$3:$P$805,$A176&amp;"|"&amp;H$6&amp;"|1",'Quote Lines'!$M$3:$M$805,"Y"))</f>
        <v>16</v>
      </c>
      <c r="Y176" s="81" t="n">
        <f aca="false">IF(COUNTIFS('Quote Lines'!$P$3:$P$805,$A176&amp;"|"&amp;I$6&amp;"|1",'Quote Lines'!$M$3:$M$805,"Y")=0,"",SUMIFS('Quote Lines'!$L$3:$L$805,'Quote Lines'!$P$3:$P$805,$A176&amp;"|"&amp;I$6&amp;"|1",'Quote Lines'!$M$3:$M$805,"Y"))</f>
        <v>16</v>
      </c>
      <c r="Z176" s="81" t="n">
        <f aca="false">IF(COUNTIFS('Quote Lines'!$P$3:$P$805,$A176&amp;"|"&amp;J$6&amp;"|1",'Quote Lines'!$M$3:$M$805,"Y")=0,"",SUMIFS('Quote Lines'!$L$3:$L$805,'Quote Lines'!$P$3:$P$805,$A176&amp;"|"&amp;J$6&amp;"|1",'Quote Lines'!$M$3:$M$805,"Y"))</f>
        <v>16</v>
      </c>
      <c r="AA176" s="82" t="n">
        <f aca="false">IF(ISNUMBER(G176),1+SUMPRODUCT(ISNUMBER($G176:$J176)*($G176:$J176&lt;G176)),"")</f>
        <v>4</v>
      </c>
      <c r="AB176" s="82" t="n">
        <f aca="false">IF(ISNUMBER(H176),1+SUMPRODUCT(ISNUMBER($G176:$J176)*($G176:$J176&lt;H176)),"")</f>
        <v>3</v>
      </c>
      <c r="AC176" s="82" t="n">
        <f aca="false">IF(ISNUMBER(I176),1+SUMPRODUCT(ISNUMBER($G176:$J176)*($G176:$J176&lt;I176)),"")</f>
        <v>1</v>
      </c>
      <c r="AD176" s="82" t="n">
        <f aca="false">IF(ISNUMBER(J176),1+SUMPRODUCT(ISNUMBER($G176:$J176)*($G176:$J176&lt;J176)),"")</f>
        <v>2</v>
      </c>
      <c r="AE176" s="82" t="n">
        <f aca="false">IF(NOT(ISNUMBER(G176)),0,IF($S176&lt;2,5,IF(AA176=1,1,IF(G176=MAX($G176:$J176),4,IF(AA176=2,2,3)))))</f>
        <v>4</v>
      </c>
      <c r="AF176" s="82" t="n">
        <f aca="false">IF(NOT(ISNUMBER(H176)),0,IF($S176&lt;2,5,IF(AB176=1,1,IF(H176=MAX($G176:$J176),4,IF(AB176=2,2,3)))))</f>
        <v>3</v>
      </c>
      <c r="AG176" s="82" t="n">
        <f aca="false">IF(NOT(ISNUMBER(I176)),0,IF($S176&lt;2,5,IF(AC176=1,1,IF(I176=MAX($G176:$J176),4,IF(AC176=2,2,3)))))</f>
        <v>1</v>
      </c>
      <c r="AH176" s="82" t="n">
        <f aca="false">IF(NOT(ISNUMBER(J176)),0,IF($S176&lt;2,5,IF(AD176=1,1,IF(J176=MAX($G176:$J176),4,IF(AD176=2,2,3)))))</f>
        <v>2</v>
      </c>
      <c r="AI176" s="83" t="n">
        <f aca="false">IF($S176&gt;=2,IF(ISNUMBER(G176),G176*$F176,MIN($G176:$J176)*$F176),0)</f>
        <v>2640.8</v>
      </c>
      <c r="AJ176" s="83" t="n">
        <f aca="false">IF($S176&gt;=2,IF(ISNUMBER(H176),H176*$F176,MIN($G176:$J176)*$F176),0)</f>
        <v>2325.28</v>
      </c>
      <c r="AK176" s="83" t="n">
        <f aca="false">IF($S176&gt;=2,IF(ISNUMBER(I176),I176*$F176,MIN($G176:$J176)*$F176),0)</f>
        <v>2120</v>
      </c>
      <c r="AL176" s="83" t="n">
        <f aca="false">IF($S176&gt;=2,IF(ISNUMBER(J176),J176*$F176,MIN($G176:$J176)*$F176),0)</f>
        <v>2263.2</v>
      </c>
      <c r="AM176" s="84" t="n">
        <f aca="false">IF($S176&gt;=2,$R176+ROW()/1000000,"")</f>
        <v>520.800176</v>
      </c>
      <c r="AN176" s="83" t="n">
        <f aca="false">IF($S176&gt;=2,MAX(G176:J176),"")</f>
        <v>165.05</v>
      </c>
      <c r="AO176" s="82" t="str">
        <f aca="false">IF($S176&gt;=2,INDEX($G$6:$J$6,MATCH(MAX(G176:J176),G176:J176,0)),"")</f>
        <v>Ferguson</v>
      </c>
      <c r="AP176" s="83" t="n">
        <f aca="false">IF($S176&gt;=2,MIN(G176:J176)*$F176,0)</f>
        <v>2120</v>
      </c>
      <c r="AQ176" s="82" t="str">
        <f aca="false">IF($S176&gt;=2,INDEX($G$6:$J$6,MATCH(MIN(G176:J176),G176:J176,0)),"")</f>
        <v>Mountainland</v>
      </c>
    </row>
    <row r="177" customFormat="false" ht="15" hidden="false" customHeight="true" outlineLevel="0" collapsed="false">
      <c r="A177" s="70" t="s">
        <v>516</v>
      </c>
      <c r="B177" s="71" t="s">
        <v>511</v>
      </c>
      <c r="C177" s="72" t="s">
        <v>294</v>
      </c>
      <c r="D177" s="73" t="s">
        <v>517</v>
      </c>
      <c r="E177" s="74" t="s">
        <v>133</v>
      </c>
      <c r="F177" s="75" t="n">
        <v>16</v>
      </c>
      <c r="G177" s="76" t="n">
        <f aca="false">IF(COUNTIF('Quote Lines'!$P$3:$P$805,$A177&amp;"|"&amp;G$6&amp;"|1")=0,"—",SUMIFS('Quote Lines'!$O$3:$O$805,'Quote Lines'!$P$3:$P$805,$A177&amp;"|"&amp;G$6&amp;"|1")/SUMIFS('Quote Lines'!$L$3:$L$805,'Quote Lines'!$P$3:$P$805,$A177&amp;"|"&amp;G$6&amp;"|1"))</f>
        <v>69</v>
      </c>
      <c r="H177" s="76" t="n">
        <f aca="false">IF(COUNTIF('Quote Lines'!$P$3:$P$805,$A177&amp;"|"&amp;H$6&amp;"|1")=0,"—",SUMIFS('Quote Lines'!$O$3:$O$805,'Quote Lines'!$P$3:$P$805,$A177&amp;"|"&amp;H$6&amp;"|1")/SUMIFS('Quote Lines'!$L$3:$L$805,'Quote Lines'!$P$3:$P$805,$A177&amp;"|"&amp;H$6&amp;"|1"))</f>
        <v>73.3</v>
      </c>
      <c r="I177" s="76" t="n">
        <f aca="false">IF(COUNTIF('Quote Lines'!$P$3:$P$805,$A177&amp;"|"&amp;I$6&amp;"|1")=0,"—",SUMIFS('Quote Lines'!$O$3:$O$805,'Quote Lines'!$P$3:$P$805,$A177&amp;"|"&amp;I$6&amp;"|1")/SUMIFS('Quote Lines'!$L$3:$L$805,'Quote Lines'!$P$3:$P$805,$A177&amp;"|"&amp;I$6&amp;"|1"))</f>
        <v>66.470625</v>
      </c>
      <c r="J177" s="76" t="n">
        <f aca="false">IF(COUNTIF('Quote Lines'!$P$3:$P$805,$A177&amp;"|"&amp;J$6&amp;"|1")=0,"—",SUMIFS('Quote Lines'!$O$3:$O$805,'Quote Lines'!$P$3:$P$805,$A177&amp;"|"&amp;J$6&amp;"|1")/SUMIFS('Quote Lines'!$L$3:$L$805,'Quote Lines'!$P$3:$P$805,$A177&amp;"|"&amp;J$6&amp;"|1"))</f>
        <v>78.75</v>
      </c>
      <c r="K177" s="14" t="n">
        <f aca="false">IF(ISNUMBER(G177),G177*$F177,"—")</f>
        <v>1104</v>
      </c>
      <c r="L177" s="14" t="n">
        <f aca="false">IF(ISNUMBER(H177),H177*$F177,"—")</f>
        <v>1172.8</v>
      </c>
      <c r="M177" s="14" t="n">
        <f aca="false">IF(ISNUMBER(I177),I177*$F177,"—")</f>
        <v>1063.53</v>
      </c>
      <c r="N177" s="14" t="n">
        <f aca="false">IF(ISNUMBER(J177),J177*$F177,"—")</f>
        <v>1260</v>
      </c>
      <c r="O177" s="77" t="n">
        <f aca="false">IF($S177=0,"—",MIN(G177:J177))</f>
        <v>66.470625</v>
      </c>
      <c r="P177" s="42" t="str">
        <f aca="false">IF($S177=0,"—",IF(COUNTIF(G177:J177,O177)&gt;1,"Tie",INDEX($G$6:$J$6,MATCH(O177,G177:J177,0))))</f>
        <v>Mountainland</v>
      </c>
      <c r="Q177" s="48" t="n">
        <f aca="false">IF($S177&gt;=2,MAX(G177:J177)/MIN(G177:J177)-1,"—")</f>
        <v>0.184733858001185</v>
      </c>
      <c r="R177" s="78" t="n">
        <f aca="false">IF($S177&gt;=2,(MAX(G177:J177)-MIN(G177:J177))*$F177,"—")</f>
        <v>196.47</v>
      </c>
      <c r="S177" s="18" t="n">
        <f aca="false">COUNT(G177:J177)</f>
        <v>4</v>
      </c>
      <c r="T177" s="79" t="str">
        <f aca="false">IF($S177&lt;=1,IF($S177=1,"Single quote","—"),"Like-for-like")</f>
        <v>Like-for-like</v>
      </c>
      <c r="U177" s="79" t="str">
        <f aca="false">IF(COUNT(W177:Z177)&lt;2,"",IF(MAX(W177:Z177)=MIN(W177:Z177),"OK","Qty differs"))</f>
        <v>OK</v>
      </c>
      <c r="V177" s="80"/>
      <c r="W177" s="81" t="n">
        <f aca="false">IF(COUNTIFS('Quote Lines'!$P$3:$P$805,$A177&amp;"|"&amp;G$6&amp;"|1",'Quote Lines'!$M$3:$M$805,"Y")=0,"",SUMIFS('Quote Lines'!$L$3:$L$805,'Quote Lines'!$P$3:$P$805,$A177&amp;"|"&amp;G$6&amp;"|1",'Quote Lines'!$M$3:$M$805,"Y"))</f>
        <v>16</v>
      </c>
      <c r="X177" s="81" t="n">
        <f aca="false">IF(COUNTIFS('Quote Lines'!$P$3:$P$805,$A177&amp;"|"&amp;H$6&amp;"|1",'Quote Lines'!$M$3:$M$805,"Y")=0,"",SUMIFS('Quote Lines'!$L$3:$L$805,'Quote Lines'!$P$3:$P$805,$A177&amp;"|"&amp;H$6&amp;"|1",'Quote Lines'!$M$3:$M$805,"Y"))</f>
        <v>16</v>
      </c>
      <c r="Y177" s="81" t="n">
        <f aca="false">IF(COUNTIFS('Quote Lines'!$P$3:$P$805,$A177&amp;"|"&amp;I$6&amp;"|1",'Quote Lines'!$M$3:$M$805,"Y")=0,"",SUMIFS('Quote Lines'!$L$3:$L$805,'Quote Lines'!$P$3:$P$805,$A177&amp;"|"&amp;I$6&amp;"|1",'Quote Lines'!$M$3:$M$805,"Y"))</f>
        <v>16</v>
      </c>
      <c r="Z177" s="81" t="n">
        <f aca="false">IF(COUNTIFS('Quote Lines'!$P$3:$P$805,$A177&amp;"|"&amp;J$6&amp;"|1",'Quote Lines'!$M$3:$M$805,"Y")=0,"",SUMIFS('Quote Lines'!$L$3:$L$805,'Quote Lines'!$P$3:$P$805,$A177&amp;"|"&amp;J$6&amp;"|1",'Quote Lines'!$M$3:$M$805,"Y"))</f>
        <v>16</v>
      </c>
      <c r="AA177" s="82" t="n">
        <f aca="false">IF(ISNUMBER(G177),1+SUMPRODUCT(ISNUMBER($G177:$J177)*($G177:$J177&lt;G177)),"")</f>
        <v>2</v>
      </c>
      <c r="AB177" s="82" t="n">
        <f aca="false">IF(ISNUMBER(H177),1+SUMPRODUCT(ISNUMBER($G177:$J177)*($G177:$J177&lt;H177)),"")</f>
        <v>3</v>
      </c>
      <c r="AC177" s="82" t="n">
        <f aca="false">IF(ISNUMBER(I177),1+SUMPRODUCT(ISNUMBER($G177:$J177)*($G177:$J177&lt;I177)),"")</f>
        <v>1</v>
      </c>
      <c r="AD177" s="82" t="n">
        <f aca="false">IF(ISNUMBER(J177),1+SUMPRODUCT(ISNUMBER($G177:$J177)*($G177:$J177&lt;J177)),"")</f>
        <v>4</v>
      </c>
      <c r="AE177" s="82" t="n">
        <f aca="false">IF(NOT(ISNUMBER(G177)),0,IF($S177&lt;2,5,IF(AA177=1,1,IF(G177=MAX($G177:$J177),4,IF(AA177=2,2,3)))))</f>
        <v>2</v>
      </c>
      <c r="AF177" s="82" t="n">
        <f aca="false">IF(NOT(ISNUMBER(H177)),0,IF($S177&lt;2,5,IF(AB177=1,1,IF(H177=MAX($G177:$J177),4,IF(AB177=2,2,3)))))</f>
        <v>3</v>
      </c>
      <c r="AG177" s="82" t="n">
        <f aca="false">IF(NOT(ISNUMBER(I177)),0,IF($S177&lt;2,5,IF(AC177=1,1,IF(I177=MAX($G177:$J177),4,IF(AC177=2,2,3)))))</f>
        <v>1</v>
      </c>
      <c r="AH177" s="82" t="n">
        <f aca="false">IF(NOT(ISNUMBER(J177)),0,IF($S177&lt;2,5,IF(AD177=1,1,IF(J177=MAX($G177:$J177),4,IF(AD177=2,2,3)))))</f>
        <v>4</v>
      </c>
      <c r="AI177" s="83" t="n">
        <f aca="false">IF($S177&gt;=2,IF(ISNUMBER(G177),G177*$F177,MIN($G177:$J177)*$F177),0)</f>
        <v>1104</v>
      </c>
      <c r="AJ177" s="83" t="n">
        <f aca="false">IF($S177&gt;=2,IF(ISNUMBER(H177),H177*$F177,MIN($G177:$J177)*$F177),0)</f>
        <v>1172.8</v>
      </c>
      <c r="AK177" s="83" t="n">
        <f aca="false">IF($S177&gt;=2,IF(ISNUMBER(I177),I177*$F177,MIN($G177:$J177)*$F177),0)</f>
        <v>1063.53</v>
      </c>
      <c r="AL177" s="83" t="n">
        <f aca="false">IF($S177&gt;=2,IF(ISNUMBER(J177),J177*$F177,MIN($G177:$J177)*$F177),0)</f>
        <v>1260</v>
      </c>
      <c r="AM177" s="84" t="n">
        <f aca="false">IF($S177&gt;=2,$R177+ROW()/1000000,"")</f>
        <v>196.470177</v>
      </c>
      <c r="AN177" s="83" t="n">
        <f aca="false">IF($S177&gt;=2,MAX(G177:J177),"")</f>
        <v>78.75</v>
      </c>
      <c r="AO177" s="82" t="str">
        <f aca="false">IF($S177&gt;=2,INDEX($G$6:$J$6,MATCH(MAX(G177:J177),G177:J177,0)),"")</f>
        <v>Scholzen</v>
      </c>
      <c r="AP177" s="83" t="n">
        <f aca="false">IF($S177&gt;=2,MIN(G177:J177)*$F177,0)</f>
        <v>1063.53</v>
      </c>
      <c r="AQ177" s="82" t="str">
        <f aca="false">IF($S177&gt;=2,INDEX($G$6:$J$6,MATCH(MIN(G177:J177),G177:J177,0)),"")</f>
        <v>Mountainland</v>
      </c>
    </row>
    <row r="178" customFormat="false" ht="15" hidden="false" customHeight="true" outlineLevel="0" collapsed="false">
      <c r="A178" s="70" t="s">
        <v>518</v>
      </c>
      <c r="B178" s="71" t="s">
        <v>511</v>
      </c>
      <c r="C178" s="72" t="s">
        <v>308</v>
      </c>
      <c r="D178" s="73" t="s">
        <v>519</v>
      </c>
      <c r="E178" s="74" t="s">
        <v>310</v>
      </c>
      <c r="F178" s="75" t="n">
        <v>16</v>
      </c>
      <c r="G178" s="76" t="n">
        <f aca="false">IF(COUNTIF('Quote Lines'!$P$3:$P$805,$A178&amp;"|"&amp;G$6&amp;"|1")=0,"—",SUMIFS('Quote Lines'!$O$3:$O$805,'Quote Lines'!$P$3:$P$805,$A178&amp;"|"&amp;G$6&amp;"|1")/SUMIFS('Quote Lines'!$L$3:$L$805,'Quote Lines'!$P$3:$P$805,$A178&amp;"|"&amp;G$6&amp;"|1")+IFERROR(SUMIFS('Quote Lines'!$O$3:$O$805,'Quote Lines'!$P$3:$P$805,$A178&amp;"|"&amp;G$6&amp;"|2")/SUMIFS('Quote Lines'!$L$3:$L$805,'Quote Lines'!$P$3:$P$805,$A178&amp;"|"&amp;G$6&amp;"|2"),0))</f>
        <v>32.34</v>
      </c>
      <c r="H178" s="76" t="n">
        <f aca="false">IF(COUNTIF('Quote Lines'!$P$3:$P$805,$A178&amp;"|"&amp;H$6&amp;"|1")=0,"—",SUMIFS('Quote Lines'!$O$3:$O$805,'Quote Lines'!$P$3:$P$805,$A178&amp;"|"&amp;H$6&amp;"|1")/SUMIFS('Quote Lines'!$L$3:$L$805,'Quote Lines'!$P$3:$P$805,$A178&amp;"|"&amp;H$6&amp;"|1")+IFERROR(SUMIFS('Quote Lines'!$O$3:$O$805,'Quote Lines'!$P$3:$P$805,$A178&amp;"|"&amp;H$6&amp;"|2")/SUMIFS('Quote Lines'!$L$3:$L$805,'Quote Lines'!$P$3:$P$805,$A178&amp;"|"&amp;H$6&amp;"|2"),0))</f>
        <v>26.91</v>
      </c>
      <c r="I178" s="76" t="n">
        <f aca="false">IF(COUNTIF('Quote Lines'!$P$3:$P$805,$A178&amp;"|"&amp;I$6&amp;"|1")=0,"—",SUMIFS('Quote Lines'!$O$3:$O$805,'Quote Lines'!$P$3:$P$805,$A178&amp;"|"&amp;I$6&amp;"|1")/SUMIFS('Quote Lines'!$L$3:$L$805,'Quote Lines'!$P$3:$P$805,$A178&amp;"|"&amp;I$6&amp;"|1"))</f>
        <v>14.581875</v>
      </c>
      <c r="J178" s="85" t="s">
        <v>138</v>
      </c>
      <c r="K178" s="14" t="n">
        <f aca="false">IF(ISNUMBER(G178),G178*$F178,"—")</f>
        <v>517.44</v>
      </c>
      <c r="L178" s="14" t="n">
        <f aca="false">IF(ISNUMBER(H178),H178*$F178,"—")</f>
        <v>430.56</v>
      </c>
      <c r="M178" s="14" t="n">
        <f aca="false">IF(ISNUMBER(I178),I178*$F178,"—")</f>
        <v>233.31</v>
      </c>
      <c r="N178" s="14" t="str">
        <f aca="false">IF(ISNUMBER(J178),J178*$F178,"—")</f>
        <v>—</v>
      </c>
      <c r="O178" s="77" t="n">
        <f aca="false">IF($S178=0,"—",MIN(G178:J178))</f>
        <v>14.581875</v>
      </c>
      <c r="P178" s="42" t="str">
        <f aca="false">IF($S178=0,"—",IF(COUNTIF(G178:J178,O178)&gt;1,"Tie",INDEX($G$6:$J$6,MATCH(O178,G178:J178,0))))</f>
        <v>Mountainland</v>
      </c>
      <c r="Q178" s="48" t="n">
        <f aca="false">IF($S178&gt;=2,MAX(G178:J178)/MIN(G178:J178)-1,"—")</f>
        <v>1.21782178217822</v>
      </c>
      <c r="R178" s="78" t="n">
        <f aca="false">IF($S178&gt;=2,(MAX(G178:J178)-MIN(G178:J178))*$F178,"—")</f>
        <v>284.13</v>
      </c>
      <c r="S178" s="18" t="n">
        <f aca="false">COUNT(G178:J178)</f>
        <v>3</v>
      </c>
      <c r="T178" s="79" t="str">
        <f aca="false">IF($S178&lt;=1,IF($S178=1,"Single quote","—"),"Alt spec – verify")</f>
        <v>Alt spec – verify</v>
      </c>
      <c r="U178" s="79" t="str">
        <f aca="false">IF(COUNT(W178:Z178)&lt;2,"",IF(MAX(W178:Z178)=MIN(W178:Z178),"OK","Qty differs"))</f>
        <v>OK</v>
      </c>
      <c r="V178" s="80" t="s">
        <v>520</v>
      </c>
      <c r="W178" s="81" t="n">
        <f aca="false">IF(COUNTIFS('Quote Lines'!$P$3:$P$805,$A178&amp;"|"&amp;G$6&amp;"|1",'Quote Lines'!$M$3:$M$805,"Y")=0,"",SUMIFS('Quote Lines'!$L$3:$L$805,'Quote Lines'!$P$3:$P$805,$A178&amp;"|"&amp;G$6&amp;"|1",'Quote Lines'!$M$3:$M$805,"Y"))</f>
        <v>16</v>
      </c>
      <c r="X178" s="81" t="n">
        <f aca="false">IF(COUNTIFS('Quote Lines'!$P$3:$P$805,$A178&amp;"|"&amp;H$6&amp;"|1",'Quote Lines'!$M$3:$M$805,"Y")=0,"",SUMIFS('Quote Lines'!$L$3:$L$805,'Quote Lines'!$P$3:$P$805,$A178&amp;"|"&amp;H$6&amp;"|1",'Quote Lines'!$M$3:$M$805,"Y"))</f>
        <v>16</v>
      </c>
      <c r="Y178" s="81" t="n">
        <f aca="false">IF(COUNTIFS('Quote Lines'!$P$3:$P$805,$A178&amp;"|"&amp;I$6&amp;"|1",'Quote Lines'!$M$3:$M$805,"Y")=0,"",SUMIFS('Quote Lines'!$L$3:$L$805,'Quote Lines'!$P$3:$P$805,$A178&amp;"|"&amp;I$6&amp;"|1",'Quote Lines'!$M$3:$M$805,"Y"))</f>
        <v>16</v>
      </c>
      <c r="Z178" s="81"/>
      <c r="AA178" s="82" t="n">
        <f aca="false">IF(ISNUMBER(G178),1+SUMPRODUCT(ISNUMBER($G178:$J178)*($G178:$J178&lt;G178)),"")</f>
        <v>3</v>
      </c>
      <c r="AB178" s="82" t="n">
        <f aca="false">IF(ISNUMBER(H178),1+SUMPRODUCT(ISNUMBER($G178:$J178)*($G178:$J178&lt;H178)),"")</f>
        <v>2</v>
      </c>
      <c r="AC178" s="82" t="n">
        <f aca="false">IF(ISNUMBER(I178),1+SUMPRODUCT(ISNUMBER($G178:$J178)*($G178:$J178&lt;I178)),"")</f>
        <v>1</v>
      </c>
      <c r="AD178" s="82" t="str">
        <f aca="false">IF(ISNUMBER(J178),1+SUMPRODUCT(ISNUMBER($G178:$J178)*($G178:$J178&lt;J178)),"")</f>
        <v/>
      </c>
      <c r="AE178" s="82" t="n">
        <f aca="false">IF(NOT(ISNUMBER(G178)),0,IF($S178&lt;2,5,IF(AA178=1,1,IF(G178=MAX($G178:$J178),4,IF(AA178=2,2,3)))))</f>
        <v>4</v>
      </c>
      <c r="AF178" s="82" t="n">
        <f aca="false">IF(NOT(ISNUMBER(H178)),0,IF($S178&lt;2,5,IF(AB178=1,1,IF(H178=MAX($G178:$J178),4,IF(AB178=2,2,3)))))</f>
        <v>2</v>
      </c>
      <c r="AG178" s="82" t="n">
        <f aca="false">IF(NOT(ISNUMBER(I178)),0,IF($S178&lt;2,5,IF(AC178=1,1,IF(I178=MAX($G178:$J178),4,IF(AC178=2,2,3)))))</f>
        <v>1</v>
      </c>
      <c r="AH178" s="82" t="n">
        <f aca="false">IF(NOT(ISNUMBER(J178)),0,IF($S178&lt;2,5,IF(AD178=1,1,IF(J178=MAX($G178:$J178),4,IF(AD178=2,2,3)))))</f>
        <v>0</v>
      </c>
      <c r="AI178" s="83" t="n">
        <f aca="false">IF($S178&gt;=2,IF(ISNUMBER(G178),G178*$F178,MIN($G178:$J178)*$F178),0)</f>
        <v>517.44</v>
      </c>
      <c r="AJ178" s="83" t="n">
        <f aca="false">IF($S178&gt;=2,IF(ISNUMBER(H178),H178*$F178,MIN($G178:$J178)*$F178),0)</f>
        <v>430.56</v>
      </c>
      <c r="AK178" s="83" t="n">
        <f aca="false">IF($S178&gt;=2,IF(ISNUMBER(I178),I178*$F178,MIN($G178:$J178)*$F178),0)</f>
        <v>233.31</v>
      </c>
      <c r="AL178" s="83" t="n">
        <f aca="false">IF($S178&gt;=2,IF(ISNUMBER(J178),J178*$F178,MIN($G178:$J178)*$F178),0)</f>
        <v>233.31</v>
      </c>
      <c r="AM178" s="84" t="n">
        <f aca="false">IF($S178&gt;=2,$R178+ROW()/1000000,"")</f>
        <v>284.130178</v>
      </c>
      <c r="AN178" s="83" t="n">
        <f aca="false">IF($S178&gt;=2,MAX(G178:J178),"")</f>
        <v>32.34</v>
      </c>
      <c r="AO178" s="82" t="str">
        <f aca="false">IF($S178&gt;=2,INDEX($G$6:$J$6,MATCH(MAX(G178:J178),G178:J178,0)),"")</f>
        <v>Ferguson</v>
      </c>
      <c r="AP178" s="83" t="n">
        <f aca="false">IF($S178&gt;=2,MIN(G178:J178)*$F178,0)</f>
        <v>233.31</v>
      </c>
      <c r="AQ178" s="82" t="str">
        <f aca="false">IF($S178&gt;=2,INDEX($G$6:$J$6,MATCH(MIN(G178:J178),G178:J178,0)),"")</f>
        <v>Mountainland</v>
      </c>
    </row>
    <row r="179" customFormat="false" ht="19.5" hidden="false" customHeight="true" outlineLevel="0" collapsed="false">
      <c r="A179" s="69"/>
      <c r="B179" s="9" t="s">
        <v>521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customFormat="false" ht="15" hidden="false" customHeight="true" outlineLevel="0" collapsed="false">
      <c r="A180" s="70" t="s">
        <v>522</v>
      </c>
      <c r="B180" s="71" t="s">
        <v>523</v>
      </c>
      <c r="C180" s="72" t="s">
        <v>240</v>
      </c>
      <c r="D180" s="73" t="s">
        <v>524</v>
      </c>
      <c r="E180" s="74" t="s">
        <v>133</v>
      </c>
      <c r="F180" s="75" t="n">
        <v>4</v>
      </c>
      <c r="G180" s="76" t="n">
        <f aca="false">IF(COUNTIF('Quote Lines'!$P$3:$P$805,$A180&amp;"|"&amp;G$6&amp;"|1")=0,"—",SUMIFS('Quote Lines'!$O$3:$O$805,'Quote Lines'!$P$3:$P$805,$A180&amp;"|"&amp;G$6&amp;"|1")/SUMIFS('Quote Lines'!$L$3:$L$805,'Quote Lines'!$P$3:$P$805,$A180&amp;"|"&amp;G$6&amp;"|1"))</f>
        <v>1971.97</v>
      </c>
      <c r="H180" s="76" t="n">
        <f aca="false">IF(COUNTIF('Quote Lines'!$P$3:$P$805,$A180&amp;"|"&amp;H$6&amp;"|1")=0,"—",SUMIFS('Quote Lines'!$O$3:$O$805,'Quote Lines'!$P$3:$P$805,$A180&amp;"|"&amp;H$6&amp;"|1")/SUMIFS('Quote Lines'!$L$3:$L$805,'Quote Lines'!$P$3:$P$805,$A180&amp;"|"&amp;H$6&amp;"|1"))</f>
        <v>1658.87</v>
      </c>
      <c r="I180" s="76" t="n">
        <f aca="false">IF(COUNTIF('Quote Lines'!$P$3:$P$805,$A180&amp;"|"&amp;I$6&amp;"|1")=0,"—",SUMIFS('Quote Lines'!$O$3:$O$805,'Quote Lines'!$P$3:$P$805,$A180&amp;"|"&amp;I$6&amp;"|1")/SUMIFS('Quote Lines'!$L$3:$L$805,'Quote Lines'!$P$3:$P$805,$A180&amp;"|"&amp;I$6&amp;"|1"))</f>
        <v>1768.27</v>
      </c>
      <c r="J180" s="76" t="n">
        <f aca="false">IF(COUNTIF('Quote Lines'!$P$3:$P$805,$A180&amp;"|"&amp;J$6&amp;"|1")=0,"—",SUMIFS('Quote Lines'!$O$3:$O$805,'Quote Lines'!$P$3:$P$805,$A180&amp;"|"&amp;J$6&amp;"|1")/SUMIFS('Quote Lines'!$L$3:$L$805,'Quote Lines'!$P$3:$P$805,$A180&amp;"|"&amp;J$6&amp;"|1"))</f>
        <v>1918.32</v>
      </c>
      <c r="K180" s="14" t="n">
        <f aca="false">IF(ISNUMBER(G180),G180*$F180,"—")</f>
        <v>7887.88</v>
      </c>
      <c r="L180" s="14" t="n">
        <f aca="false">IF(ISNUMBER(H180),H180*$F180,"—")</f>
        <v>6635.48</v>
      </c>
      <c r="M180" s="14" t="n">
        <f aca="false">IF(ISNUMBER(I180),I180*$F180,"—")</f>
        <v>7073.08</v>
      </c>
      <c r="N180" s="14" t="n">
        <f aca="false">IF(ISNUMBER(J180),J180*$F180,"—")</f>
        <v>7673.28</v>
      </c>
      <c r="O180" s="77" t="n">
        <f aca="false">IF($S180=0,"—",MIN(G180:J180))</f>
        <v>1658.87</v>
      </c>
      <c r="P180" s="42" t="str">
        <f aca="false">IF($S180=0,"—",IF(COUNTIF(G180:J180,O180)&gt;1,"Tie",INDEX($G$6:$J$6,MATCH(O180,G180:J180,0))))</f>
        <v>HD Fowler</v>
      </c>
      <c r="Q180" s="48" t="n">
        <f aca="false">IF($S180&gt;=2,MAX(G180:J180)/MIN(G180:J180)-1,"—")</f>
        <v>0.188742939470845</v>
      </c>
      <c r="R180" s="78" t="n">
        <f aca="false">IF($S180&gt;=2,(MAX(G180:J180)-MIN(G180:J180))*$F180,"—")</f>
        <v>1252.4</v>
      </c>
      <c r="S180" s="18" t="n">
        <f aca="false">COUNT(G180:J180)</f>
        <v>4</v>
      </c>
      <c r="T180" s="79" t="str">
        <f aca="false">IF($S180&lt;=1,IF($S180=1,"Single quote","—"),"Like-for-like")</f>
        <v>Like-for-like</v>
      </c>
      <c r="U180" s="79" t="str">
        <f aca="false">IF(COUNT(W180:Z180)&lt;2,"",IF(MAX(W180:Z180)=MIN(W180:Z180),"OK","Qty differs"))</f>
        <v>OK</v>
      </c>
      <c r="V180" s="80"/>
      <c r="W180" s="81" t="n">
        <f aca="false">IF(COUNTIFS('Quote Lines'!$P$3:$P$805,$A180&amp;"|"&amp;G$6&amp;"|1",'Quote Lines'!$M$3:$M$805,"Y")=0,"",SUMIFS('Quote Lines'!$L$3:$L$805,'Quote Lines'!$P$3:$P$805,$A180&amp;"|"&amp;G$6&amp;"|1",'Quote Lines'!$M$3:$M$805,"Y"))</f>
        <v>4</v>
      </c>
      <c r="X180" s="81" t="n">
        <f aca="false">IF(COUNTIFS('Quote Lines'!$P$3:$P$805,$A180&amp;"|"&amp;H$6&amp;"|1",'Quote Lines'!$M$3:$M$805,"Y")=0,"",SUMIFS('Quote Lines'!$L$3:$L$805,'Quote Lines'!$P$3:$P$805,$A180&amp;"|"&amp;H$6&amp;"|1",'Quote Lines'!$M$3:$M$805,"Y"))</f>
        <v>4</v>
      </c>
      <c r="Y180" s="81" t="n">
        <f aca="false">IF(COUNTIFS('Quote Lines'!$P$3:$P$805,$A180&amp;"|"&amp;I$6&amp;"|1",'Quote Lines'!$M$3:$M$805,"Y")=0,"",SUMIFS('Quote Lines'!$L$3:$L$805,'Quote Lines'!$P$3:$P$805,$A180&amp;"|"&amp;I$6&amp;"|1",'Quote Lines'!$M$3:$M$805,"Y"))</f>
        <v>4</v>
      </c>
      <c r="Z180" s="81" t="n">
        <f aca="false">IF(COUNTIFS('Quote Lines'!$P$3:$P$805,$A180&amp;"|"&amp;J$6&amp;"|1",'Quote Lines'!$M$3:$M$805,"Y")=0,"",SUMIFS('Quote Lines'!$L$3:$L$805,'Quote Lines'!$P$3:$P$805,$A180&amp;"|"&amp;J$6&amp;"|1",'Quote Lines'!$M$3:$M$805,"Y"))</f>
        <v>4</v>
      </c>
      <c r="AA180" s="82" t="n">
        <f aca="false">IF(ISNUMBER(G180),1+SUMPRODUCT(ISNUMBER($G180:$J180)*($G180:$J180&lt;G180)),"")</f>
        <v>4</v>
      </c>
      <c r="AB180" s="82" t="n">
        <f aca="false">IF(ISNUMBER(H180),1+SUMPRODUCT(ISNUMBER($G180:$J180)*($G180:$J180&lt;H180)),"")</f>
        <v>1</v>
      </c>
      <c r="AC180" s="82" t="n">
        <f aca="false">IF(ISNUMBER(I180),1+SUMPRODUCT(ISNUMBER($G180:$J180)*($G180:$J180&lt;I180)),"")</f>
        <v>2</v>
      </c>
      <c r="AD180" s="82" t="n">
        <f aca="false">IF(ISNUMBER(J180),1+SUMPRODUCT(ISNUMBER($G180:$J180)*($G180:$J180&lt;J180)),"")</f>
        <v>3</v>
      </c>
      <c r="AE180" s="82" t="n">
        <f aca="false">IF(NOT(ISNUMBER(G180)),0,IF($S180&lt;2,5,IF(AA180=1,1,IF(G180=MAX($G180:$J180),4,IF(AA180=2,2,3)))))</f>
        <v>4</v>
      </c>
      <c r="AF180" s="82" t="n">
        <f aca="false">IF(NOT(ISNUMBER(H180)),0,IF($S180&lt;2,5,IF(AB180=1,1,IF(H180=MAX($G180:$J180),4,IF(AB180=2,2,3)))))</f>
        <v>1</v>
      </c>
      <c r="AG180" s="82" t="n">
        <f aca="false">IF(NOT(ISNUMBER(I180)),0,IF($S180&lt;2,5,IF(AC180=1,1,IF(I180=MAX($G180:$J180),4,IF(AC180=2,2,3)))))</f>
        <v>2</v>
      </c>
      <c r="AH180" s="82" t="n">
        <f aca="false">IF(NOT(ISNUMBER(J180)),0,IF($S180&lt;2,5,IF(AD180=1,1,IF(J180=MAX($G180:$J180),4,IF(AD180=2,2,3)))))</f>
        <v>3</v>
      </c>
      <c r="AI180" s="83" t="n">
        <f aca="false">IF($S180&gt;=2,IF(ISNUMBER(G180),G180*$F180,MIN($G180:$J180)*$F180),0)</f>
        <v>7887.88</v>
      </c>
      <c r="AJ180" s="83" t="n">
        <f aca="false">IF($S180&gt;=2,IF(ISNUMBER(H180),H180*$F180,MIN($G180:$J180)*$F180),0)</f>
        <v>6635.48</v>
      </c>
      <c r="AK180" s="83" t="n">
        <f aca="false">IF($S180&gt;=2,IF(ISNUMBER(I180),I180*$F180,MIN($G180:$J180)*$F180),0)</f>
        <v>7073.08</v>
      </c>
      <c r="AL180" s="83" t="n">
        <f aca="false">IF($S180&gt;=2,IF(ISNUMBER(J180),J180*$F180,MIN($G180:$J180)*$F180),0)</f>
        <v>7673.28</v>
      </c>
      <c r="AM180" s="84" t="n">
        <f aca="false">IF($S180&gt;=2,$R180+ROW()/1000000,"")</f>
        <v>1252.40018</v>
      </c>
      <c r="AN180" s="83" t="n">
        <f aca="false">IF($S180&gt;=2,MAX(G180:J180),"")</f>
        <v>1971.97</v>
      </c>
      <c r="AO180" s="82" t="str">
        <f aca="false">IF($S180&gt;=2,INDEX($G$6:$J$6,MATCH(MAX(G180:J180),G180:J180,0)),"")</f>
        <v>Ferguson</v>
      </c>
      <c r="AP180" s="83" t="n">
        <f aca="false">IF($S180&gt;=2,MIN(G180:J180)*$F180,0)</f>
        <v>6635.48</v>
      </c>
      <c r="AQ180" s="82" t="str">
        <f aca="false">IF($S180&gt;=2,INDEX($G$6:$J$6,MATCH(MIN(G180:J180),G180:J180,0)),"")</f>
        <v>HD Fowler</v>
      </c>
    </row>
    <row r="181" customFormat="false" ht="15" hidden="false" customHeight="true" outlineLevel="0" collapsed="false">
      <c r="A181" s="70" t="s">
        <v>525</v>
      </c>
      <c r="B181" s="71" t="s">
        <v>523</v>
      </c>
      <c r="C181" s="72" t="s">
        <v>257</v>
      </c>
      <c r="D181" s="73" t="s">
        <v>514</v>
      </c>
      <c r="E181" s="74" t="s">
        <v>133</v>
      </c>
      <c r="F181" s="75" t="n">
        <v>4</v>
      </c>
      <c r="G181" s="76" t="n">
        <f aca="false">IF(COUNTIF('Quote Lines'!$P$3:$P$805,$A181&amp;"|"&amp;G$6&amp;"|1")=0,"—",SUMIFS('Quote Lines'!$O$3:$O$805,'Quote Lines'!$P$3:$P$805,$A181&amp;"|"&amp;G$6&amp;"|1")/SUMIFS('Quote Lines'!$L$3:$L$805,'Quote Lines'!$P$3:$P$805,$A181&amp;"|"&amp;G$6&amp;"|1")+IFERROR(SUMIFS('Quote Lines'!$O$3:$O$805,'Quote Lines'!$P$3:$P$805,$A181&amp;"|"&amp;G$6&amp;"|2")/SUMIFS('Quote Lines'!$L$3:$L$805,'Quote Lines'!$P$3:$P$805,$A181&amp;"|"&amp;G$6&amp;"|2"),0)+IFERROR(SUMIFS('Quote Lines'!$O$3:$O$805,'Quote Lines'!$P$3:$P$805,$A181&amp;"|"&amp;G$6&amp;"|3")/SUMIFS('Quote Lines'!$L$3:$L$805,'Quote Lines'!$P$3:$P$805,$A181&amp;"|"&amp;G$6&amp;"|3"),0))</f>
        <v>165.05</v>
      </c>
      <c r="H181" s="76" t="n">
        <f aca="false">IF(COUNTIF('Quote Lines'!$P$3:$P$805,$A181&amp;"|"&amp;H$6&amp;"|1")=0,"—",SUMIFS('Quote Lines'!$O$3:$O$805,'Quote Lines'!$P$3:$P$805,$A181&amp;"|"&amp;H$6&amp;"|1")/SUMIFS('Quote Lines'!$L$3:$L$805,'Quote Lines'!$P$3:$P$805,$A181&amp;"|"&amp;H$6&amp;"|1")+IFERROR(SUMIFS('Quote Lines'!$O$3:$O$805,'Quote Lines'!$P$3:$P$805,$A181&amp;"|"&amp;H$6&amp;"|2")/SUMIFS('Quote Lines'!$L$3:$L$805,'Quote Lines'!$P$3:$P$805,$A181&amp;"|"&amp;H$6&amp;"|2"),0)+IFERROR(SUMIFS('Quote Lines'!$O$3:$O$805,'Quote Lines'!$P$3:$P$805,$A181&amp;"|"&amp;H$6&amp;"|3")/SUMIFS('Quote Lines'!$L$3:$L$805,'Quote Lines'!$P$3:$P$805,$A181&amp;"|"&amp;H$6&amp;"|3"),0))</f>
        <v>145.33</v>
      </c>
      <c r="I181" s="76" t="n">
        <f aca="false">IF(COUNTIF('Quote Lines'!$P$3:$P$805,$A181&amp;"|"&amp;I$6&amp;"|1")=0,"—",SUMIFS('Quote Lines'!$O$3:$O$805,'Quote Lines'!$P$3:$P$805,$A181&amp;"|"&amp;I$6&amp;"|1")/SUMIFS('Quote Lines'!$L$3:$L$805,'Quote Lines'!$P$3:$P$805,$A181&amp;"|"&amp;I$6&amp;"|1"))</f>
        <v>132.5</v>
      </c>
      <c r="J181" s="76" t="n">
        <f aca="false">IF(COUNTIF('Quote Lines'!$P$3:$P$805,$A181&amp;"|"&amp;J$6&amp;"|1")=0,"—",SUMIFS('Quote Lines'!$O$3:$O$805,'Quote Lines'!$P$3:$P$805,$A181&amp;"|"&amp;J$6&amp;"|1")/SUMIFS('Quote Lines'!$L$3:$L$805,'Quote Lines'!$P$3:$P$805,$A181&amp;"|"&amp;J$6&amp;"|1"))</f>
        <v>141.45</v>
      </c>
      <c r="K181" s="14" t="n">
        <f aca="false">IF(ISNUMBER(G181),G181*$F181,"—")</f>
        <v>660.2</v>
      </c>
      <c r="L181" s="14" t="n">
        <f aca="false">IF(ISNUMBER(H181),H181*$F181,"—")</f>
        <v>581.32</v>
      </c>
      <c r="M181" s="14" t="n">
        <f aca="false">IF(ISNUMBER(I181),I181*$F181,"—")</f>
        <v>530</v>
      </c>
      <c r="N181" s="14" t="n">
        <f aca="false">IF(ISNUMBER(J181),J181*$F181,"—")</f>
        <v>565.8</v>
      </c>
      <c r="O181" s="77" t="n">
        <f aca="false">IF($S181=0,"—",MIN(G181:J181))</f>
        <v>132.5</v>
      </c>
      <c r="P181" s="42" t="str">
        <f aca="false">IF($S181=0,"—",IF(COUNTIF(G181:J181,O181)&gt;1,"Tie",INDEX($G$6:$J$6,MATCH(O181,G181:J181,0))))</f>
        <v>Mountainland</v>
      </c>
      <c r="Q181" s="48" t="n">
        <f aca="false">IF($S181&gt;=2,MAX(G181:J181)/MIN(G181:J181)-1,"—")</f>
        <v>0.245660377358491</v>
      </c>
      <c r="R181" s="78" t="n">
        <f aca="false">IF($S181&gt;=2,(MAX(G181:J181)-MIN(G181:J181))*$F181,"—")</f>
        <v>130.2</v>
      </c>
      <c r="S181" s="18" t="n">
        <f aca="false">COUNT(G181:J181)</f>
        <v>4</v>
      </c>
      <c r="T181" s="79" t="str">
        <f aca="false">IF($S181&lt;=1,IF($S181=1,"Single quote","—"),"Like-for-like")</f>
        <v>Like-for-like</v>
      </c>
      <c r="U181" s="79" t="str">
        <f aca="false">IF(COUNT(W181:Z181)&lt;2,"",IF(MAX(W181:Z181)=MIN(W181:Z181),"OK","Qty differs"))</f>
        <v>OK</v>
      </c>
      <c r="V181" s="80"/>
      <c r="W181" s="81" t="n">
        <f aca="false">IF(COUNTIFS('Quote Lines'!$P$3:$P$805,$A181&amp;"|"&amp;G$6&amp;"|1",'Quote Lines'!$M$3:$M$805,"Y")=0,"",SUMIFS('Quote Lines'!$L$3:$L$805,'Quote Lines'!$P$3:$P$805,$A181&amp;"|"&amp;G$6&amp;"|1",'Quote Lines'!$M$3:$M$805,"Y"))</f>
        <v>4</v>
      </c>
      <c r="X181" s="81" t="n">
        <f aca="false">IF(COUNTIFS('Quote Lines'!$P$3:$P$805,$A181&amp;"|"&amp;H$6&amp;"|1",'Quote Lines'!$M$3:$M$805,"Y")=0,"",SUMIFS('Quote Lines'!$L$3:$L$805,'Quote Lines'!$P$3:$P$805,$A181&amp;"|"&amp;H$6&amp;"|1",'Quote Lines'!$M$3:$M$805,"Y"))</f>
        <v>4</v>
      </c>
      <c r="Y181" s="81" t="n">
        <f aca="false">IF(COUNTIFS('Quote Lines'!$P$3:$P$805,$A181&amp;"|"&amp;I$6&amp;"|1",'Quote Lines'!$M$3:$M$805,"Y")=0,"",SUMIFS('Quote Lines'!$L$3:$L$805,'Quote Lines'!$P$3:$P$805,$A181&amp;"|"&amp;I$6&amp;"|1",'Quote Lines'!$M$3:$M$805,"Y"))</f>
        <v>4</v>
      </c>
      <c r="Z181" s="81" t="n">
        <f aca="false">IF(COUNTIFS('Quote Lines'!$P$3:$P$805,$A181&amp;"|"&amp;J$6&amp;"|1",'Quote Lines'!$M$3:$M$805,"Y")=0,"",SUMIFS('Quote Lines'!$L$3:$L$805,'Quote Lines'!$P$3:$P$805,$A181&amp;"|"&amp;J$6&amp;"|1",'Quote Lines'!$M$3:$M$805,"Y"))</f>
        <v>4</v>
      </c>
      <c r="AA181" s="82" t="n">
        <f aca="false">IF(ISNUMBER(G181),1+SUMPRODUCT(ISNUMBER($G181:$J181)*($G181:$J181&lt;G181)),"")</f>
        <v>4</v>
      </c>
      <c r="AB181" s="82" t="n">
        <f aca="false">IF(ISNUMBER(H181),1+SUMPRODUCT(ISNUMBER($G181:$J181)*($G181:$J181&lt;H181)),"")</f>
        <v>3</v>
      </c>
      <c r="AC181" s="82" t="n">
        <f aca="false">IF(ISNUMBER(I181),1+SUMPRODUCT(ISNUMBER($G181:$J181)*($G181:$J181&lt;I181)),"")</f>
        <v>1</v>
      </c>
      <c r="AD181" s="82" t="n">
        <f aca="false">IF(ISNUMBER(J181),1+SUMPRODUCT(ISNUMBER($G181:$J181)*($G181:$J181&lt;J181)),"")</f>
        <v>2</v>
      </c>
      <c r="AE181" s="82" t="n">
        <f aca="false">IF(NOT(ISNUMBER(G181)),0,IF($S181&lt;2,5,IF(AA181=1,1,IF(G181=MAX($G181:$J181),4,IF(AA181=2,2,3)))))</f>
        <v>4</v>
      </c>
      <c r="AF181" s="82" t="n">
        <f aca="false">IF(NOT(ISNUMBER(H181)),0,IF($S181&lt;2,5,IF(AB181=1,1,IF(H181=MAX($G181:$J181),4,IF(AB181=2,2,3)))))</f>
        <v>3</v>
      </c>
      <c r="AG181" s="82" t="n">
        <f aca="false">IF(NOT(ISNUMBER(I181)),0,IF($S181&lt;2,5,IF(AC181=1,1,IF(I181=MAX($G181:$J181),4,IF(AC181=2,2,3)))))</f>
        <v>1</v>
      </c>
      <c r="AH181" s="82" t="n">
        <f aca="false">IF(NOT(ISNUMBER(J181)),0,IF($S181&lt;2,5,IF(AD181=1,1,IF(J181=MAX($G181:$J181),4,IF(AD181=2,2,3)))))</f>
        <v>2</v>
      </c>
      <c r="AI181" s="83" t="n">
        <f aca="false">IF($S181&gt;=2,IF(ISNUMBER(G181),G181*$F181,MIN($G181:$J181)*$F181),0)</f>
        <v>660.2</v>
      </c>
      <c r="AJ181" s="83" t="n">
        <f aca="false">IF($S181&gt;=2,IF(ISNUMBER(H181),H181*$F181,MIN($G181:$J181)*$F181),0)</f>
        <v>581.32</v>
      </c>
      <c r="AK181" s="83" t="n">
        <f aca="false">IF($S181&gt;=2,IF(ISNUMBER(I181),I181*$F181,MIN($G181:$J181)*$F181),0)</f>
        <v>530</v>
      </c>
      <c r="AL181" s="83" t="n">
        <f aca="false">IF($S181&gt;=2,IF(ISNUMBER(J181),J181*$F181,MIN($G181:$J181)*$F181),0)</f>
        <v>565.8</v>
      </c>
      <c r="AM181" s="84" t="n">
        <f aca="false">IF($S181&gt;=2,$R181+ROW()/1000000,"")</f>
        <v>130.200181</v>
      </c>
      <c r="AN181" s="83" t="n">
        <f aca="false">IF($S181&gt;=2,MAX(G181:J181),"")</f>
        <v>165.05</v>
      </c>
      <c r="AO181" s="82" t="str">
        <f aca="false">IF($S181&gt;=2,INDEX($G$6:$J$6,MATCH(MAX(G181:J181),G181:J181,0)),"")</f>
        <v>Ferguson</v>
      </c>
      <c r="AP181" s="83" t="n">
        <f aca="false">IF($S181&gt;=2,MIN(G181:J181)*$F181,0)</f>
        <v>530</v>
      </c>
      <c r="AQ181" s="82" t="str">
        <f aca="false">IF($S181&gt;=2,INDEX($G$6:$J$6,MATCH(MIN(G181:J181),G181:J181,0)),"")</f>
        <v>Mountainland</v>
      </c>
    </row>
    <row r="182" customFormat="false" ht="15" hidden="false" customHeight="true" outlineLevel="0" collapsed="false">
      <c r="A182" s="70" t="s">
        <v>526</v>
      </c>
      <c r="B182" s="71" t="s">
        <v>523</v>
      </c>
      <c r="C182" s="72" t="s">
        <v>294</v>
      </c>
      <c r="D182" s="73" t="s">
        <v>527</v>
      </c>
      <c r="E182" s="74" t="s">
        <v>133</v>
      </c>
      <c r="F182" s="75" t="n">
        <v>4</v>
      </c>
      <c r="G182" s="76" t="n">
        <f aca="false">IF(COUNTIF('Quote Lines'!$P$3:$P$805,$A182&amp;"|"&amp;G$6&amp;"|1")=0,"—",SUMIFS('Quote Lines'!$O$3:$O$805,'Quote Lines'!$P$3:$P$805,$A182&amp;"|"&amp;G$6&amp;"|1")/SUMIFS('Quote Lines'!$L$3:$L$805,'Quote Lines'!$P$3:$P$805,$A182&amp;"|"&amp;G$6&amp;"|1"))</f>
        <v>92.92</v>
      </c>
      <c r="H182" s="76" t="n">
        <f aca="false">IF(COUNTIF('Quote Lines'!$P$3:$P$805,$A182&amp;"|"&amp;H$6&amp;"|1")=0,"—",SUMIFS('Quote Lines'!$O$3:$O$805,'Quote Lines'!$P$3:$P$805,$A182&amp;"|"&amp;H$6&amp;"|1")/SUMIFS('Quote Lines'!$L$3:$L$805,'Quote Lines'!$P$3:$P$805,$A182&amp;"|"&amp;H$6&amp;"|1"))</f>
        <v>98.7</v>
      </c>
      <c r="I182" s="76" t="n">
        <f aca="false">IF(COUNTIF('Quote Lines'!$P$3:$P$805,$A182&amp;"|"&amp;I$6&amp;"|1")=0,"—",SUMIFS('Quote Lines'!$O$3:$O$805,'Quote Lines'!$P$3:$P$805,$A182&amp;"|"&amp;I$6&amp;"|1")/SUMIFS('Quote Lines'!$L$3:$L$805,'Quote Lines'!$P$3:$P$805,$A182&amp;"|"&amp;I$6&amp;"|1"))</f>
        <v>74.39</v>
      </c>
      <c r="J182" s="76" t="n">
        <f aca="false">IF(COUNTIF('Quote Lines'!$P$3:$P$805,$A182&amp;"|"&amp;J$6&amp;"|1")=0,"—",SUMIFS('Quote Lines'!$O$3:$O$805,'Quote Lines'!$P$3:$P$805,$A182&amp;"|"&amp;J$6&amp;"|1")/SUMIFS('Quote Lines'!$L$3:$L$805,'Quote Lines'!$P$3:$P$805,$A182&amp;"|"&amp;J$6&amp;"|1"))</f>
        <v>106.05</v>
      </c>
      <c r="K182" s="14" t="n">
        <f aca="false">IF(ISNUMBER(G182),G182*$F182,"—")</f>
        <v>371.68</v>
      </c>
      <c r="L182" s="14" t="n">
        <f aca="false">IF(ISNUMBER(H182),H182*$F182,"—")</f>
        <v>394.8</v>
      </c>
      <c r="M182" s="14" t="n">
        <f aca="false">IF(ISNUMBER(I182),I182*$F182,"—")</f>
        <v>297.56</v>
      </c>
      <c r="N182" s="14" t="n">
        <f aca="false">IF(ISNUMBER(J182),J182*$F182,"—")</f>
        <v>424.2</v>
      </c>
      <c r="O182" s="77" t="n">
        <f aca="false">IF($S182=0,"—",MIN(G182:J182))</f>
        <v>74.39</v>
      </c>
      <c r="P182" s="42" t="str">
        <f aca="false">IF($S182=0,"—",IF(COUNTIF(G182:J182,O182)&gt;1,"Tie",INDEX($G$6:$J$6,MATCH(O182,G182:J182,0))))</f>
        <v>Mountainland</v>
      </c>
      <c r="Q182" s="48" t="n">
        <f aca="false">IF($S182&gt;=2,MAX(G182:J182)/MIN(G182:J182)-1,"—")</f>
        <v>0.425594838015862</v>
      </c>
      <c r="R182" s="78" t="n">
        <f aca="false">IF($S182&gt;=2,(MAX(G182:J182)-MIN(G182:J182))*$F182,"—")</f>
        <v>126.64</v>
      </c>
      <c r="S182" s="18" t="n">
        <f aca="false">COUNT(G182:J182)</f>
        <v>4</v>
      </c>
      <c r="T182" s="79" t="str">
        <f aca="false">IF($S182&lt;=1,IF($S182=1,"Single quote","—"),"Like-for-like")</f>
        <v>Like-for-like</v>
      </c>
      <c r="U182" s="79" t="str">
        <f aca="false">IF(COUNT(W182:Z182)&lt;2,"",IF(MAX(W182:Z182)=MIN(W182:Z182),"OK","Qty differs"))</f>
        <v>Qty differs</v>
      </c>
      <c r="V182" s="80"/>
      <c r="W182" s="81" t="n">
        <f aca="false">IF(COUNTIFS('Quote Lines'!$P$3:$P$805,$A182&amp;"|"&amp;G$6&amp;"|1",'Quote Lines'!$M$3:$M$805,"Y")=0,"",SUMIFS('Quote Lines'!$L$3:$L$805,'Quote Lines'!$P$3:$P$805,$A182&amp;"|"&amp;G$6&amp;"|1",'Quote Lines'!$M$3:$M$805,"Y"))</f>
        <v>4</v>
      </c>
      <c r="X182" s="81" t="n">
        <f aca="false">IF(COUNTIFS('Quote Lines'!$P$3:$P$805,$A182&amp;"|"&amp;H$6&amp;"|1",'Quote Lines'!$M$3:$M$805,"Y")=0,"",SUMIFS('Quote Lines'!$L$3:$L$805,'Quote Lines'!$P$3:$P$805,$A182&amp;"|"&amp;H$6&amp;"|1",'Quote Lines'!$M$3:$M$805,"Y"))</f>
        <v>4</v>
      </c>
      <c r="Y182" s="81" t="n">
        <f aca="false">IF(COUNTIFS('Quote Lines'!$P$3:$P$805,$A182&amp;"|"&amp;I$6&amp;"|1",'Quote Lines'!$M$3:$M$805,"Y")=0,"",SUMIFS('Quote Lines'!$L$3:$L$805,'Quote Lines'!$P$3:$P$805,$A182&amp;"|"&amp;I$6&amp;"|1",'Quote Lines'!$M$3:$M$805,"Y"))</f>
        <v>2</v>
      </c>
      <c r="Z182" s="81" t="n">
        <f aca="false">IF(COUNTIFS('Quote Lines'!$P$3:$P$805,$A182&amp;"|"&amp;J$6&amp;"|1",'Quote Lines'!$M$3:$M$805,"Y")=0,"",SUMIFS('Quote Lines'!$L$3:$L$805,'Quote Lines'!$P$3:$P$805,$A182&amp;"|"&amp;J$6&amp;"|1",'Quote Lines'!$M$3:$M$805,"Y"))</f>
        <v>4</v>
      </c>
      <c r="AA182" s="82" t="n">
        <f aca="false">IF(ISNUMBER(G182),1+SUMPRODUCT(ISNUMBER($G182:$J182)*($G182:$J182&lt;G182)),"")</f>
        <v>2</v>
      </c>
      <c r="AB182" s="82" t="n">
        <f aca="false">IF(ISNUMBER(H182),1+SUMPRODUCT(ISNUMBER($G182:$J182)*($G182:$J182&lt;H182)),"")</f>
        <v>3</v>
      </c>
      <c r="AC182" s="82" t="n">
        <f aca="false">IF(ISNUMBER(I182),1+SUMPRODUCT(ISNUMBER($G182:$J182)*($G182:$J182&lt;I182)),"")</f>
        <v>1</v>
      </c>
      <c r="AD182" s="82" t="n">
        <f aca="false">IF(ISNUMBER(J182),1+SUMPRODUCT(ISNUMBER($G182:$J182)*($G182:$J182&lt;J182)),"")</f>
        <v>4</v>
      </c>
      <c r="AE182" s="82" t="n">
        <f aca="false">IF(NOT(ISNUMBER(G182)),0,IF($S182&lt;2,5,IF(AA182=1,1,IF(G182=MAX($G182:$J182),4,IF(AA182=2,2,3)))))</f>
        <v>2</v>
      </c>
      <c r="AF182" s="82" t="n">
        <f aca="false">IF(NOT(ISNUMBER(H182)),0,IF($S182&lt;2,5,IF(AB182=1,1,IF(H182=MAX($G182:$J182),4,IF(AB182=2,2,3)))))</f>
        <v>3</v>
      </c>
      <c r="AG182" s="82" t="n">
        <f aca="false">IF(NOT(ISNUMBER(I182)),0,IF($S182&lt;2,5,IF(AC182=1,1,IF(I182=MAX($G182:$J182),4,IF(AC182=2,2,3)))))</f>
        <v>1</v>
      </c>
      <c r="AH182" s="82" t="n">
        <f aca="false">IF(NOT(ISNUMBER(J182)),0,IF($S182&lt;2,5,IF(AD182=1,1,IF(J182=MAX($G182:$J182),4,IF(AD182=2,2,3)))))</f>
        <v>4</v>
      </c>
      <c r="AI182" s="83" t="n">
        <f aca="false">IF($S182&gt;=2,IF(ISNUMBER(G182),G182*$F182,MIN($G182:$J182)*$F182),0)</f>
        <v>371.68</v>
      </c>
      <c r="AJ182" s="83" t="n">
        <f aca="false">IF($S182&gt;=2,IF(ISNUMBER(H182),H182*$F182,MIN($G182:$J182)*$F182),0)</f>
        <v>394.8</v>
      </c>
      <c r="AK182" s="83" t="n">
        <f aca="false">IF($S182&gt;=2,IF(ISNUMBER(I182),I182*$F182,MIN($G182:$J182)*$F182),0)</f>
        <v>297.56</v>
      </c>
      <c r="AL182" s="83" t="n">
        <f aca="false">IF($S182&gt;=2,IF(ISNUMBER(J182),J182*$F182,MIN($G182:$J182)*$F182),0)</f>
        <v>424.2</v>
      </c>
      <c r="AM182" s="84" t="n">
        <f aca="false">IF($S182&gt;=2,$R182+ROW()/1000000,"")</f>
        <v>126.640182</v>
      </c>
      <c r="AN182" s="83" t="n">
        <f aca="false">IF($S182&gt;=2,MAX(G182:J182),"")</f>
        <v>106.05</v>
      </c>
      <c r="AO182" s="82" t="str">
        <f aca="false">IF($S182&gt;=2,INDEX($G$6:$J$6,MATCH(MAX(G182:J182),G182:J182,0)),"")</f>
        <v>Scholzen</v>
      </c>
      <c r="AP182" s="83" t="n">
        <f aca="false">IF($S182&gt;=2,MIN(G182:J182)*$F182,0)</f>
        <v>297.56</v>
      </c>
      <c r="AQ182" s="82" t="str">
        <f aca="false">IF($S182&gt;=2,INDEX($G$6:$J$6,MATCH(MIN(G182:J182),G182:J182,0)),"")</f>
        <v>Mountainland</v>
      </c>
    </row>
    <row r="183" customFormat="false" ht="15" hidden="false" customHeight="true" outlineLevel="0" collapsed="false">
      <c r="A183" s="70" t="s">
        <v>528</v>
      </c>
      <c r="B183" s="71" t="s">
        <v>523</v>
      </c>
      <c r="C183" s="72" t="s">
        <v>294</v>
      </c>
      <c r="D183" s="73" t="s">
        <v>529</v>
      </c>
      <c r="E183" s="74" t="s">
        <v>133</v>
      </c>
      <c r="F183" s="75" t="n">
        <v>2</v>
      </c>
      <c r="G183" s="85" t="s">
        <v>138</v>
      </c>
      <c r="H183" s="85" t="s">
        <v>138</v>
      </c>
      <c r="I183" s="76" t="n">
        <f aca="false">IF(COUNTIF('Quote Lines'!$P$3:$P$805,$A183&amp;"|"&amp;I$6&amp;"|1")=0,"—",SUMIFS('Quote Lines'!$O$3:$O$805,'Quote Lines'!$P$3:$P$805,$A183&amp;"|"&amp;I$6&amp;"|1")/SUMIFS('Quote Lines'!$L$3:$L$805,'Quote Lines'!$P$3:$P$805,$A183&amp;"|"&amp;I$6&amp;"|1"))</f>
        <v>70.245</v>
      </c>
      <c r="J183" s="76" t="n">
        <f aca="false">IF(COUNTIF('Quote Lines'!$P$3:$P$805,$A183&amp;"|"&amp;J$6&amp;"|1")=0,"—",SUMIFS('Quote Lines'!$O$3:$O$805,'Quote Lines'!$P$3:$P$805,$A183&amp;"|"&amp;J$6&amp;"|1")/SUMIFS('Quote Lines'!$L$3:$L$805,'Quote Lines'!$P$3:$P$805,$A183&amp;"|"&amp;J$6&amp;"|1"))</f>
        <v>92.4</v>
      </c>
      <c r="K183" s="14" t="str">
        <f aca="false">IF(ISNUMBER(G183),G183*$F183,"—")</f>
        <v>—</v>
      </c>
      <c r="L183" s="14" t="str">
        <f aca="false">IF(ISNUMBER(H183),H183*$F183,"—")</f>
        <v>—</v>
      </c>
      <c r="M183" s="14" t="n">
        <f aca="false">IF(ISNUMBER(I183),I183*$F183,"—")</f>
        <v>140.49</v>
      </c>
      <c r="N183" s="14" t="n">
        <f aca="false">IF(ISNUMBER(J183),J183*$F183,"—")</f>
        <v>184.8</v>
      </c>
      <c r="O183" s="77" t="n">
        <f aca="false">IF($S183=0,"—",MIN(G183:J183))</f>
        <v>70.245</v>
      </c>
      <c r="P183" s="42" t="str">
        <f aca="false">IF($S183=0,"—",IF(COUNTIF(G183:J183,O183)&gt;1,"Tie",INDEX($G$6:$J$6,MATCH(O183,G183:J183,0))))</f>
        <v>Mountainland</v>
      </c>
      <c r="Q183" s="48" t="n">
        <f aca="false">IF($S183&gt;=2,MAX(G183:J183)/MIN(G183:J183)-1,"—")</f>
        <v>0.315396113602392</v>
      </c>
      <c r="R183" s="78" t="n">
        <f aca="false">IF($S183&gt;=2,(MAX(G183:J183)-MIN(G183:J183))*$F183,"—")</f>
        <v>44.31</v>
      </c>
      <c r="S183" s="18" t="n">
        <f aca="false">COUNT(G183:J183)</f>
        <v>2</v>
      </c>
      <c r="T183" s="79" t="str">
        <f aca="false">IF($S183&lt;=1,IF($S183=1,"Single quote","—"),"Like-for-like")</f>
        <v>Like-for-like</v>
      </c>
      <c r="U183" s="79" t="str">
        <f aca="false">IF(COUNT(W183:Z183)&lt;2,"",IF(MAX(W183:Z183)=MIN(W183:Z183),"OK","Qty differs"))</f>
        <v>OK</v>
      </c>
      <c r="V183" s="80"/>
      <c r="W183" s="81"/>
      <c r="X183" s="81"/>
      <c r="Y183" s="81" t="n">
        <f aca="false">IF(COUNTIFS('Quote Lines'!$P$3:$P$805,$A183&amp;"|"&amp;I$6&amp;"|1",'Quote Lines'!$M$3:$M$805,"Y")=0,"",SUMIFS('Quote Lines'!$L$3:$L$805,'Quote Lines'!$P$3:$P$805,$A183&amp;"|"&amp;I$6&amp;"|1",'Quote Lines'!$M$3:$M$805,"Y"))</f>
        <v>2</v>
      </c>
      <c r="Z183" s="81" t="n">
        <f aca="false">IF(COUNTIFS('Quote Lines'!$P$3:$P$805,$A183&amp;"|"&amp;J$6&amp;"|1",'Quote Lines'!$M$3:$M$805,"Y")=0,"",SUMIFS('Quote Lines'!$L$3:$L$805,'Quote Lines'!$P$3:$P$805,$A183&amp;"|"&amp;J$6&amp;"|1",'Quote Lines'!$M$3:$M$805,"Y"))</f>
        <v>2</v>
      </c>
      <c r="AA183" s="82" t="str">
        <f aca="false">IF(ISNUMBER(G183),1+SUMPRODUCT(ISNUMBER($G183:$J183)*($G183:$J183&lt;G183)),"")</f>
        <v/>
      </c>
      <c r="AB183" s="82" t="str">
        <f aca="false">IF(ISNUMBER(H183),1+SUMPRODUCT(ISNUMBER($G183:$J183)*($G183:$J183&lt;H183)),"")</f>
        <v/>
      </c>
      <c r="AC183" s="82" t="n">
        <f aca="false">IF(ISNUMBER(I183),1+SUMPRODUCT(ISNUMBER($G183:$J183)*($G183:$J183&lt;I183)),"")</f>
        <v>1</v>
      </c>
      <c r="AD183" s="82" t="n">
        <f aca="false">IF(ISNUMBER(J183),1+SUMPRODUCT(ISNUMBER($G183:$J183)*($G183:$J183&lt;J183)),"")</f>
        <v>2</v>
      </c>
      <c r="AE183" s="82" t="n">
        <f aca="false">IF(NOT(ISNUMBER(G183)),0,IF($S183&lt;2,5,IF(AA183=1,1,IF(G183=MAX($G183:$J183),4,IF(AA183=2,2,3)))))</f>
        <v>0</v>
      </c>
      <c r="AF183" s="82" t="n">
        <f aca="false">IF(NOT(ISNUMBER(H183)),0,IF($S183&lt;2,5,IF(AB183=1,1,IF(H183=MAX($G183:$J183),4,IF(AB183=2,2,3)))))</f>
        <v>0</v>
      </c>
      <c r="AG183" s="82" t="n">
        <f aca="false">IF(NOT(ISNUMBER(I183)),0,IF($S183&lt;2,5,IF(AC183=1,1,IF(I183=MAX($G183:$J183),4,IF(AC183=2,2,3)))))</f>
        <v>1</v>
      </c>
      <c r="AH183" s="82" t="n">
        <f aca="false">IF(NOT(ISNUMBER(J183)),0,IF($S183&lt;2,5,IF(AD183=1,1,IF(J183=MAX($G183:$J183),4,IF(AD183=2,2,3)))))</f>
        <v>4</v>
      </c>
      <c r="AI183" s="83" t="n">
        <f aca="false">IF($S183&gt;=2,IF(ISNUMBER(G183),G183*$F183,MIN($G183:$J183)*$F183),0)</f>
        <v>140.49</v>
      </c>
      <c r="AJ183" s="83" t="n">
        <f aca="false">IF($S183&gt;=2,IF(ISNUMBER(H183),H183*$F183,MIN($G183:$J183)*$F183),0)</f>
        <v>140.49</v>
      </c>
      <c r="AK183" s="83" t="n">
        <f aca="false">IF($S183&gt;=2,IF(ISNUMBER(I183),I183*$F183,MIN($G183:$J183)*$F183),0)</f>
        <v>140.49</v>
      </c>
      <c r="AL183" s="83" t="n">
        <f aca="false">IF($S183&gt;=2,IF(ISNUMBER(J183),J183*$F183,MIN($G183:$J183)*$F183),0)</f>
        <v>184.8</v>
      </c>
      <c r="AM183" s="84" t="n">
        <f aca="false">IF($S183&gt;=2,$R183+ROW()/1000000,"")</f>
        <v>44.310183</v>
      </c>
      <c r="AN183" s="83" t="n">
        <f aca="false">IF($S183&gt;=2,MAX(G183:J183),"")</f>
        <v>92.4</v>
      </c>
      <c r="AO183" s="82" t="str">
        <f aca="false">IF($S183&gt;=2,INDEX($G$6:$J$6,MATCH(MAX(G183:J183),G183:J183,0)),"")</f>
        <v>Scholzen</v>
      </c>
      <c r="AP183" s="83" t="n">
        <f aca="false">IF($S183&gt;=2,MIN(G183:J183)*$F183,0)</f>
        <v>140.49</v>
      </c>
      <c r="AQ183" s="82" t="str">
        <f aca="false">IF($S183&gt;=2,INDEX($G$6:$J$6,MATCH(MIN(G183:J183),G183:J183,0)),"")</f>
        <v>Mountainland</v>
      </c>
    </row>
    <row r="184" customFormat="false" ht="15" hidden="false" customHeight="true" outlineLevel="0" collapsed="false">
      <c r="A184" s="70" t="s">
        <v>530</v>
      </c>
      <c r="B184" s="71" t="s">
        <v>523</v>
      </c>
      <c r="C184" s="72" t="s">
        <v>308</v>
      </c>
      <c r="D184" s="73" t="s">
        <v>318</v>
      </c>
      <c r="E184" s="74" t="s">
        <v>310</v>
      </c>
      <c r="F184" s="75" t="n">
        <v>4</v>
      </c>
      <c r="G184" s="76" t="n">
        <f aca="false">IF(COUNTIF('Quote Lines'!$P$3:$P$805,$A184&amp;"|"&amp;G$6&amp;"|1")=0,"—",SUMIFS('Quote Lines'!$O$3:$O$805,'Quote Lines'!$P$3:$P$805,$A184&amp;"|"&amp;G$6&amp;"|1")/SUMIFS('Quote Lines'!$L$3:$L$805,'Quote Lines'!$P$3:$P$805,$A184&amp;"|"&amp;G$6&amp;"|1")+IFERROR(SUMIFS('Quote Lines'!$O$3:$O$805,'Quote Lines'!$P$3:$P$805,$A184&amp;"|"&amp;G$6&amp;"|2")/SUMIFS('Quote Lines'!$L$3:$L$805,'Quote Lines'!$P$3:$P$805,$A184&amp;"|"&amp;G$6&amp;"|2"),0))</f>
        <v>39.21</v>
      </c>
      <c r="H184" s="76" t="n">
        <f aca="false">IF(COUNTIF('Quote Lines'!$P$3:$P$805,$A184&amp;"|"&amp;H$6&amp;"|1")=0,"—",SUMIFS('Quote Lines'!$O$3:$O$805,'Quote Lines'!$P$3:$P$805,$A184&amp;"|"&amp;H$6&amp;"|1")/SUMIFS('Quote Lines'!$L$3:$L$805,'Quote Lines'!$P$3:$P$805,$A184&amp;"|"&amp;H$6&amp;"|1")+IFERROR(SUMIFS('Quote Lines'!$O$3:$O$805,'Quote Lines'!$P$3:$P$805,$A184&amp;"|"&amp;H$6&amp;"|2")/SUMIFS('Quote Lines'!$L$3:$L$805,'Quote Lines'!$P$3:$P$805,$A184&amp;"|"&amp;H$6&amp;"|2"),0))</f>
        <v>31.43</v>
      </c>
      <c r="I184" s="76" t="n">
        <f aca="false">IF(COUNTIF('Quote Lines'!$P$3:$P$805,$A184&amp;"|"&amp;I$6&amp;"|1")=0,"—",SUMIFS('Quote Lines'!$O$3:$O$805,'Quote Lines'!$P$3:$P$805,$A184&amp;"|"&amp;I$6&amp;"|1")/SUMIFS('Quote Lines'!$L$3:$L$805,'Quote Lines'!$P$3:$P$805,$A184&amp;"|"&amp;I$6&amp;"|1"))</f>
        <v>15.3125</v>
      </c>
      <c r="J184" s="85" t="s">
        <v>138</v>
      </c>
      <c r="K184" s="14" t="n">
        <f aca="false">IF(ISNUMBER(G184),G184*$F184,"—")</f>
        <v>156.84</v>
      </c>
      <c r="L184" s="14" t="n">
        <f aca="false">IF(ISNUMBER(H184),H184*$F184,"—")</f>
        <v>125.72</v>
      </c>
      <c r="M184" s="14" t="n">
        <f aca="false">IF(ISNUMBER(I184),I184*$F184,"—")</f>
        <v>61.25</v>
      </c>
      <c r="N184" s="14" t="str">
        <f aca="false">IF(ISNUMBER(J184),J184*$F184,"—")</f>
        <v>—</v>
      </c>
      <c r="O184" s="77" t="n">
        <f aca="false">IF($S184=0,"—",MIN(G184:J184))</f>
        <v>15.3125</v>
      </c>
      <c r="P184" s="42" t="str">
        <f aca="false">IF($S184=0,"—",IF(COUNTIF(G184:J184,O184)&gt;1,"Tie",INDEX($G$6:$J$6,MATCH(O184,G184:J184,0))))</f>
        <v>Mountainland</v>
      </c>
      <c r="Q184" s="48" t="n">
        <f aca="false">IF($S184&gt;=2,MAX(G184:J184)/MIN(G184:J184)-1,"—")</f>
        <v>1.56065306122449</v>
      </c>
      <c r="R184" s="78" t="n">
        <f aca="false">IF($S184&gt;=2,(MAX(G184:J184)-MIN(G184:J184))*$F184,"—")</f>
        <v>95.59</v>
      </c>
      <c r="S184" s="18" t="n">
        <f aca="false">COUNT(G184:J184)</f>
        <v>3</v>
      </c>
      <c r="T184" s="79" t="str">
        <f aca="false">IF($S184&lt;=1,IF($S184=1,"Single quote","—"),"Alt spec – verify")</f>
        <v>Alt spec – verify</v>
      </c>
      <c r="U184" s="79" t="str">
        <f aca="false">IF(COUNT(W184:Z184)&lt;2,"",IF(MAX(W184:Z184)=MIN(W184:Z184),"OK","Qty differs"))</f>
        <v>OK</v>
      </c>
      <c r="V184" s="80" t="s">
        <v>531</v>
      </c>
      <c r="W184" s="81" t="n">
        <f aca="false">IF(COUNTIFS('Quote Lines'!$P$3:$P$805,$A184&amp;"|"&amp;G$6&amp;"|1",'Quote Lines'!$M$3:$M$805,"Y")=0,"",SUMIFS('Quote Lines'!$L$3:$L$805,'Quote Lines'!$P$3:$P$805,$A184&amp;"|"&amp;G$6&amp;"|1",'Quote Lines'!$M$3:$M$805,"Y"))</f>
        <v>4</v>
      </c>
      <c r="X184" s="81" t="n">
        <f aca="false">IF(COUNTIFS('Quote Lines'!$P$3:$P$805,$A184&amp;"|"&amp;H$6&amp;"|1",'Quote Lines'!$M$3:$M$805,"Y")=0,"",SUMIFS('Quote Lines'!$L$3:$L$805,'Quote Lines'!$P$3:$P$805,$A184&amp;"|"&amp;H$6&amp;"|1",'Quote Lines'!$M$3:$M$805,"Y"))</f>
        <v>4</v>
      </c>
      <c r="Y184" s="81" t="n">
        <f aca="false">IF(COUNTIFS('Quote Lines'!$P$3:$P$805,$A184&amp;"|"&amp;I$6&amp;"|1",'Quote Lines'!$M$3:$M$805,"Y")=0,"",SUMIFS('Quote Lines'!$L$3:$L$805,'Quote Lines'!$P$3:$P$805,$A184&amp;"|"&amp;I$6&amp;"|1",'Quote Lines'!$M$3:$M$805,"Y"))</f>
        <v>4</v>
      </c>
      <c r="Z184" s="81"/>
      <c r="AA184" s="82" t="n">
        <f aca="false">IF(ISNUMBER(G184),1+SUMPRODUCT(ISNUMBER($G184:$J184)*($G184:$J184&lt;G184)),"")</f>
        <v>3</v>
      </c>
      <c r="AB184" s="82" t="n">
        <f aca="false">IF(ISNUMBER(H184),1+SUMPRODUCT(ISNUMBER($G184:$J184)*($G184:$J184&lt;H184)),"")</f>
        <v>2</v>
      </c>
      <c r="AC184" s="82" t="n">
        <f aca="false">IF(ISNUMBER(I184),1+SUMPRODUCT(ISNUMBER($G184:$J184)*($G184:$J184&lt;I184)),"")</f>
        <v>1</v>
      </c>
      <c r="AD184" s="82" t="str">
        <f aca="false">IF(ISNUMBER(J184),1+SUMPRODUCT(ISNUMBER($G184:$J184)*($G184:$J184&lt;J184)),"")</f>
        <v/>
      </c>
      <c r="AE184" s="82" t="n">
        <f aca="false">IF(NOT(ISNUMBER(G184)),0,IF($S184&lt;2,5,IF(AA184=1,1,IF(G184=MAX($G184:$J184),4,IF(AA184=2,2,3)))))</f>
        <v>4</v>
      </c>
      <c r="AF184" s="82" t="n">
        <f aca="false">IF(NOT(ISNUMBER(H184)),0,IF($S184&lt;2,5,IF(AB184=1,1,IF(H184=MAX($G184:$J184),4,IF(AB184=2,2,3)))))</f>
        <v>2</v>
      </c>
      <c r="AG184" s="82" t="n">
        <f aca="false">IF(NOT(ISNUMBER(I184)),0,IF($S184&lt;2,5,IF(AC184=1,1,IF(I184=MAX($G184:$J184),4,IF(AC184=2,2,3)))))</f>
        <v>1</v>
      </c>
      <c r="AH184" s="82" t="n">
        <f aca="false">IF(NOT(ISNUMBER(J184)),0,IF($S184&lt;2,5,IF(AD184=1,1,IF(J184=MAX($G184:$J184),4,IF(AD184=2,2,3)))))</f>
        <v>0</v>
      </c>
      <c r="AI184" s="83" t="n">
        <f aca="false">IF($S184&gt;=2,IF(ISNUMBER(G184),G184*$F184,MIN($G184:$J184)*$F184),0)</f>
        <v>156.84</v>
      </c>
      <c r="AJ184" s="83" t="n">
        <f aca="false">IF($S184&gt;=2,IF(ISNUMBER(H184),H184*$F184,MIN($G184:$J184)*$F184),0)</f>
        <v>125.72</v>
      </c>
      <c r="AK184" s="83" t="n">
        <f aca="false">IF($S184&gt;=2,IF(ISNUMBER(I184),I184*$F184,MIN($G184:$J184)*$F184),0)</f>
        <v>61.25</v>
      </c>
      <c r="AL184" s="83" t="n">
        <f aca="false">IF($S184&gt;=2,IF(ISNUMBER(J184),J184*$F184,MIN($G184:$J184)*$F184),0)</f>
        <v>61.25</v>
      </c>
      <c r="AM184" s="84" t="n">
        <f aca="false">IF($S184&gt;=2,$R184+ROW()/1000000,"")</f>
        <v>95.590184</v>
      </c>
      <c r="AN184" s="83" t="n">
        <f aca="false">IF($S184&gt;=2,MAX(G184:J184),"")</f>
        <v>39.21</v>
      </c>
      <c r="AO184" s="82" t="str">
        <f aca="false">IF($S184&gt;=2,INDEX($G$6:$J$6,MATCH(MAX(G184:J184),G184:J184,0)),"")</f>
        <v>Ferguson</v>
      </c>
      <c r="AP184" s="83" t="n">
        <f aca="false">IF($S184&gt;=2,MIN(G184:J184)*$F184,0)</f>
        <v>61.25</v>
      </c>
      <c r="AQ184" s="82" t="str">
        <f aca="false">IF($S184&gt;=2,INDEX($G$6:$J$6,MATCH(MIN(G184:J184),G184:J184,0)),"")</f>
        <v>Mountainland</v>
      </c>
    </row>
    <row r="185" customFormat="false" ht="15" hidden="false" customHeight="true" outlineLevel="0" collapsed="false">
      <c r="A185" s="70" t="s">
        <v>532</v>
      </c>
      <c r="B185" s="71" t="s">
        <v>523</v>
      </c>
      <c r="C185" s="72" t="s">
        <v>131</v>
      </c>
      <c r="D185" s="73" t="s">
        <v>533</v>
      </c>
      <c r="E185" s="74" t="s">
        <v>133</v>
      </c>
      <c r="F185" s="75" t="n">
        <v>2</v>
      </c>
      <c r="G185" s="85" t="s">
        <v>138</v>
      </c>
      <c r="H185" s="85" t="s">
        <v>138</v>
      </c>
      <c r="I185" s="76" t="n">
        <f aca="false">IF(COUNTIF('Quote Lines'!$P$3:$P$805,$A185&amp;"|"&amp;I$6&amp;"|1")=0,"—",SUMIFS('Quote Lines'!$O$3:$O$805,'Quote Lines'!$P$3:$P$805,$A185&amp;"|"&amp;I$6&amp;"|1")/SUMIFS('Quote Lines'!$L$3:$L$805,'Quote Lines'!$P$3:$P$805,$A185&amp;"|"&amp;I$6&amp;"|1"))</f>
        <v>141.95</v>
      </c>
      <c r="J185" s="76" t="n">
        <f aca="false">IF(COUNTIF('Quote Lines'!$P$3:$P$805,$A185&amp;"|"&amp;J$6&amp;"|1")=0,"—",SUMIFS('Quote Lines'!$O$3:$O$805,'Quote Lines'!$P$3:$P$805,$A185&amp;"|"&amp;J$6&amp;"|1")/SUMIFS('Quote Lines'!$L$3:$L$805,'Quote Lines'!$P$3:$P$805,$A185&amp;"|"&amp;J$6&amp;"|1"))</f>
        <v>145.5</v>
      </c>
      <c r="K185" s="14" t="str">
        <f aca="false">IF(ISNUMBER(G185),G185*$F185,"—")</f>
        <v>—</v>
      </c>
      <c r="L185" s="14" t="str">
        <f aca="false">IF(ISNUMBER(H185),H185*$F185,"—")</f>
        <v>—</v>
      </c>
      <c r="M185" s="14" t="n">
        <f aca="false">IF(ISNUMBER(I185),I185*$F185,"—")</f>
        <v>283.9</v>
      </c>
      <c r="N185" s="14" t="n">
        <f aca="false">IF(ISNUMBER(J185),J185*$F185,"—")</f>
        <v>291</v>
      </c>
      <c r="O185" s="77" t="n">
        <f aca="false">IF($S185=0,"—",MIN(G185:J185))</f>
        <v>141.95</v>
      </c>
      <c r="P185" s="42" t="str">
        <f aca="false">IF($S185=0,"—",IF(COUNTIF(G185:J185,O185)&gt;1,"Tie",INDEX($G$6:$J$6,MATCH(O185,G185:J185,0))))</f>
        <v>Mountainland</v>
      </c>
      <c r="Q185" s="48" t="n">
        <f aca="false">IF($S185&gt;=2,MAX(G185:J185)/MIN(G185:J185)-1,"—")</f>
        <v>0.0250088059175766</v>
      </c>
      <c r="R185" s="78" t="n">
        <f aca="false">IF($S185&gt;=2,(MAX(G185:J185)-MIN(G185:J185))*$F185,"—")</f>
        <v>7.10000000000002</v>
      </c>
      <c r="S185" s="18" t="n">
        <f aca="false">COUNT(G185:J185)</f>
        <v>2</v>
      </c>
      <c r="T185" s="79" t="str">
        <f aca="false">IF($S185&lt;=1,IF($S185=1,"Single quote","—"),"Like-for-like")</f>
        <v>Like-for-like</v>
      </c>
      <c r="U185" s="79" t="str">
        <f aca="false">IF(COUNT(W185:Z185)&lt;2,"",IF(MAX(W185:Z185)=MIN(W185:Z185),"OK","Qty differs"))</f>
        <v>OK</v>
      </c>
      <c r="V185" s="80"/>
      <c r="W185" s="81"/>
      <c r="X185" s="81"/>
      <c r="Y185" s="81" t="n">
        <f aca="false">IF(COUNTIFS('Quote Lines'!$P$3:$P$805,$A185&amp;"|"&amp;I$6&amp;"|1",'Quote Lines'!$M$3:$M$805,"Y")=0,"",SUMIFS('Quote Lines'!$L$3:$L$805,'Quote Lines'!$P$3:$P$805,$A185&amp;"|"&amp;I$6&amp;"|1",'Quote Lines'!$M$3:$M$805,"Y"))</f>
        <v>2</v>
      </c>
      <c r="Z185" s="81" t="n">
        <f aca="false">IF(COUNTIFS('Quote Lines'!$P$3:$P$805,$A185&amp;"|"&amp;J$6&amp;"|1",'Quote Lines'!$M$3:$M$805,"Y")=0,"",SUMIFS('Quote Lines'!$L$3:$L$805,'Quote Lines'!$P$3:$P$805,$A185&amp;"|"&amp;J$6&amp;"|1",'Quote Lines'!$M$3:$M$805,"Y"))</f>
        <v>2</v>
      </c>
      <c r="AA185" s="82" t="str">
        <f aca="false">IF(ISNUMBER(G185),1+SUMPRODUCT(ISNUMBER($G185:$J185)*($G185:$J185&lt;G185)),"")</f>
        <v/>
      </c>
      <c r="AB185" s="82" t="str">
        <f aca="false">IF(ISNUMBER(H185),1+SUMPRODUCT(ISNUMBER($G185:$J185)*($G185:$J185&lt;H185)),"")</f>
        <v/>
      </c>
      <c r="AC185" s="82" t="n">
        <f aca="false">IF(ISNUMBER(I185),1+SUMPRODUCT(ISNUMBER($G185:$J185)*($G185:$J185&lt;I185)),"")</f>
        <v>1</v>
      </c>
      <c r="AD185" s="82" t="n">
        <f aca="false">IF(ISNUMBER(J185),1+SUMPRODUCT(ISNUMBER($G185:$J185)*($G185:$J185&lt;J185)),"")</f>
        <v>2</v>
      </c>
      <c r="AE185" s="82" t="n">
        <f aca="false">IF(NOT(ISNUMBER(G185)),0,IF($S185&lt;2,5,IF(AA185=1,1,IF(G185=MAX($G185:$J185),4,IF(AA185=2,2,3)))))</f>
        <v>0</v>
      </c>
      <c r="AF185" s="82" t="n">
        <f aca="false">IF(NOT(ISNUMBER(H185)),0,IF($S185&lt;2,5,IF(AB185=1,1,IF(H185=MAX($G185:$J185),4,IF(AB185=2,2,3)))))</f>
        <v>0</v>
      </c>
      <c r="AG185" s="82" t="n">
        <f aca="false">IF(NOT(ISNUMBER(I185)),0,IF($S185&lt;2,5,IF(AC185=1,1,IF(I185=MAX($G185:$J185),4,IF(AC185=2,2,3)))))</f>
        <v>1</v>
      </c>
      <c r="AH185" s="82" t="n">
        <f aca="false">IF(NOT(ISNUMBER(J185)),0,IF($S185&lt;2,5,IF(AD185=1,1,IF(J185=MAX($G185:$J185),4,IF(AD185=2,2,3)))))</f>
        <v>4</v>
      </c>
      <c r="AI185" s="83" t="n">
        <f aca="false">IF($S185&gt;=2,IF(ISNUMBER(G185),G185*$F185,MIN($G185:$J185)*$F185),0)</f>
        <v>283.9</v>
      </c>
      <c r="AJ185" s="83" t="n">
        <f aca="false">IF($S185&gt;=2,IF(ISNUMBER(H185),H185*$F185,MIN($G185:$J185)*$F185),0)</f>
        <v>283.9</v>
      </c>
      <c r="AK185" s="83" t="n">
        <f aca="false">IF($S185&gt;=2,IF(ISNUMBER(I185),I185*$F185,MIN($G185:$J185)*$F185),0)</f>
        <v>283.9</v>
      </c>
      <c r="AL185" s="83" t="n">
        <f aca="false">IF($S185&gt;=2,IF(ISNUMBER(J185),J185*$F185,MIN($G185:$J185)*$F185),0)</f>
        <v>291</v>
      </c>
      <c r="AM185" s="84" t="n">
        <f aca="false">IF($S185&gt;=2,$R185+ROW()/1000000,"")</f>
        <v>7.10018500000002</v>
      </c>
      <c r="AN185" s="83" t="n">
        <f aca="false">IF($S185&gt;=2,MAX(G185:J185),"")</f>
        <v>145.5</v>
      </c>
      <c r="AO185" s="82" t="str">
        <f aca="false">IF($S185&gt;=2,INDEX($G$6:$J$6,MATCH(MAX(G185:J185),G185:J185,0)),"")</f>
        <v>Scholzen</v>
      </c>
      <c r="AP185" s="83" t="n">
        <f aca="false">IF($S185&gt;=2,MIN(G185:J185)*$F185,0)</f>
        <v>283.9</v>
      </c>
      <c r="AQ185" s="82" t="str">
        <f aca="false">IF($S185&gt;=2,INDEX($G$6:$J$6,MATCH(MIN(G185:J185),G185:J185,0)),"")</f>
        <v>Mountainland</v>
      </c>
    </row>
    <row r="186" customFormat="false" ht="15" hidden="false" customHeight="true" outlineLevel="0" collapsed="false">
      <c r="A186" s="70" t="s">
        <v>534</v>
      </c>
      <c r="B186" s="71" t="s">
        <v>523</v>
      </c>
      <c r="C186" s="72" t="s">
        <v>131</v>
      </c>
      <c r="D186" s="73" t="s">
        <v>535</v>
      </c>
      <c r="E186" s="74" t="s">
        <v>133</v>
      </c>
      <c r="F186" s="75" t="n">
        <v>2</v>
      </c>
      <c r="G186" s="85" t="s">
        <v>138</v>
      </c>
      <c r="H186" s="85" t="s">
        <v>138</v>
      </c>
      <c r="I186" s="76" t="n">
        <f aca="false">IF(COUNTIF('Quote Lines'!$P$3:$P$805,$A186&amp;"|"&amp;I$6&amp;"|1")=0,"—",SUMIFS('Quote Lines'!$O$3:$O$805,'Quote Lines'!$P$3:$P$805,$A186&amp;"|"&amp;I$6&amp;"|1")/SUMIFS('Quote Lines'!$L$3:$L$805,'Quote Lines'!$P$3:$P$805,$A186&amp;"|"&amp;I$6&amp;"|1"))</f>
        <v>36.49</v>
      </c>
      <c r="J186" s="85" t="s">
        <v>138</v>
      </c>
      <c r="K186" s="14" t="str">
        <f aca="false">IF(ISNUMBER(G186),G186*$F186,"—")</f>
        <v>—</v>
      </c>
      <c r="L186" s="14" t="str">
        <f aca="false">IF(ISNUMBER(H186),H186*$F186,"—")</f>
        <v>—</v>
      </c>
      <c r="M186" s="14" t="n">
        <f aca="false">IF(ISNUMBER(I186),I186*$F186,"—")</f>
        <v>72.98</v>
      </c>
      <c r="N186" s="14" t="str">
        <f aca="false">IF(ISNUMBER(J186),J186*$F186,"—")</f>
        <v>—</v>
      </c>
      <c r="O186" s="77" t="n">
        <f aca="false">IF($S186=0,"—",MIN(G186:J186))</f>
        <v>36.49</v>
      </c>
      <c r="P186" s="42" t="str">
        <f aca="false">IF($S186=0,"—",IF(COUNTIF(G186:J186,O186)&gt;1,"Tie",INDEX($G$6:$J$6,MATCH(O186,G186:J186,0))))</f>
        <v>Mountainland</v>
      </c>
      <c r="Q186" s="48" t="str">
        <f aca="false">IF($S186&gt;=2,MAX(G186:J186)/MIN(G186:J186)-1,"—")</f>
        <v>—</v>
      </c>
      <c r="R186" s="78" t="str">
        <f aca="false">IF($S186&gt;=2,(MAX(G186:J186)-MIN(G186:J186))*$F186,"—")</f>
        <v>—</v>
      </c>
      <c r="S186" s="18" t="n">
        <f aca="false">COUNT(G186:J186)</f>
        <v>1</v>
      </c>
      <c r="T186" s="79" t="str">
        <f aca="false">IF($S186&lt;=1,IF($S186=1,"Single quote","—"),"Like-for-like")</f>
        <v>Single quote</v>
      </c>
      <c r="U186" s="79" t="str">
        <f aca="false">IF(COUNT(W186:Z186)&lt;2,"",IF(MAX(W186:Z186)=MIN(W186:Z186),"OK","Qty differs"))</f>
        <v/>
      </c>
      <c r="V186" s="80"/>
      <c r="W186" s="81"/>
      <c r="X186" s="81"/>
      <c r="Y186" s="81" t="n">
        <f aca="false">IF(COUNTIFS('Quote Lines'!$P$3:$P$805,$A186&amp;"|"&amp;I$6&amp;"|1",'Quote Lines'!$M$3:$M$805,"Y")=0,"",SUMIFS('Quote Lines'!$L$3:$L$805,'Quote Lines'!$P$3:$P$805,$A186&amp;"|"&amp;I$6&amp;"|1",'Quote Lines'!$M$3:$M$805,"Y"))</f>
        <v>2</v>
      </c>
      <c r="Z186" s="81"/>
      <c r="AA186" s="82" t="str">
        <f aca="false">IF(ISNUMBER(G186),1+SUMPRODUCT(ISNUMBER($G186:$J186)*($G186:$J186&lt;G186)),"")</f>
        <v/>
      </c>
      <c r="AB186" s="82" t="str">
        <f aca="false">IF(ISNUMBER(H186),1+SUMPRODUCT(ISNUMBER($G186:$J186)*($G186:$J186&lt;H186)),"")</f>
        <v/>
      </c>
      <c r="AC186" s="82" t="n">
        <f aca="false">IF(ISNUMBER(I186),1+SUMPRODUCT(ISNUMBER($G186:$J186)*($G186:$J186&lt;I186)),"")</f>
        <v>1</v>
      </c>
      <c r="AD186" s="82" t="str">
        <f aca="false">IF(ISNUMBER(J186),1+SUMPRODUCT(ISNUMBER($G186:$J186)*($G186:$J186&lt;J186)),"")</f>
        <v/>
      </c>
      <c r="AE186" s="82" t="n">
        <f aca="false">IF(NOT(ISNUMBER(G186)),0,IF($S186&lt;2,5,IF(AA186=1,1,IF(G186=MAX($G186:$J186),4,IF(AA186=2,2,3)))))</f>
        <v>0</v>
      </c>
      <c r="AF186" s="82" t="n">
        <f aca="false">IF(NOT(ISNUMBER(H186)),0,IF($S186&lt;2,5,IF(AB186=1,1,IF(H186=MAX($G186:$J186),4,IF(AB186=2,2,3)))))</f>
        <v>0</v>
      </c>
      <c r="AG186" s="82" t="n">
        <f aca="false">IF(NOT(ISNUMBER(I186)),0,IF($S186&lt;2,5,IF(AC186=1,1,IF(I186=MAX($G186:$J186),4,IF(AC186=2,2,3)))))</f>
        <v>5</v>
      </c>
      <c r="AH186" s="82" t="n">
        <f aca="false">IF(NOT(ISNUMBER(J186)),0,IF($S186&lt;2,5,IF(AD186=1,1,IF(J186=MAX($G186:$J186),4,IF(AD186=2,2,3)))))</f>
        <v>0</v>
      </c>
      <c r="AI186" s="83" t="n">
        <f aca="false">IF($S186&gt;=2,IF(ISNUMBER(G186),G186*$F186,MIN($G186:$J186)*$F186),0)</f>
        <v>0</v>
      </c>
      <c r="AJ186" s="83" t="n">
        <f aca="false">IF($S186&gt;=2,IF(ISNUMBER(H186),H186*$F186,MIN($G186:$J186)*$F186),0)</f>
        <v>0</v>
      </c>
      <c r="AK186" s="83" t="n">
        <f aca="false">IF($S186&gt;=2,IF(ISNUMBER(I186),I186*$F186,MIN($G186:$J186)*$F186),0)</f>
        <v>0</v>
      </c>
      <c r="AL186" s="83" t="n">
        <f aca="false">IF($S186&gt;=2,IF(ISNUMBER(J186),J186*$F186,MIN($G186:$J186)*$F186),0)</f>
        <v>0</v>
      </c>
      <c r="AM186" s="84" t="str">
        <f aca="false">IF($S186&gt;=2,$R186+ROW()/1000000,"")</f>
        <v/>
      </c>
      <c r="AN186" s="83" t="str">
        <f aca="false">IF($S186&gt;=2,MAX(G186:J186),"")</f>
        <v/>
      </c>
      <c r="AO186" s="82" t="str">
        <f aca="false">IF($S186&gt;=2,INDEX($G$6:$J$6,MATCH(MAX(G186:J186),G186:J186,0)),"")</f>
        <v/>
      </c>
      <c r="AP186" s="83" t="n">
        <f aca="false">IF($S186&gt;=2,MIN(G186:J186)*$F186,0)</f>
        <v>0</v>
      </c>
      <c r="AQ186" s="82" t="str">
        <f aca="false">IF($S186&gt;=2,INDEX($G$6:$J$6,MATCH(MIN(G186:J186),G186:J186,0)),"")</f>
        <v/>
      </c>
    </row>
    <row r="187" customFormat="false" ht="15" hidden="false" customHeight="true" outlineLevel="0" collapsed="false">
      <c r="A187" s="70" t="s">
        <v>536</v>
      </c>
      <c r="B187" s="71" t="s">
        <v>523</v>
      </c>
      <c r="C187" s="72" t="s">
        <v>294</v>
      </c>
      <c r="D187" s="73" t="s">
        <v>537</v>
      </c>
      <c r="E187" s="74" t="s">
        <v>133</v>
      </c>
      <c r="F187" s="75" t="n">
        <v>8</v>
      </c>
      <c r="G187" s="85" t="s">
        <v>138</v>
      </c>
      <c r="H187" s="85" t="s">
        <v>138</v>
      </c>
      <c r="I187" s="76" t="n">
        <f aca="false">IF(COUNTIF('Quote Lines'!$P$3:$P$805,$A187&amp;"|"&amp;I$6&amp;"|1")=0,"—",SUMIFS('Quote Lines'!$O$3:$O$805,'Quote Lines'!$P$3:$P$805,$A187&amp;"|"&amp;I$6&amp;"|1")/SUMIFS('Quote Lines'!$L$3:$L$805,'Quote Lines'!$P$3:$P$805,$A187&amp;"|"&amp;I$6&amp;"|1"))</f>
        <v>89.01125</v>
      </c>
      <c r="J187" s="85" t="s">
        <v>138</v>
      </c>
      <c r="K187" s="14" t="str">
        <f aca="false">IF(ISNUMBER(G187),G187*$F187,"—")</f>
        <v>—</v>
      </c>
      <c r="L187" s="14" t="str">
        <f aca="false">IF(ISNUMBER(H187),H187*$F187,"—")</f>
        <v>—</v>
      </c>
      <c r="M187" s="14" t="n">
        <f aca="false">IF(ISNUMBER(I187),I187*$F187,"—")</f>
        <v>712.09</v>
      </c>
      <c r="N187" s="14" t="str">
        <f aca="false">IF(ISNUMBER(J187),J187*$F187,"—")</f>
        <v>—</v>
      </c>
      <c r="O187" s="77" t="n">
        <f aca="false">IF($S187=0,"—",MIN(G187:J187))</f>
        <v>89.01125</v>
      </c>
      <c r="P187" s="42" t="str">
        <f aca="false">IF($S187=0,"—",IF(COUNTIF(G187:J187,O187)&gt;1,"Tie",INDEX($G$6:$J$6,MATCH(O187,G187:J187,0))))</f>
        <v>Mountainland</v>
      </c>
      <c r="Q187" s="48" t="str">
        <f aca="false">IF($S187&gt;=2,MAX(G187:J187)/MIN(G187:J187)-1,"—")</f>
        <v>—</v>
      </c>
      <c r="R187" s="78" t="str">
        <f aca="false">IF($S187&gt;=2,(MAX(G187:J187)-MIN(G187:J187))*$F187,"—")</f>
        <v>—</v>
      </c>
      <c r="S187" s="18" t="n">
        <f aca="false">COUNT(G187:J187)</f>
        <v>1</v>
      </c>
      <c r="T187" s="79" t="str">
        <f aca="false">IF($S187&lt;=1,IF($S187=1,"Single quote","—"),"Like-for-like")</f>
        <v>Single quote</v>
      </c>
      <c r="U187" s="79" t="str">
        <f aca="false">IF(COUNT(W187:Z187)&lt;2,"",IF(MAX(W187:Z187)=MIN(W187:Z187),"OK","Qty differs"))</f>
        <v/>
      </c>
      <c r="V187" s="80"/>
      <c r="W187" s="81"/>
      <c r="X187" s="81"/>
      <c r="Y187" s="81" t="n">
        <f aca="false">IF(COUNTIFS('Quote Lines'!$P$3:$P$805,$A187&amp;"|"&amp;I$6&amp;"|1",'Quote Lines'!$M$3:$M$805,"Y")=0,"",SUMIFS('Quote Lines'!$L$3:$L$805,'Quote Lines'!$P$3:$P$805,$A187&amp;"|"&amp;I$6&amp;"|1",'Quote Lines'!$M$3:$M$805,"Y"))</f>
        <v>8</v>
      </c>
      <c r="Z187" s="81"/>
      <c r="AA187" s="82" t="str">
        <f aca="false">IF(ISNUMBER(G187),1+SUMPRODUCT(ISNUMBER($G187:$J187)*($G187:$J187&lt;G187)),"")</f>
        <v/>
      </c>
      <c r="AB187" s="82" t="str">
        <f aca="false">IF(ISNUMBER(H187),1+SUMPRODUCT(ISNUMBER($G187:$J187)*($G187:$J187&lt;H187)),"")</f>
        <v/>
      </c>
      <c r="AC187" s="82" t="n">
        <f aca="false">IF(ISNUMBER(I187),1+SUMPRODUCT(ISNUMBER($G187:$J187)*($G187:$J187&lt;I187)),"")</f>
        <v>1</v>
      </c>
      <c r="AD187" s="82" t="str">
        <f aca="false">IF(ISNUMBER(J187),1+SUMPRODUCT(ISNUMBER($G187:$J187)*($G187:$J187&lt;J187)),"")</f>
        <v/>
      </c>
      <c r="AE187" s="82" t="n">
        <f aca="false">IF(NOT(ISNUMBER(G187)),0,IF($S187&lt;2,5,IF(AA187=1,1,IF(G187=MAX($G187:$J187),4,IF(AA187=2,2,3)))))</f>
        <v>0</v>
      </c>
      <c r="AF187" s="82" t="n">
        <f aca="false">IF(NOT(ISNUMBER(H187)),0,IF($S187&lt;2,5,IF(AB187=1,1,IF(H187=MAX($G187:$J187),4,IF(AB187=2,2,3)))))</f>
        <v>0</v>
      </c>
      <c r="AG187" s="82" t="n">
        <f aca="false">IF(NOT(ISNUMBER(I187)),0,IF($S187&lt;2,5,IF(AC187=1,1,IF(I187=MAX($G187:$J187),4,IF(AC187=2,2,3)))))</f>
        <v>5</v>
      </c>
      <c r="AH187" s="82" t="n">
        <f aca="false">IF(NOT(ISNUMBER(J187)),0,IF($S187&lt;2,5,IF(AD187=1,1,IF(J187=MAX($G187:$J187),4,IF(AD187=2,2,3)))))</f>
        <v>0</v>
      </c>
      <c r="AI187" s="83" t="n">
        <f aca="false">IF($S187&gt;=2,IF(ISNUMBER(G187),G187*$F187,MIN($G187:$J187)*$F187),0)</f>
        <v>0</v>
      </c>
      <c r="AJ187" s="83" t="n">
        <f aca="false">IF($S187&gt;=2,IF(ISNUMBER(H187),H187*$F187,MIN($G187:$J187)*$F187),0)</f>
        <v>0</v>
      </c>
      <c r="AK187" s="83" t="n">
        <f aca="false">IF($S187&gt;=2,IF(ISNUMBER(I187),I187*$F187,MIN($G187:$J187)*$F187),0)</f>
        <v>0</v>
      </c>
      <c r="AL187" s="83" t="n">
        <f aca="false">IF($S187&gt;=2,IF(ISNUMBER(J187),J187*$F187,MIN($G187:$J187)*$F187),0)</f>
        <v>0</v>
      </c>
      <c r="AM187" s="84" t="str">
        <f aca="false">IF($S187&gt;=2,$R187+ROW()/1000000,"")</f>
        <v/>
      </c>
      <c r="AN187" s="83" t="str">
        <f aca="false">IF($S187&gt;=2,MAX(G187:J187),"")</f>
        <v/>
      </c>
      <c r="AO187" s="82" t="str">
        <f aca="false">IF($S187&gt;=2,INDEX($G$6:$J$6,MATCH(MAX(G187:J187),G187:J187,0)),"")</f>
        <v/>
      </c>
      <c r="AP187" s="83" t="n">
        <f aca="false">IF($S187&gt;=2,MIN(G187:J187)*$F187,0)</f>
        <v>0</v>
      </c>
      <c r="AQ187" s="82" t="str">
        <f aca="false">IF($S187&gt;=2,INDEX($G$6:$J$6,MATCH(MIN(G187:J187),G187:J187,0)),"")</f>
        <v/>
      </c>
    </row>
    <row r="188" customFormat="false" ht="19.5" hidden="false" customHeight="true" outlineLevel="0" collapsed="false">
      <c r="A188" s="69"/>
      <c r="B188" s="9" t="s">
        <v>538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customFormat="false" ht="15" hidden="false" customHeight="true" outlineLevel="0" collapsed="false">
      <c r="A189" s="70" t="s">
        <v>539</v>
      </c>
      <c r="B189" s="71" t="s">
        <v>540</v>
      </c>
      <c r="C189" s="72" t="s">
        <v>240</v>
      </c>
      <c r="D189" s="73" t="s">
        <v>253</v>
      </c>
      <c r="E189" s="74" t="s">
        <v>133</v>
      </c>
      <c r="F189" s="75" t="n">
        <v>16</v>
      </c>
      <c r="G189" s="76" t="n">
        <f aca="false">IF(COUNTIF('Quote Lines'!$P$3:$P$805,$A189&amp;"|"&amp;G$6&amp;"|1")=0,"—",SUMIFS('Quote Lines'!$O$3:$O$805,'Quote Lines'!$P$3:$P$805,$A189&amp;"|"&amp;G$6&amp;"|1")/SUMIFS('Quote Lines'!$L$3:$L$805,'Quote Lines'!$P$3:$P$805,$A189&amp;"|"&amp;G$6&amp;"|1"))</f>
        <v>3889.27</v>
      </c>
      <c r="H189" s="76" t="n">
        <f aca="false">IF(COUNTIF('Quote Lines'!$P$3:$P$805,$A189&amp;"|"&amp;H$6&amp;"|1")=0,"—",SUMIFS('Quote Lines'!$O$3:$O$805,'Quote Lines'!$P$3:$P$805,$A189&amp;"|"&amp;H$6&amp;"|1")/SUMIFS('Quote Lines'!$L$3:$L$805,'Quote Lines'!$P$3:$P$805,$A189&amp;"|"&amp;H$6&amp;"|1"))</f>
        <v>3181.88</v>
      </c>
      <c r="I189" s="76" t="n">
        <f aca="false">IF(COUNTIF('Quote Lines'!$P$3:$P$805,$A189&amp;"|"&amp;I$6&amp;"|1")=0,"—",SUMIFS('Quote Lines'!$O$3:$O$805,'Quote Lines'!$P$3:$P$805,$A189&amp;"|"&amp;I$6&amp;"|1")/SUMIFS('Quote Lines'!$L$3:$L$805,'Quote Lines'!$P$3:$P$805,$A189&amp;"|"&amp;I$6&amp;"|1"))</f>
        <v>3391.730625</v>
      </c>
      <c r="J189" s="76" t="n">
        <f aca="false">IF(COUNTIF('Quote Lines'!$P$3:$P$805,$A189&amp;"|"&amp;J$6&amp;"|1")=0,"—",SUMIFS('Quote Lines'!$O$3:$O$805,'Quote Lines'!$P$3:$P$805,$A189&amp;"|"&amp;J$6&amp;"|1")/SUMIFS('Quote Lines'!$L$3:$L$805,'Quote Lines'!$P$3:$P$805,$A189&amp;"|"&amp;J$6&amp;"|1"))</f>
        <v>3434.76</v>
      </c>
      <c r="K189" s="14" t="n">
        <f aca="false">IF(ISNUMBER(G189),G189*$F189,"—")</f>
        <v>62228.32</v>
      </c>
      <c r="L189" s="14" t="n">
        <f aca="false">IF(ISNUMBER(H189),H189*$F189,"—")</f>
        <v>50910.08</v>
      </c>
      <c r="M189" s="14" t="n">
        <f aca="false">IF(ISNUMBER(I189),I189*$F189,"—")</f>
        <v>54267.69</v>
      </c>
      <c r="N189" s="14" t="n">
        <f aca="false">IF(ISNUMBER(J189),J189*$F189,"—")</f>
        <v>54956.16</v>
      </c>
      <c r="O189" s="77" t="n">
        <f aca="false">IF($S189=0,"—",MIN(G189:J189))</f>
        <v>3181.88</v>
      </c>
      <c r="P189" s="42" t="str">
        <f aca="false">IF($S189=0,"—",IF(COUNTIF(G189:J189,O189)&gt;1,"Tie",INDEX($G$6:$J$6,MATCH(O189,G189:J189,0))))</f>
        <v>HD Fowler</v>
      </c>
      <c r="Q189" s="48" t="n">
        <f aca="false">IF($S189&gt;=2,MAX(G189:J189)/MIN(G189:J189)-1,"—")</f>
        <v>0.22231825210253</v>
      </c>
      <c r="R189" s="78" t="n">
        <f aca="false">IF($S189&gt;=2,(MAX(G189:J189)-MIN(G189:J189))*$F189,"—")</f>
        <v>11318.24</v>
      </c>
      <c r="S189" s="18" t="n">
        <f aca="false">COUNT(G189:J189)</f>
        <v>4</v>
      </c>
      <c r="T189" s="79" t="str">
        <f aca="false">IF($S189&lt;=1,IF($S189=1,"Single quote","—"),"Like-for-like")</f>
        <v>Like-for-like</v>
      </c>
      <c r="U189" s="79" t="str">
        <f aca="false">IF(COUNT(W189:Z189)&lt;2,"",IF(MAX(W189:Z189)=MIN(W189:Z189),"OK","Qty differs"))</f>
        <v>OK</v>
      </c>
      <c r="V189" s="80"/>
      <c r="W189" s="81" t="n">
        <f aca="false">IF(COUNTIFS('Quote Lines'!$P$3:$P$805,$A189&amp;"|"&amp;G$6&amp;"|1",'Quote Lines'!$M$3:$M$805,"Y")=0,"",SUMIFS('Quote Lines'!$L$3:$L$805,'Quote Lines'!$P$3:$P$805,$A189&amp;"|"&amp;G$6&amp;"|1",'Quote Lines'!$M$3:$M$805,"Y"))</f>
        <v>16</v>
      </c>
      <c r="X189" s="81" t="n">
        <f aca="false">IF(COUNTIFS('Quote Lines'!$P$3:$P$805,$A189&amp;"|"&amp;H$6&amp;"|1",'Quote Lines'!$M$3:$M$805,"Y")=0,"",SUMIFS('Quote Lines'!$L$3:$L$805,'Quote Lines'!$P$3:$P$805,$A189&amp;"|"&amp;H$6&amp;"|1",'Quote Lines'!$M$3:$M$805,"Y"))</f>
        <v>16</v>
      </c>
      <c r="Y189" s="81" t="n">
        <f aca="false">IF(COUNTIFS('Quote Lines'!$P$3:$P$805,$A189&amp;"|"&amp;I$6&amp;"|1",'Quote Lines'!$M$3:$M$805,"Y")=0,"",SUMIFS('Quote Lines'!$L$3:$L$805,'Quote Lines'!$P$3:$P$805,$A189&amp;"|"&amp;I$6&amp;"|1",'Quote Lines'!$M$3:$M$805,"Y"))</f>
        <v>16</v>
      </c>
      <c r="Z189" s="81" t="n">
        <f aca="false">IF(COUNTIFS('Quote Lines'!$P$3:$P$805,$A189&amp;"|"&amp;J$6&amp;"|1",'Quote Lines'!$M$3:$M$805,"Y")=0,"",SUMIFS('Quote Lines'!$L$3:$L$805,'Quote Lines'!$P$3:$P$805,$A189&amp;"|"&amp;J$6&amp;"|1",'Quote Lines'!$M$3:$M$805,"Y"))</f>
        <v>16</v>
      </c>
      <c r="AA189" s="82" t="n">
        <f aca="false">IF(ISNUMBER(G189),1+SUMPRODUCT(ISNUMBER($G189:$J189)*($G189:$J189&lt;G189)),"")</f>
        <v>4</v>
      </c>
      <c r="AB189" s="82" t="n">
        <f aca="false">IF(ISNUMBER(H189),1+SUMPRODUCT(ISNUMBER($G189:$J189)*($G189:$J189&lt;H189)),"")</f>
        <v>1</v>
      </c>
      <c r="AC189" s="82" t="n">
        <f aca="false">IF(ISNUMBER(I189),1+SUMPRODUCT(ISNUMBER($G189:$J189)*($G189:$J189&lt;I189)),"")</f>
        <v>2</v>
      </c>
      <c r="AD189" s="82" t="n">
        <f aca="false">IF(ISNUMBER(J189),1+SUMPRODUCT(ISNUMBER($G189:$J189)*($G189:$J189&lt;J189)),"")</f>
        <v>3</v>
      </c>
      <c r="AE189" s="82" t="n">
        <f aca="false">IF(NOT(ISNUMBER(G189)),0,IF($S189&lt;2,5,IF(AA189=1,1,IF(G189=MAX($G189:$J189),4,IF(AA189=2,2,3)))))</f>
        <v>4</v>
      </c>
      <c r="AF189" s="82" t="n">
        <f aca="false">IF(NOT(ISNUMBER(H189)),0,IF($S189&lt;2,5,IF(AB189=1,1,IF(H189=MAX($G189:$J189),4,IF(AB189=2,2,3)))))</f>
        <v>1</v>
      </c>
      <c r="AG189" s="82" t="n">
        <f aca="false">IF(NOT(ISNUMBER(I189)),0,IF($S189&lt;2,5,IF(AC189=1,1,IF(I189=MAX($G189:$J189),4,IF(AC189=2,2,3)))))</f>
        <v>2</v>
      </c>
      <c r="AH189" s="82" t="n">
        <f aca="false">IF(NOT(ISNUMBER(J189)),0,IF($S189&lt;2,5,IF(AD189=1,1,IF(J189=MAX($G189:$J189),4,IF(AD189=2,2,3)))))</f>
        <v>3</v>
      </c>
      <c r="AI189" s="83" t="n">
        <f aca="false">IF($S189&gt;=2,IF(ISNUMBER(G189),G189*$F189,MIN($G189:$J189)*$F189),0)</f>
        <v>62228.32</v>
      </c>
      <c r="AJ189" s="83" t="n">
        <f aca="false">IF($S189&gt;=2,IF(ISNUMBER(H189),H189*$F189,MIN($G189:$J189)*$F189),0)</f>
        <v>50910.08</v>
      </c>
      <c r="AK189" s="83" t="n">
        <f aca="false">IF($S189&gt;=2,IF(ISNUMBER(I189),I189*$F189,MIN($G189:$J189)*$F189),0)</f>
        <v>54267.69</v>
      </c>
      <c r="AL189" s="83" t="n">
        <f aca="false">IF($S189&gt;=2,IF(ISNUMBER(J189),J189*$F189,MIN($G189:$J189)*$F189),0)</f>
        <v>54956.16</v>
      </c>
      <c r="AM189" s="84" t="n">
        <f aca="false">IF($S189&gt;=2,$R189+ROW()/1000000,"")</f>
        <v>11318.240189</v>
      </c>
      <c r="AN189" s="83" t="n">
        <f aca="false">IF($S189&gt;=2,MAX(G189:J189),"")</f>
        <v>3889.27</v>
      </c>
      <c r="AO189" s="82" t="str">
        <f aca="false">IF($S189&gt;=2,INDEX($G$6:$J$6,MATCH(MAX(G189:J189),G189:J189,0)),"")</f>
        <v>Ferguson</v>
      </c>
      <c r="AP189" s="83" t="n">
        <f aca="false">IF($S189&gt;=2,MIN(G189:J189)*$F189,0)</f>
        <v>50910.08</v>
      </c>
      <c r="AQ189" s="82" t="str">
        <f aca="false">IF($S189&gt;=2,INDEX($G$6:$J$6,MATCH(MIN(G189:J189),G189:J189,0)),"")</f>
        <v>HD Fowler</v>
      </c>
    </row>
    <row r="190" customFormat="false" ht="15" hidden="false" customHeight="true" outlineLevel="0" collapsed="false">
      <c r="A190" s="70" t="s">
        <v>541</v>
      </c>
      <c r="B190" s="71" t="s">
        <v>540</v>
      </c>
      <c r="C190" s="72" t="s">
        <v>257</v>
      </c>
      <c r="D190" s="73" t="s">
        <v>514</v>
      </c>
      <c r="E190" s="74" t="s">
        <v>133</v>
      </c>
      <c r="F190" s="75" t="n">
        <v>16</v>
      </c>
      <c r="G190" s="76" t="n">
        <f aca="false">IF(COUNTIF('Quote Lines'!$P$3:$P$805,$A190&amp;"|"&amp;G$6&amp;"|1")=0,"—",SUMIFS('Quote Lines'!$O$3:$O$805,'Quote Lines'!$P$3:$P$805,$A190&amp;"|"&amp;G$6&amp;"|1")/SUMIFS('Quote Lines'!$L$3:$L$805,'Quote Lines'!$P$3:$P$805,$A190&amp;"|"&amp;G$6&amp;"|1")+IFERROR(SUMIFS('Quote Lines'!$O$3:$O$805,'Quote Lines'!$P$3:$P$805,$A190&amp;"|"&amp;G$6&amp;"|2")/SUMIFS('Quote Lines'!$L$3:$L$805,'Quote Lines'!$P$3:$P$805,$A190&amp;"|"&amp;G$6&amp;"|2"),0)+IFERROR(SUMIFS('Quote Lines'!$O$3:$O$805,'Quote Lines'!$P$3:$P$805,$A190&amp;"|"&amp;G$6&amp;"|3")/SUMIFS('Quote Lines'!$L$3:$L$805,'Quote Lines'!$P$3:$P$805,$A190&amp;"|"&amp;G$6&amp;"|3"),0))</f>
        <v>165.05</v>
      </c>
      <c r="H190" s="76" t="n">
        <f aca="false">IF(COUNTIF('Quote Lines'!$P$3:$P$805,$A190&amp;"|"&amp;H$6&amp;"|1")=0,"—",SUMIFS('Quote Lines'!$O$3:$O$805,'Quote Lines'!$P$3:$P$805,$A190&amp;"|"&amp;H$6&amp;"|1")/SUMIFS('Quote Lines'!$L$3:$L$805,'Quote Lines'!$P$3:$P$805,$A190&amp;"|"&amp;H$6&amp;"|1")+IFERROR(SUMIFS('Quote Lines'!$O$3:$O$805,'Quote Lines'!$P$3:$P$805,$A190&amp;"|"&amp;H$6&amp;"|2")/SUMIFS('Quote Lines'!$L$3:$L$805,'Quote Lines'!$P$3:$P$805,$A190&amp;"|"&amp;H$6&amp;"|2"),0)+IFERROR(SUMIFS('Quote Lines'!$O$3:$O$805,'Quote Lines'!$P$3:$P$805,$A190&amp;"|"&amp;H$6&amp;"|3")/SUMIFS('Quote Lines'!$L$3:$L$805,'Quote Lines'!$P$3:$P$805,$A190&amp;"|"&amp;H$6&amp;"|3"),0))</f>
        <v>145.33</v>
      </c>
      <c r="I190" s="76" t="n">
        <f aca="false">IF(COUNTIF('Quote Lines'!$P$3:$P$805,$A190&amp;"|"&amp;I$6&amp;"|1")=0,"—",SUMIFS('Quote Lines'!$O$3:$O$805,'Quote Lines'!$P$3:$P$805,$A190&amp;"|"&amp;I$6&amp;"|1")/SUMIFS('Quote Lines'!$L$3:$L$805,'Quote Lines'!$P$3:$P$805,$A190&amp;"|"&amp;I$6&amp;"|1"))</f>
        <v>132.5</v>
      </c>
      <c r="J190" s="76" t="n">
        <f aca="false">IF(COUNTIF('Quote Lines'!$P$3:$P$805,$A190&amp;"|"&amp;J$6&amp;"|1")=0,"—",SUMIFS('Quote Lines'!$O$3:$O$805,'Quote Lines'!$P$3:$P$805,$A190&amp;"|"&amp;J$6&amp;"|1")/SUMIFS('Quote Lines'!$L$3:$L$805,'Quote Lines'!$P$3:$P$805,$A190&amp;"|"&amp;J$6&amp;"|1"))</f>
        <v>141.45</v>
      </c>
      <c r="K190" s="14" t="n">
        <f aca="false">IF(ISNUMBER(G190),G190*$F190,"—")</f>
        <v>2640.8</v>
      </c>
      <c r="L190" s="14" t="n">
        <f aca="false">IF(ISNUMBER(H190),H190*$F190,"—")</f>
        <v>2325.28</v>
      </c>
      <c r="M190" s="14" t="n">
        <f aca="false">IF(ISNUMBER(I190),I190*$F190,"—")</f>
        <v>2120</v>
      </c>
      <c r="N190" s="14" t="n">
        <f aca="false">IF(ISNUMBER(J190),J190*$F190,"—")</f>
        <v>2263.2</v>
      </c>
      <c r="O190" s="77" t="n">
        <f aca="false">IF($S190=0,"—",MIN(G190:J190))</f>
        <v>132.5</v>
      </c>
      <c r="P190" s="42" t="str">
        <f aca="false">IF($S190=0,"—",IF(COUNTIF(G190:J190,O190)&gt;1,"Tie",INDEX($G$6:$J$6,MATCH(O190,G190:J190,0))))</f>
        <v>Mountainland</v>
      </c>
      <c r="Q190" s="48" t="n">
        <f aca="false">IF($S190&gt;=2,MAX(G190:J190)/MIN(G190:J190)-1,"—")</f>
        <v>0.245660377358491</v>
      </c>
      <c r="R190" s="78" t="n">
        <f aca="false">IF($S190&gt;=2,(MAX(G190:J190)-MIN(G190:J190))*$F190,"—")</f>
        <v>520.8</v>
      </c>
      <c r="S190" s="18" t="n">
        <f aca="false">COUNT(G190:J190)</f>
        <v>4</v>
      </c>
      <c r="T190" s="79" t="str">
        <f aca="false">IF($S190&lt;=1,IF($S190=1,"Single quote","—"),"Like-for-like")</f>
        <v>Like-for-like</v>
      </c>
      <c r="U190" s="79" t="str">
        <f aca="false">IF(COUNT(W190:Z190)&lt;2,"",IF(MAX(W190:Z190)=MIN(W190:Z190),"OK","Qty differs"))</f>
        <v>OK</v>
      </c>
      <c r="V190" s="80"/>
      <c r="W190" s="81" t="n">
        <f aca="false">IF(COUNTIFS('Quote Lines'!$P$3:$P$805,$A190&amp;"|"&amp;G$6&amp;"|1",'Quote Lines'!$M$3:$M$805,"Y")=0,"",SUMIFS('Quote Lines'!$L$3:$L$805,'Quote Lines'!$P$3:$P$805,$A190&amp;"|"&amp;G$6&amp;"|1",'Quote Lines'!$M$3:$M$805,"Y"))</f>
        <v>16</v>
      </c>
      <c r="X190" s="81" t="n">
        <f aca="false">IF(COUNTIFS('Quote Lines'!$P$3:$P$805,$A190&amp;"|"&amp;H$6&amp;"|1",'Quote Lines'!$M$3:$M$805,"Y")=0,"",SUMIFS('Quote Lines'!$L$3:$L$805,'Quote Lines'!$P$3:$P$805,$A190&amp;"|"&amp;H$6&amp;"|1",'Quote Lines'!$M$3:$M$805,"Y"))</f>
        <v>16</v>
      </c>
      <c r="Y190" s="81" t="n">
        <f aca="false">IF(COUNTIFS('Quote Lines'!$P$3:$P$805,$A190&amp;"|"&amp;I$6&amp;"|1",'Quote Lines'!$M$3:$M$805,"Y")=0,"",SUMIFS('Quote Lines'!$L$3:$L$805,'Quote Lines'!$P$3:$P$805,$A190&amp;"|"&amp;I$6&amp;"|1",'Quote Lines'!$M$3:$M$805,"Y"))</f>
        <v>16</v>
      </c>
      <c r="Z190" s="81" t="n">
        <f aca="false">IF(COUNTIFS('Quote Lines'!$P$3:$P$805,$A190&amp;"|"&amp;J$6&amp;"|1",'Quote Lines'!$M$3:$M$805,"Y")=0,"",SUMIFS('Quote Lines'!$L$3:$L$805,'Quote Lines'!$P$3:$P$805,$A190&amp;"|"&amp;J$6&amp;"|1",'Quote Lines'!$M$3:$M$805,"Y"))</f>
        <v>16</v>
      </c>
      <c r="AA190" s="82" t="n">
        <f aca="false">IF(ISNUMBER(G190),1+SUMPRODUCT(ISNUMBER($G190:$J190)*($G190:$J190&lt;G190)),"")</f>
        <v>4</v>
      </c>
      <c r="AB190" s="82" t="n">
        <f aca="false">IF(ISNUMBER(H190),1+SUMPRODUCT(ISNUMBER($G190:$J190)*($G190:$J190&lt;H190)),"")</f>
        <v>3</v>
      </c>
      <c r="AC190" s="82" t="n">
        <f aca="false">IF(ISNUMBER(I190),1+SUMPRODUCT(ISNUMBER($G190:$J190)*($G190:$J190&lt;I190)),"")</f>
        <v>1</v>
      </c>
      <c r="AD190" s="82" t="n">
        <f aca="false">IF(ISNUMBER(J190),1+SUMPRODUCT(ISNUMBER($G190:$J190)*($G190:$J190&lt;J190)),"")</f>
        <v>2</v>
      </c>
      <c r="AE190" s="82" t="n">
        <f aca="false">IF(NOT(ISNUMBER(G190)),0,IF($S190&lt;2,5,IF(AA190=1,1,IF(G190=MAX($G190:$J190),4,IF(AA190=2,2,3)))))</f>
        <v>4</v>
      </c>
      <c r="AF190" s="82" t="n">
        <f aca="false">IF(NOT(ISNUMBER(H190)),0,IF($S190&lt;2,5,IF(AB190=1,1,IF(H190=MAX($G190:$J190),4,IF(AB190=2,2,3)))))</f>
        <v>3</v>
      </c>
      <c r="AG190" s="82" t="n">
        <f aca="false">IF(NOT(ISNUMBER(I190)),0,IF($S190&lt;2,5,IF(AC190=1,1,IF(I190=MAX($G190:$J190),4,IF(AC190=2,2,3)))))</f>
        <v>1</v>
      </c>
      <c r="AH190" s="82" t="n">
        <f aca="false">IF(NOT(ISNUMBER(J190)),0,IF($S190&lt;2,5,IF(AD190=1,1,IF(J190=MAX($G190:$J190),4,IF(AD190=2,2,3)))))</f>
        <v>2</v>
      </c>
      <c r="AI190" s="83" t="n">
        <f aca="false">IF($S190&gt;=2,IF(ISNUMBER(G190),G190*$F190,MIN($G190:$J190)*$F190),0)</f>
        <v>2640.8</v>
      </c>
      <c r="AJ190" s="83" t="n">
        <f aca="false">IF($S190&gt;=2,IF(ISNUMBER(H190),H190*$F190,MIN($G190:$J190)*$F190),0)</f>
        <v>2325.28</v>
      </c>
      <c r="AK190" s="83" t="n">
        <f aca="false">IF($S190&gt;=2,IF(ISNUMBER(I190),I190*$F190,MIN($G190:$J190)*$F190),0)</f>
        <v>2120</v>
      </c>
      <c r="AL190" s="83" t="n">
        <f aca="false">IF($S190&gt;=2,IF(ISNUMBER(J190),J190*$F190,MIN($G190:$J190)*$F190),0)</f>
        <v>2263.2</v>
      </c>
      <c r="AM190" s="84" t="n">
        <f aca="false">IF($S190&gt;=2,$R190+ROW()/1000000,"")</f>
        <v>520.80019</v>
      </c>
      <c r="AN190" s="83" t="n">
        <f aca="false">IF($S190&gt;=2,MAX(G190:J190),"")</f>
        <v>165.05</v>
      </c>
      <c r="AO190" s="82" t="str">
        <f aca="false">IF($S190&gt;=2,INDEX($G$6:$J$6,MATCH(MAX(G190:J190),G190:J190,0)),"")</f>
        <v>Ferguson</v>
      </c>
      <c r="AP190" s="83" t="n">
        <f aca="false">IF($S190&gt;=2,MIN(G190:J190)*$F190,0)</f>
        <v>2120</v>
      </c>
      <c r="AQ190" s="82" t="str">
        <f aca="false">IF($S190&gt;=2,INDEX($G$6:$J$6,MATCH(MIN(G190:J190),G190:J190,0)),"")</f>
        <v>Mountainland</v>
      </c>
    </row>
    <row r="191" customFormat="false" ht="15" hidden="false" customHeight="true" outlineLevel="0" collapsed="false">
      <c r="A191" s="70" t="s">
        <v>542</v>
      </c>
      <c r="B191" s="71" t="s">
        <v>540</v>
      </c>
      <c r="C191" s="72" t="s">
        <v>294</v>
      </c>
      <c r="D191" s="73" t="s">
        <v>300</v>
      </c>
      <c r="E191" s="74" t="s">
        <v>133</v>
      </c>
      <c r="F191" s="75" t="n">
        <v>16</v>
      </c>
      <c r="G191" s="76" t="n">
        <f aca="false">IF(COUNTIF('Quote Lines'!$P$3:$P$805,$A191&amp;"|"&amp;G$6&amp;"|1")=0,"—",SUMIFS('Quote Lines'!$O$3:$O$805,'Quote Lines'!$P$3:$P$805,$A191&amp;"|"&amp;G$6&amp;"|1")/SUMIFS('Quote Lines'!$L$3:$L$805,'Quote Lines'!$P$3:$P$805,$A191&amp;"|"&amp;G$6&amp;"|1"))</f>
        <v>169.74</v>
      </c>
      <c r="H191" s="76" t="n">
        <f aca="false">IF(COUNTIF('Quote Lines'!$P$3:$P$805,$A191&amp;"|"&amp;H$6&amp;"|1")=0,"—",SUMIFS('Quote Lines'!$O$3:$O$805,'Quote Lines'!$P$3:$P$805,$A191&amp;"|"&amp;H$6&amp;"|1")/SUMIFS('Quote Lines'!$L$3:$L$805,'Quote Lines'!$P$3:$P$805,$A191&amp;"|"&amp;H$6&amp;"|1"))</f>
        <v>167.73</v>
      </c>
      <c r="I191" s="76" t="n">
        <f aca="false">IF(COUNTIF('Quote Lines'!$P$3:$P$805,$A191&amp;"|"&amp;I$6&amp;"|1")=0,"—",SUMIFS('Quote Lines'!$O$3:$O$805,'Quote Lines'!$P$3:$P$805,$A191&amp;"|"&amp;I$6&amp;"|1")/SUMIFS('Quote Lines'!$L$3:$L$805,'Quote Lines'!$P$3:$P$805,$A191&amp;"|"&amp;I$6&amp;"|1"))</f>
        <v>136.588</v>
      </c>
      <c r="J191" s="76" t="n">
        <f aca="false">IF(COUNTIF('Quote Lines'!$P$3:$P$805,$A191&amp;"|"&amp;J$6&amp;"|1")=0,"—",SUMIFS('Quote Lines'!$O$3:$O$805,'Quote Lines'!$P$3:$P$805,$A191&amp;"|"&amp;J$6&amp;"|1")/SUMIFS('Quote Lines'!$L$3:$L$805,'Quote Lines'!$P$3:$P$805,$A191&amp;"|"&amp;J$6&amp;"|1"))</f>
        <v>193.73</v>
      </c>
      <c r="K191" s="14" t="n">
        <f aca="false">IF(ISNUMBER(G191),G191*$F191,"—")</f>
        <v>2715.84</v>
      </c>
      <c r="L191" s="14" t="n">
        <f aca="false">IF(ISNUMBER(H191),H191*$F191,"—")</f>
        <v>2683.68</v>
      </c>
      <c r="M191" s="14" t="n">
        <f aca="false">IF(ISNUMBER(I191),I191*$F191,"—")</f>
        <v>2185.408</v>
      </c>
      <c r="N191" s="14" t="n">
        <f aca="false">IF(ISNUMBER(J191),J191*$F191,"—")</f>
        <v>3099.68</v>
      </c>
      <c r="O191" s="77" t="n">
        <f aca="false">IF($S191=0,"—",MIN(G191:J191))</f>
        <v>136.588</v>
      </c>
      <c r="P191" s="42" t="str">
        <f aca="false">IF($S191=0,"—",IF(COUNTIF(G191:J191,O191)&gt;1,"Tie",INDEX($G$6:$J$6,MATCH(O191,G191:J191,0))))</f>
        <v>Mountainland</v>
      </c>
      <c r="Q191" s="48" t="n">
        <f aca="false">IF($S191&gt;=2,MAX(G191:J191)/MIN(G191:J191)-1,"—")</f>
        <v>0.418353003192081</v>
      </c>
      <c r="R191" s="78" t="n">
        <f aca="false">IF($S191&gt;=2,(MAX(G191:J191)-MIN(G191:J191))*$F191,"—")</f>
        <v>914.272</v>
      </c>
      <c r="S191" s="18" t="n">
        <f aca="false">COUNT(G191:J191)</f>
        <v>4</v>
      </c>
      <c r="T191" s="79" t="str">
        <f aca="false">IF($S191&lt;=1,IF($S191=1,"Single quote","—"),"Like-for-like")</f>
        <v>Like-for-like</v>
      </c>
      <c r="U191" s="79" t="str">
        <f aca="false">IF(COUNT(W191:Z191)&lt;2,"",IF(MAX(W191:Z191)=MIN(W191:Z191),"OK","Qty differs"))</f>
        <v>Qty differs</v>
      </c>
      <c r="V191" s="80"/>
      <c r="W191" s="81" t="n">
        <f aca="false">IF(COUNTIFS('Quote Lines'!$P$3:$P$805,$A191&amp;"|"&amp;G$6&amp;"|1",'Quote Lines'!$M$3:$M$805,"Y")=0,"",SUMIFS('Quote Lines'!$L$3:$L$805,'Quote Lines'!$P$3:$P$805,$A191&amp;"|"&amp;G$6&amp;"|1",'Quote Lines'!$M$3:$M$805,"Y"))</f>
        <v>16</v>
      </c>
      <c r="X191" s="81" t="n">
        <f aca="false">IF(COUNTIFS('Quote Lines'!$P$3:$P$805,$A191&amp;"|"&amp;H$6&amp;"|1",'Quote Lines'!$M$3:$M$805,"Y")=0,"",SUMIFS('Quote Lines'!$L$3:$L$805,'Quote Lines'!$P$3:$P$805,$A191&amp;"|"&amp;H$6&amp;"|1",'Quote Lines'!$M$3:$M$805,"Y"))</f>
        <v>16</v>
      </c>
      <c r="Y191" s="81" t="n">
        <f aca="false">IF(COUNTIFS('Quote Lines'!$P$3:$P$805,$A191&amp;"|"&amp;I$6&amp;"|1",'Quote Lines'!$M$3:$M$805,"Y")=0,"",SUMIFS('Quote Lines'!$L$3:$L$805,'Quote Lines'!$P$3:$P$805,$A191&amp;"|"&amp;I$6&amp;"|1",'Quote Lines'!$M$3:$M$805,"Y"))</f>
        <v>15</v>
      </c>
      <c r="Z191" s="81" t="n">
        <f aca="false">IF(COUNTIFS('Quote Lines'!$P$3:$P$805,$A191&amp;"|"&amp;J$6&amp;"|1",'Quote Lines'!$M$3:$M$805,"Y")=0,"",SUMIFS('Quote Lines'!$L$3:$L$805,'Quote Lines'!$P$3:$P$805,$A191&amp;"|"&amp;J$6&amp;"|1",'Quote Lines'!$M$3:$M$805,"Y"))</f>
        <v>16</v>
      </c>
      <c r="AA191" s="82" t="n">
        <f aca="false">IF(ISNUMBER(G191),1+SUMPRODUCT(ISNUMBER($G191:$J191)*($G191:$J191&lt;G191)),"")</f>
        <v>3</v>
      </c>
      <c r="AB191" s="82" t="n">
        <f aca="false">IF(ISNUMBER(H191),1+SUMPRODUCT(ISNUMBER($G191:$J191)*($G191:$J191&lt;H191)),"")</f>
        <v>2</v>
      </c>
      <c r="AC191" s="82" t="n">
        <f aca="false">IF(ISNUMBER(I191),1+SUMPRODUCT(ISNUMBER($G191:$J191)*($G191:$J191&lt;I191)),"")</f>
        <v>1</v>
      </c>
      <c r="AD191" s="82" t="n">
        <f aca="false">IF(ISNUMBER(J191),1+SUMPRODUCT(ISNUMBER($G191:$J191)*($G191:$J191&lt;J191)),"")</f>
        <v>4</v>
      </c>
      <c r="AE191" s="82" t="n">
        <f aca="false">IF(NOT(ISNUMBER(G191)),0,IF($S191&lt;2,5,IF(AA191=1,1,IF(G191=MAX($G191:$J191),4,IF(AA191=2,2,3)))))</f>
        <v>3</v>
      </c>
      <c r="AF191" s="82" t="n">
        <f aca="false">IF(NOT(ISNUMBER(H191)),0,IF($S191&lt;2,5,IF(AB191=1,1,IF(H191=MAX($G191:$J191),4,IF(AB191=2,2,3)))))</f>
        <v>2</v>
      </c>
      <c r="AG191" s="82" t="n">
        <f aca="false">IF(NOT(ISNUMBER(I191)),0,IF($S191&lt;2,5,IF(AC191=1,1,IF(I191=MAX($G191:$J191),4,IF(AC191=2,2,3)))))</f>
        <v>1</v>
      </c>
      <c r="AH191" s="82" t="n">
        <f aca="false">IF(NOT(ISNUMBER(J191)),0,IF($S191&lt;2,5,IF(AD191=1,1,IF(J191=MAX($G191:$J191),4,IF(AD191=2,2,3)))))</f>
        <v>4</v>
      </c>
      <c r="AI191" s="83" t="n">
        <f aca="false">IF($S191&gt;=2,IF(ISNUMBER(G191),G191*$F191,MIN($G191:$J191)*$F191),0)</f>
        <v>2715.84</v>
      </c>
      <c r="AJ191" s="83" t="n">
        <f aca="false">IF($S191&gt;=2,IF(ISNUMBER(H191),H191*$F191,MIN($G191:$J191)*$F191),0)</f>
        <v>2683.68</v>
      </c>
      <c r="AK191" s="83" t="n">
        <f aca="false">IF($S191&gt;=2,IF(ISNUMBER(I191),I191*$F191,MIN($G191:$J191)*$F191),0)</f>
        <v>2185.408</v>
      </c>
      <c r="AL191" s="83" t="n">
        <f aca="false">IF($S191&gt;=2,IF(ISNUMBER(J191),J191*$F191,MIN($G191:$J191)*$F191),0)</f>
        <v>3099.68</v>
      </c>
      <c r="AM191" s="84" t="n">
        <f aca="false">IF($S191&gt;=2,$R191+ROW()/1000000,"")</f>
        <v>914.272191</v>
      </c>
      <c r="AN191" s="83" t="n">
        <f aca="false">IF($S191&gt;=2,MAX(G191:J191),"")</f>
        <v>193.73</v>
      </c>
      <c r="AO191" s="82" t="str">
        <f aca="false">IF($S191&gt;=2,INDEX($G$6:$J$6,MATCH(MAX(G191:J191),G191:J191,0)),"")</f>
        <v>Scholzen</v>
      </c>
      <c r="AP191" s="83" t="n">
        <f aca="false">IF($S191&gt;=2,MIN(G191:J191)*$F191,0)</f>
        <v>2185.408</v>
      </c>
      <c r="AQ191" s="82" t="str">
        <f aca="false">IF($S191&gt;=2,INDEX($G$6:$J$6,MATCH(MIN(G191:J191),G191:J191,0)),"")</f>
        <v>Mountainland</v>
      </c>
    </row>
    <row r="192" customFormat="false" ht="15" hidden="false" customHeight="true" outlineLevel="0" collapsed="false">
      <c r="A192" s="70" t="s">
        <v>543</v>
      </c>
      <c r="B192" s="71" t="s">
        <v>540</v>
      </c>
      <c r="C192" s="72" t="s">
        <v>294</v>
      </c>
      <c r="D192" s="73" t="s">
        <v>302</v>
      </c>
      <c r="E192" s="74" t="s">
        <v>133</v>
      </c>
      <c r="F192" s="75" t="n">
        <v>1</v>
      </c>
      <c r="G192" s="85" t="s">
        <v>138</v>
      </c>
      <c r="H192" s="85" t="s">
        <v>138</v>
      </c>
      <c r="I192" s="76" t="n">
        <f aca="false">IF(COUNTIF('Quote Lines'!$P$3:$P$805,$A192&amp;"|"&amp;I$6&amp;"|1")=0,"—",SUMIFS('Quote Lines'!$O$3:$O$805,'Quote Lines'!$P$3:$P$805,$A192&amp;"|"&amp;I$6&amp;"|1")/SUMIFS('Quote Lines'!$L$3:$L$805,'Quote Lines'!$P$3:$P$805,$A192&amp;"|"&amp;I$6&amp;"|1"))</f>
        <v>134.12</v>
      </c>
      <c r="J192" s="85" t="s">
        <v>138</v>
      </c>
      <c r="K192" s="14" t="str">
        <f aca="false">IF(ISNUMBER(G192),G192*$F192,"—")</f>
        <v>—</v>
      </c>
      <c r="L192" s="14" t="str">
        <f aca="false">IF(ISNUMBER(H192),H192*$F192,"—")</f>
        <v>—</v>
      </c>
      <c r="M192" s="14" t="n">
        <f aca="false">IF(ISNUMBER(I192),I192*$F192,"—")</f>
        <v>134.12</v>
      </c>
      <c r="N192" s="14" t="str">
        <f aca="false">IF(ISNUMBER(J192),J192*$F192,"—")</f>
        <v>—</v>
      </c>
      <c r="O192" s="77" t="n">
        <f aca="false">IF($S192=0,"—",MIN(G192:J192))</f>
        <v>134.12</v>
      </c>
      <c r="P192" s="42" t="str">
        <f aca="false">IF($S192=0,"—",IF(COUNTIF(G192:J192,O192)&gt;1,"Tie",INDEX($G$6:$J$6,MATCH(O192,G192:J192,0))))</f>
        <v>Mountainland</v>
      </c>
      <c r="Q192" s="48" t="str">
        <f aca="false">IF($S192&gt;=2,MAX(G192:J192)/MIN(G192:J192)-1,"—")</f>
        <v>—</v>
      </c>
      <c r="R192" s="78" t="str">
        <f aca="false">IF($S192&gt;=2,(MAX(G192:J192)-MIN(G192:J192))*$F192,"—")</f>
        <v>—</v>
      </c>
      <c r="S192" s="18" t="n">
        <f aca="false">COUNT(G192:J192)</f>
        <v>1</v>
      </c>
      <c r="T192" s="79" t="str">
        <f aca="false">IF($S192&lt;=1,IF($S192=1,"Single quote","—"),"Like-for-like")</f>
        <v>Single quote</v>
      </c>
      <c r="U192" s="79" t="str">
        <f aca="false">IF(COUNT(W192:Z192)&lt;2,"",IF(MAX(W192:Z192)=MIN(W192:Z192),"OK","Qty differs"))</f>
        <v/>
      </c>
      <c r="V192" s="80"/>
      <c r="W192" s="81"/>
      <c r="X192" s="81"/>
      <c r="Y192" s="81" t="n">
        <f aca="false">IF(COUNTIFS('Quote Lines'!$P$3:$P$805,$A192&amp;"|"&amp;I$6&amp;"|1",'Quote Lines'!$M$3:$M$805,"Y")=0,"",SUMIFS('Quote Lines'!$L$3:$L$805,'Quote Lines'!$P$3:$P$805,$A192&amp;"|"&amp;I$6&amp;"|1",'Quote Lines'!$M$3:$M$805,"Y"))</f>
        <v>1</v>
      </c>
      <c r="Z192" s="81"/>
      <c r="AA192" s="82" t="str">
        <f aca="false">IF(ISNUMBER(G192),1+SUMPRODUCT(ISNUMBER($G192:$J192)*($G192:$J192&lt;G192)),"")</f>
        <v/>
      </c>
      <c r="AB192" s="82" t="str">
        <f aca="false">IF(ISNUMBER(H192),1+SUMPRODUCT(ISNUMBER($G192:$J192)*($G192:$J192&lt;H192)),"")</f>
        <v/>
      </c>
      <c r="AC192" s="82" t="n">
        <f aca="false">IF(ISNUMBER(I192),1+SUMPRODUCT(ISNUMBER($G192:$J192)*($G192:$J192&lt;I192)),"")</f>
        <v>1</v>
      </c>
      <c r="AD192" s="82" t="str">
        <f aca="false">IF(ISNUMBER(J192),1+SUMPRODUCT(ISNUMBER($G192:$J192)*($G192:$J192&lt;J192)),"")</f>
        <v/>
      </c>
      <c r="AE192" s="82" t="n">
        <f aca="false">IF(NOT(ISNUMBER(G192)),0,IF($S192&lt;2,5,IF(AA192=1,1,IF(G192=MAX($G192:$J192),4,IF(AA192=2,2,3)))))</f>
        <v>0</v>
      </c>
      <c r="AF192" s="82" t="n">
        <f aca="false">IF(NOT(ISNUMBER(H192)),0,IF($S192&lt;2,5,IF(AB192=1,1,IF(H192=MAX($G192:$J192),4,IF(AB192=2,2,3)))))</f>
        <v>0</v>
      </c>
      <c r="AG192" s="82" t="n">
        <f aca="false">IF(NOT(ISNUMBER(I192)),0,IF($S192&lt;2,5,IF(AC192=1,1,IF(I192=MAX($G192:$J192),4,IF(AC192=2,2,3)))))</f>
        <v>5</v>
      </c>
      <c r="AH192" s="82" t="n">
        <f aca="false">IF(NOT(ISNUMBER(J192)),0,IF($S192&lt;2,5,IF(AD192=1,1,IF(J192=MAX($G192:$J192),4,IF(AD192=2,2,3)))))</f>
        <v>0</v>
      </c>
      <c r="AI192" s="83" t="n">
        <f aca="false">IF($S192&gt;=2,IF(ISNUMBER(G192),G192*$F192,MIN($G192:$J192)*$F192),0)</f>
        <v>0</v>
      </c>
      <c r="AJ192" s="83" t="n">
        <f aca="false">IF($S192&gt;=2,IF(ISNUMBER(H192),H192*$F192,MIN($G192:$J192)*$F192),0)</f>
        <v>0</v>
      </c>
      <c r="AK192" s="83" t="n">
        <f aca="false">IF($S192&gt;=2,IF(ISNUMBER(I192),I192*$F192,MIN($G192:$J192)*$F192),0)</f>
        <v>0</v>
      </c>
      <c r="AL192" s="83" t="n">
        <f aca="false">IF($S192&gt;=2,IF(ISNUMBER(J192),J192*$F192,MIN($G192:$J192)*$F192),0)</f>
        <v>0</v>
      </c>
      <c r="AM192" s="84" t="str">
        <f aca="false">IF($S192&gt;=2,$R192+ROW()/1000000,"")</f>
        <v/>
      </c>
      <c r="AN192" s="83" t="str">
        <f aca="false">IF($S192&gt;=2,MAX(G192:J192),"")</f>
        <v/>
      </c>
      <c r="AO192" s="82" t="str">
        <f aca="false">IF($S192&gt;=2,INDEX($G$6:$J$6,MATCH(MAX(G192:J192),G192:J192,0)),"")</f>
        <v/>
      </c>
      <c r="AP192" s="83" t="n">
        <f aca="false">IF($S192&gt;=2,MIN(G192:J192)*$F192,0)</f>
        <v>0</v>
      </c>
      <c r="AQ192" s="82" t="str">
        <f aca="false">IF($S192&gt;=2,INDEX($G$6:$J$6,MATCH(MIN(G192:J192),G192:J192,0)),"")</f>
        <v/>
      </c>
    </row>
    <row r="193" customFormat="false" ht="15" hidden="false" customHeight="true" outlineLevel="0" collapsed="false">
      <c r="A193" s="70" t="s">
        <v>544</v>
      </c>
      <c r="B193" s="71" t="s">
        <v>540</v>
      </c>
      <c r="C193" s="72" t="s">
        <v>308</v>
      </c>
      <c r="D193" s="73" t="s">
        <v>313</v>
      </c>
      <c r="E193" s="74" t="s">
        <v>310</v>
      </c>
      <c r="F193" s="75" t="n">
        <v>16</v>
      </c>
      <c r="G193" s="76" t="n">
        <f aca="false">IF(COUNTIF('Quote Lines'!$P$3:$P$805,$A193&amp;"|"&amp;G$6&amp;"|1")=0,"—",SUMIFS('Quote Lines'!$O$3:$O$805,'Quote Lines'!$P$3:$P$805,$A193&amp;"|"&amp;G$6&amp;"|1")/SUMIFS('Quote Lines'!$L$3:$L$805,'Quote Lines'!$P$3:$P$805,$A193&amp;"|"&amp;G$6&amp;"|1")+IFERROR(SUMIFS('Quote Lines'!$O$3:$O$805,'Quote Lines'!$P$3:$P$805,$A193&amp;"|"&amp;G$6&amp;"|2")/SUMIFS('Quote Lines'!$L$3:$L$805,'Quote Lines'!$P$3:$P$805,$A193&amp;"|"&amp;G$6&amp;"|2"),0))</f>
        <v>71.29</v>
      </c>
      <c r="H193" s="76" t="n">
        <f aca="false">IF(COUNTIF('Quote Lines'!$P$3:$P$805,$A193&amp;"|"&amp;H$6&amp;"|1")=0,"—",SUMIFS('Quote Lines'!$O$3:$O$805,'Quote Lines'!$P$3:$P$805,$A193&amp;"|"&amp;H$6&amp;"|1")/SUMIFS('Quote Lines'!$L$3:$L$805,'Quote Lines'!$P$3:$P$805,$A193&amp;"|"&amp;H$6&amp;"|1")+IFERROR(SUMIFS('Quote Lines'!$O$3:$O$805,'Quote Lines'!$P$3:$P$805,$A193&amp;"|"&amp;H$6&amp;"|2")/SUMIFS('Quote Lines'!$L$3:$L$805,'Quote Lines'!$P$3:$P$805,$A193&amp;"|"&amp;H$6&amp;"|2"),0))</f>
        <v>59.98</v>
      </c>
      <c r="I193" s="76" t="n">
        <f aca="false">IF(COUNTIF('Quote Lines'!$P$3:$P$805,$A193&amp;"|"&amp;I$6&amp;"|1")=0,"—",SUMIFS('Quote Lines'!$O$3:$O$805,'Quote Lines'!$P$3:$P$805,$A193&amp;"|"&amp;I$6&amp;"|1")/SUMIFS('Quote Lines'!$L$3:$L$805,'Quote Lines'!$P$3:$P$805,$A193&amp;"|"&amp;I$6&amp;"|1"))</f>
        <v>35.06</v>
      </c>
      <c r="J193" s="85" t="s">
        <v>138</v>
      </c>
      <c r="K193" s="14" t="n">
        <f aca="false">IF(ISNUMBER(G193),G193*$F193,"—")</f>
        <v>1140.64</v>
      </c>
      <c r="L193" s="14" t="n">
        <f aca="false">IF(ISNUMBER(H193),H193*$F193,"—")</f>
        <v>959.68</v>
      </c>
      <c r="M193" s="14" t="n">
        <f aca="false">IF(ISNUMBER(I193),I193*$F193,"—")</f>
        <v>560.96</v>
      </c>
      <c r="N193" s="14" t="str">
        <f aca="false">IF(ISNUMBER(J193),J193*$F193,"—")</f>
        <v>—</v>
      </c>
      <c r="O193" s="77" t="n">
        <f aca="false">IF($S193=0,"—",MIN(G193:J193))</f>
        <v>35.06</v>
      </c>
      <c r="P193" s="42" t="str">
        <f aca="false">IF($S193=0,"—",IF(COUNTIF(G193:J193,O193)&gt;1,"Tie",INDEX($G$6:$J$6,MATCH(O193,G193:J193,0))))</f>
        <v>Mountainland</v>
      </c>
      <c r="Q193" s="48" t="n">
        <f aca="false">IF($S193&gt;=2,MAX(G193:J193)/MIN(G193:J193)-1,"—")</f>
        <v>1.03337136337707</v>
      </c>
      <c r="R193" s="78" t="n">
        <f aca="false">IF($S193&gt;=2,(MAX(G193:J193)-MIN(G193:J193))*$F193,"—")</f>
        <v>579.68</v>
      </c>
      <c r="S193" s="18" t="n">
        <f aca="false">COUNT(G193:J193)</f>
        <v>3</v>
      </c>
      <c r="T193" s="79" t="str">
        <f aca="false">IF($S193&lt;=1,IF($S193=1,"Single quote","—"),"Alt spec – verify")</f>
        <v>Alt spec – verify</v>
      </c>
      <c r="U193" s="79" t="str">
        <f aca="false">IF(COUNT(W193:Z193)&lt;2,"",IF(MAX(W193:Z193)=MIN(W193:Z193),"OK","Qty differs"))</f>
        <v>OK</v>
      </c>
      <c r="V193" s="80" t="s">
        <v>545</v>
      </c>
      <c r="W193" s="81" t="n">
        <f aca="false">IF(COUNTIFS('Quote Lines'!$P$3:$P$805,$A193&amp;"|"&amp;G$6&amp;"|1",'Quote Lines'!$M$3:$M$805,"Y")=0,"",SUMIFS('Quote Lines'!$L$3:$L$805,'Quote Lines'!$P$3:$P$805,$A193&amp;"|"&amp;G$6&amp;"|1",'Quote Lines'!$M$3:$M$805,"Y"))</f>
        <v>16</v>
      </c>
      <c r="X193" s="81" t="n">
        <f aca="false">IF(COUNTIFS('Quote Lines'!$P$3:$P$805,$A193&amp;"|"&amp;H$6&amp;"|1",'Quote Lines'!$M$3:$M$805,"Y")=0,"",SUMIFS('Quote Lines'!$L$3:$L$805,'Quote Lines'!$P$3:$P$805,$A193&amp;"|"&amp;H$6&amp;"|1",'Quote Lines'!$M$3:$M$805,"Y"))</f>
        <v>16</v>
      </c>
      <c r="Y193" s="81" t="n">
        <f aca="false">IF(COUNTIFS('Quote Lines'!$P$3:$P$805,$A193&amp;"|"&amp;I$6&amp;"|1",'Quote Lines'!$M$3:$M$805,"Y")=0,"",SUMIFS('Quote Lines'!$L$3:$L$805,'Quote Lines'!$P$3:$P$805,$A193&amp;"|"&amp;I$6&amp;"|1",'Quote Lines'!$M$3:$M$805,"Y"))</f>
        <v>16</v>
      </c>
      <c r="Z193" s="81"/>
      <c r="AA193" s="82" t="n">
        <f aca="false">IF(ISNUMBER(G193),1+SUMPRODUCT(ISNUMBER($G193:$J193)*($G193:$J193&lt;G193)),"")</f>
        <v>3</v>
      </c>
      <c r="AB193" s="82" t="n">
        <f aca="false">IF(ISNUMBER(H193),1+SUMPRODUCT(ISNUMBER($G193:$J193)*($G193:$J193&lt;H193)),"")</f>
        <v>2</v>
      </c>
      <c r="AC193" s="82" t="n">
        <f aca="false">IF(ISNUMBER(I193),1+SUMPRODUCT(ISNUMBER($G193:$J193)*($G193:$J193&lt;I193)),"")</f>
        <v>1</v>
      </c>
      <c r="AD193" s="82" t="str">
        <f aca="false">IF(ISNUMBER(J193),1+SUMPRODUCT(ISNUMBER($G193:$J193)*($G193:$J193&lt;J193)),"")</f>
        <v/>
      </c>
      <c r="AE193" s="82" t="n">
        <f aca="false">IF(NOT(ISNUMBER(G193)),0,IF($S193&lt;2,5,IF(AA193=1,1,IF(G193=MAX($G193:$J193),4,IF(AA193=2,2,3)))))</f>
        <v>4</v>
      </c>
      <c r="AF193" s="82" t="n">
        <f aca="false">IF(NOT(ISNUMBER(H193)),0,IF($S193&lt;2,5,IF(AB193=1,1,IF(H193=MAX($G193:$J193),4,IF(AB193=2,2,3)))))</f>
        <v>2</v>
      </c>
      <c r="AG193" s="82" t="n">
        <f aca="false">IF(NOT(ISNUMBER(I193)),0,IF($S193&lt;2,5,IF(AC193=1,1,IF(I193=MAX($G193:$J193),4,IF(AC193=2,2,3)))))</f>
        <v>1</v>
      </c>
      <c r="AH193" s="82" t="n">
        <f aca="false">IF(NOT(ISNUMBER(J193)),0,IF($S193&lt;2,5,IF(AD193=1,1,IF(J193=MAX($G193:$J193),4,IF(AD193=2,2,3)))))</f>
        <v>0</v>
      </c>
      <c r="AI193" s="83" t="n">
        <f aca="false">IF($S193&gt;=2,IF(ISNUMBER(G193),G193*$F193,MIN($G193:$J193)*$F193),0)</f>
        <v>1140.64</v>
      </c>
      <c r="AJ193" s="83" t="n">
        <f aca="false">IF($S193&gt;=2,IF(ISNUMBER(H193),H193*$F193,MIN($G193:$J193)*$F193),0)</f>
        <v>959.68</v>
      </c>
      <c r="AK193" s="83" t="n">
        <f aca="false">IF($S193&gt;=2,IF(ISNUMBER(I193),I193*$F193,MIN($G193:$J193)*$F193),0)</f>
        <v>560.96</v>
      </c>
      <c r="AL193" s="83" t="n">
        <f aca="false">IF($S193&gt;=2,IF(ISNUMBER(J193),J193*$F193,MIN($G193:$J193)*$F193),0)</f>
        <v>560.96</v>
      </c>
      <c r="AM193" s="84" t="n">
        <f aca="false">IF($S193&gt;=2,$R193+ROW()/1000000,"")</f>
        <v>579.680193</v>
      </c>
      <c r="AN193" s="83" t="n">
        <f aca="false">IF($S193&gt;=2,MAX(G193:J193),"")</f>
        <v>71.29</v>
      </c>
      <c r="AO193" s="82" t="str">
        <f aca="false">IF($S193&gt;=2,INDEX($G$6:$J$6,MATCH(MAX(G193:J193),G193:J193,0)),"")</f>
        <v>Ferguson</v>
      </c>
      <c r="AP193" s="83" t="n">
        <f aca="false">IF($S193&gt;=2,MIN(G193:J193)*$F193,0)</f>
        <v>560.96</v>
      </c>
      <c r="AQ193" s="82" t="str">
        <f aca="false">IF($S193&gt;=2,INDEX($G$6:$J$6,MATCH(MIN(G193:J193),G193:J193,0)),"")</f>
        <v>Mountainland</v>
      </c>
    </row>
    <row r="194" customFormat="false" ht="15" hidden="false" customHeight="true" outlineLevel="0" collapsed="false">
      <c r="A194" s="70" t="s">
        <v>546</v>
      </c>
      <c r="B194" s="71" t="s">
        <v>540</v>
      </c>
      <c r="C194" s="72" t="s">
        <v>131</v>
      </c>
      <c r="D194" s="73" t="s">
        <v>547</v>
      </c>
      <c r="E194" s="74" t="s">
        <v>133</v>
      </c>
      <c r="F194" s="75" t="n">
        <v>1</v>
      </c>
      <c r="G194" s="85" t="s">
        <v>138</v>
      </c>
      <c r="H194" s="85" t="s">
        <v>138</v>
      </c>
      <c r="I194" s="76" t="n">
        <f aca="false">IF(COUNTIF('Quote Lines'!$P$3:$P$805,$A194&amp;"|"&amp;I$6&amp;"|1")=0,"—",SUMIFS('Quote Lines'!$O$3:$O$805,'Quote Lines'!$P$3:$P$805,$A194&amp;"|"&amp;I$6&amp;"|1")/SUMIFS('Quote Lines'!$L$3:$L$805,'Quote Lines'!$P$3:$P$805,$A194&amp;"|"&amp;I$6&amp;"|1"))</f>
        <v>242.93</v>
      </c>
      <c r="J194" s="85" t="s">
        <v>138</v>
      </c>
      <c r="K194" s="14" t="str">
        <f aca="false">IF(ISNUMBER(G194),G194*$F194,"—")</f>
        <v>—</v>
      </c>
      <c r="L194" s="14" t="str">
        <f aca="false">IF(ISNUMBER(H194),H194*$F194,"—")</f>
        <v>—</v>
      </c>
      <c r="M194" s="14" t="n">
        <f aca="false">IF(ISNUMBER(I194),I194*$F194,"—")</f>
        <v>242.93</v>
      </c>
      <c r="N194" s="14" t="str">
        <f aca="false">IF(ISNUMBER(J194),J194*$F194,"—")</f>
        <v>—</v>
      </c>
      <c r="O194" s="77" t="n">
        <f aca="false">IF($S194=0,"—",MIN(G194:J194))</f>
        <v>242.93</v>
      </c>
      <c r="P194" s="42" t="str">
        <f aca="false">IF($S194=0,"—",IF(COUNTIF(G194:J194,O194)&gt;1,"Tie",INDEX($G$6:$J$6,MATCH(O194,G194:J194,0))))</f>
        <v>Mountainland</v>
      </c>
      <c r="Q194" s="48" t="str">
        <f aca="false">IF($S194&gt;=2,MAX(G194:J194)/MIN(G194:J194)-1,"—")</f>
        <v>—</v>
      </c>
      <c r="R194" s="78" t="str">
        <f aca="false">IF($S194&gt;=2,(MAX(G194:J194)-MIN(G194:J194))*$F194,"—")</f>
        <v>—</v>
      </c>
      <c r="S194" s="18" t="n">
        <f aca="false">COUNT(G194:J194)</f>
        <v>1</v>
      </c>
      <c r="T194" s="79" t="str">
        <f aca="false">IF($S194&lt;=1,IF($S194=1,"Single quote","—"),"Like-for-like")</f>
        <v>Single quote</v>
      </c>
      <c r="U194" s="79" t="str">
        <f aca="false">IF(COUNT(W194:Z194)&lt;2,"",IF(MAX(W194:Z194)=MIN(W194:Z194),"OK","Qty differs"))</f>
        <v/>
      </c>
      <c r="V194" s="80"/>
      <c r="W194" s="81"/>
      <c r="X194" s="81"/>
      <c r="Y194" s="81" t="n">
        <f aca="false">IF(COUNTIFS('Quote Lines'!$P$3:$P$805,$A194&amp;"|"&amp;I$6&amp;"|1",'Quote Lines'!$M$3:$M$805,"Y")=0,"",SUMIFS('Quote Lines'!$L$3:$L$805,'Quote Lines'!$P$3:$P$805,$A194&amp;"|"&amp;I$6&amp;"|1",'Quote Lines'!$M$3:$M$805,"Y"))</f>
        <v>1</v>
      </c>
      <c r="Z194" s="81"/>
      <c r="AA194" s="82" t="str">
        <f aca="false">IF(ISNUMBER(G194),1+SUMPRODUCT(ISNUMBER($G194:$J194)*($G194:$J194&lt;G194)),"")</f>
        <v/>
      </c>
      <c r="AB194" s="82" t="str">
        <f aca="false">IF(ISNUMBER(H194),1+SUMPRODUCT(ISNUMBER($G194:$J194)*($G194:$J194&lt;H194)),"")</f>
        <v/>
      </c>
      <c r="AC194" s="82" t="n">
        <f aca="false">IF(ISNUMBER(I194),1+SUMPRODUCT(ISNUMBER($G194:$J194)*($G194:$J194&lt;I194)),"")</f>
        <v>1</v>
      </c>
      <c r="AD194" s="82" t="str">
        <f aca="false">IF(ISNUMBER(J194),1+SUMPRODUCT(ISNUMBER($G194:$J194)*($G194:$J194&lt;J194)),"")</f>
        <v/>
      </c>
      <c r="AE194" s="82" t="n">
        <f aca="false">IF(NOT(ISNUMBER(G194)),0,IF($S194&lt;2,5,IF(AA194=1,1,IF(G194=MAX($G194:$J194),4,IF(AA194=2,2,3)))))</f>
        <v>0</v>
      </c>
      <c r="AF194" s="82" t="n">
        <f aca="false">IF(NOT(ISNUMBER(H194)),0,IF($S194&lt;2,5,IF(AB194=1,1,IF(H194=MAX($G194:$J194),4,IF(AB194=2,2,3)))))</f>
        <v>0</v>
      </c>
      <c r="AG194" s="82" t="n">
        <f aca="false">IF(NOT(ISNUMBER(I194)),0,IF($S194&lt;2,5,IF(AC194=1,1,IF(I194=MAX($G194:$J194),4,IF(AC194=2,2,3)))))</f>
        <v>5</v>
      </c>
      <c r="AH194" s="82" t="n">
        <f aca="false">IF(NOT(ISNUMBER(J194)),0,IF($S194&lt;2,5,IF(AD194=1,1,IF(J194=MAX($G194:$J194),4,IF(AD194=2,2,3)))))</f>
        <v>0</v>
      </c>
      <c r="AI194" s="83" t="n">
        <f aca="false">IF($S194&gt;=2,IF(ISNUMBER(G194),G194*$F194,MIN($G194:$J194)*$F194),0)</f>
        <v>0</v>
      </c>
      <c r="AJ194" s="83" t="n">
        <f aca="false">IF($S194&gt;=2,IF(ISNUMBER(H194),H194*$F194,MIN($G194:$J194)*$F194),0)</f>
        <v>0</v>
      </c>
      <c r="AK194" s="83" t="n">
        <f aca="false">IF($S194&gt;=2,IF(ISNUMBER(I194),I194*$F194,MIN($G194:$J194)*$F194),0)</f>
        <v>0</v>
      </c>
      <c r="AL194" s="83" t="n">
        <f aca="false">IF($S194&gt;=2,IF(ISNUMBER(J194),J194*$F194,MIN($G194:$J194)*$F194),0)</f>
        <v>0</v>
      </c>
      <c r="AM194" s="84" t="str">
        <f aca="false">IF($S194&gt;=2,$R194+ROW()/1000000,"")</f>
        <v/>
      </c>
      <c r="AN194" s="83" t="str">
        <f aca="false">IF($S194&gt;=2,MAX(G194:J194),"")</f>
        <v/>
      </c>
      <c r="AO194" s="82" t="str">
        <f aca="false">IF($S194&gt;=2,INDEX($G$6:$J$6,MATCH(MAX(G194:J194),G194:J194,0)),"")</f>
        <v/>
      </c>
      <c r="AP194" s="83" t="n">
        <f aca="false">IF($S194&gt;=2,MIN(G194:J194)*$F194,0)</f>
        <v>0</v>
      </c>
      <c r="AQ194" s="82" t="str">
        <f aca="false">IF($S194&gt;=2,INDEX($G$6:$J$6,MATCH(MIN(G194:J194),G194:J194,0)),"")</f>
        <v/>
      </c>
    </row>
    <row r="195" customFormat="false" ht="15" hidden="false" customHeight="true" outlineLevel="0" collapsed="false">
      <c r="A195" s="70" t="s">
        <v>548</v>
      </c>
      <c r="B195" s="71" t="s">
        <v>540</v>
      </c>
      <c r="C195" s="72" t="s">
        <v>131</v>
      </c>
      <c r="D195" s="73" t="s">
        <v>549</v>
      </c>
      <c r="E195" s="74" t="s">
        <v>133</v>
      </c>
      <c r="F195" s="75" t="n">
        <v>1</v>
      </c>
      <c r="G195" s="85" t="s">
        <v>138</v>
      </c>
      <c r="H195" s="85" t="s">
        <v>138</v>
      </c>
      <c r="I195" s="76" t="n">
        <f aca="false">IF(COUNTIF('Quote Lines'!$P$3:$P$805,$A195&amp;"|"&amp;I$6&amp;"|1")=0,"—",SUMIFS('Quote Lines'!$O$3:$O$805,'Quote Lines'!$P$3:$P$805,$A195&amp;"|"&amp;I$6&amp;"|1")/SUMIFS('Quote Lines'!$L$3:$L$805,'Quote Lines'!$P$3:$P$805,$A195&amp;"|"&amp;I$6&amp;"|1"))</f>
        <v>74.98</v>
      </c>
      <c r="J195" s="85" t="s">
        <v>138</v>
      </c>
      <c r="K195" s="14" t="str">
        <f aca="false">IF(ISNUMBER(G195),G195*$F195,"—")</f>
        <v>—</v>
      </c>
      <c r="L195" s="14" t="str">
        <f aca="false">IF(ISNUMBER(H195),H195*$F195,"—")</f>
        <v>—</v>
      </c>
      <c r="M195" s="14" t="n">
        <f aca="false">IF(ISNUMBER(I195),I195*$F195,"—")</f>
        <v>74.98</v>
      </c>
      <c r="N195" s="14" t="str">
        <f aca="false">IF(ISNUMBER(J195),J195*$F195,"—")</f>
        <v>—</v>
      </c>
      <c r="O195" s="77" t="n">
        <f aca="false">IF($S195=0,"—",MIN(G195:J195))</f>
        <v>74.98</v>
      </c>
      <c r="P195" s="42" t="str">
        <f aca="false">IF($S195=0,"—",IF(COUNTIF(G195:J195,O195)&gt;1,"Tie",INDEX($G$6:$J$6,MATCH(O195,G195:J195,0))))</f>
        <v>Mountainland</v>
      </c>
      <c r="Q195" s="48" t="str">
        <f aca="false">IF($S195&gt;=2,MAX(G195:J195)/MIN(G195:J195)-1,"—")</f>
        <v>—</v>
      </c>
      <c r="R195" s="78" t="str">
        <f aca="false">IF($S195&gt;=2,(MAX(G195:J195)-MIN(G195:J195))*$F195,"—")</f>
        <v>—</v>
      </c>
      <c r="S195" s="18" t="n">
        <f aca="false">COUNT(G195:J195)</f>
        <v>1</v>
      </c>
      <c r="T195" s="79" t="str">
        <f aca="false">IF($S195&lt;=1,IF($S195=1,"Single quote","—"),"Like-for-like")</f>
        <v>Single quote</v>
      </c>
      <c r="U195" s="79" t="str">
        <f aca="false">IF(COUNT(W195:Z195)&lt;2,"",IF(MAX(W195:Z195)=MIN(W195:Z195),"OK","Qty differs"))</f>
        <v/>
      </c>
      <c r="V195" s="80"/>
      <c r="W195" s="81"/>
      <c r="X195" s="81"/>
      <c r="Y195" s="81" t="n">
        <f aca="false">IF(COUNTIFS('Quote Lines'!$P$3:$P$805,$A195&amp;"|"&amp;I$6&amp;"|1",'Quote Lines'!$M$3:$M$805,"Y")=0,"",SUMIFS('Quote Lines'!$L$3:$L$805,'Quote Lines'!$P$3:$P$805,$A195&amp;"|"&amp;I$6&amp;"|1",'Quote Lines'!$M$3:$M$805,"Y"))</f>
        <v>1</v>
      </c>
      <c r="Z195" s="81"/>
      <c r="AA195" s="82" t="str">
        <f aca="false">IF(ISNUMBER(G195),1+SUMPRODUCT(ISNUMBER($G195:$J195)*($G195:$J195&lt;G195)),"")</f>
        <v/>
      </c>
      <c r="AB195" s="82" t="str">
        <f aca="false">IF(ISNUMBER(H195),1+SUMPRODUCT(ISNUMBER($G195:$J195)*($G195:$J195&lt;H195)),"")</f>
        <v/>
      </c>
      <c r="AC195" s="82" t="n">
        <f aca="false">IF(ISNUMBER(I195),1+SUMPRODUCT(ISNUMBER($G195:$J195)*($G195:$J195&lt;I195)),"")</f>
        <v>1</v>
      </c>
      <c r="AD195" s="82" t="str">
        <f aca="false">IF(ISNUMBER(J195),1+SUMPRODUCT(ISNUMBER($G195:$J195)*($G195:$J195&lt;J195)),"")</f>
        <v/>
      </c>
      <c r="AE195" s="82" t="n">
        <f aca="false">IF(NOT(ISNUMBER(G195)),0,IF($S195&lt;2,5,IF(AA195=1,1,IF(G195=MAX($G195:$J195),4,IF(AA195=2,2,3)))))</f>
        <v>0</v>
      </c>
      <c r="AF195" s="82" t="n">
        <f aca="false">IF(NOT(ISNUMBER(H195)),0,IF($S195&lt;2,5,IF(AB195=1,1,IF(H195=MAX($G195:$J195),4,IF(AB195=2,2,3)))))</f>
        <v>0</v>
      </c>
      <c r="AG195" s="82" t="n">
        <f aca="false">IF(NOT(ISNUMBER(I195)),0,IF($S195&lt;2,5,IF(AC195=1,1,IF(I195=MAX($G195:$J195),4,IF(AC195=2,2,3)))))</f>
        <v>5</v>
      </c>
      <c r="AH195" s="82" t="n">
        <f aca="false">IF(NOT(ISNUMBER(J195)),0,IF($S195&lt;2,5,IF(AD195=1,1,IF(J195=MAX($G195:$J195),4,IF(AD195=2,2,3)))))</f>
        <v>0</v>
      </c>
      <c r="AI195" s="83" t="n">
        <f aca="false">IF($S195&gt;=2,IF(ISNUMBER(G195),G195*$F195,MIN($G195:$J195)*$F195),0)</f>
        <v>0</v>
      </c>
      <c r="AJ195" s="83" t="n">
        <f aca="false">IF($S195&gt;=2,IF(ISNUMBER(H195),H195*$F195,MIN($G195:$J195)*$F195),0)</f>
        <v>0</v>
      </c>
      <c r="AK195" s="83" t="n">
        <f aca="false">IF($S195&gt;=2,IF(ISNUMBER(I195),I195*$F195,MIN($G195:$J195)*$F195),0)</f>
        <v>0</v>
      </c>
      <c r="AL195" s="83" t="n">
        <f aca="false">IF($S195&gt;=2,IF(ISNUMBER(J195),J195*$F195,MIN($G195:$J195)*$F195),0)</f>
        <v>0</v>
      </c>
      <c r="AM195" s="84" t="str">
        <f aca="false">IF($S195&gt;=2,$R195+ROW()/1000000,"")</f>
        <v/>
      </c>
      <c r="AN195" s="83" t="str">
        <f aca="false">IF($S195&gt;=2,MAX(G195:J195),"")</f>
        <v/>
      </c>
      <c r="AO195" s="82" t="str">
        <f aca="false">IF($S195&gt;=2,INDEX($G$6:$J$6,MATCH(MAX(G195:J195),G195:J195,0)),"")</f>
        <v/>
      </c>
      <c r="AP195" s="83" t="n">
        <f aca="false">IF($S195&gt;=2,MIN(G195:J195)*$F195,0)</f>
        <v>0</v>
      </c>
      <c r="AQ195" s="82" t="str">
        <f aca="false">IF($S195&gt;=2,INDEX($G$6:$J$6,MATCH(MIN(G195:J195),G195:J195,0)),"")</f>
        <v/>
      </c>
    </row>
    <row r="196" customFormat="false" ht="19.5" hidden="false" customHeight="true" outlineLevel="0" collapsed="false">
      <c r="A196" s="69"/>
      <c r="B196" s="9" t="s">
        <v>550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customFormat="false" ht="27.75" hidden="false" customHeight="true" outlineLevel="0" collapsed="false">
      <c r="A197" s="70" t="s">
        <v>551</v>
      </c>
      <c r="B197" s="71" t="s">
        <v>552</v>
      </c>
      <c r="C197" s="72" t="s">
        <v>240</v>
      </c>
      <c r="D197" s="73" t="s">
        <v>553</v>
      </c>
      <c r="E197" s="74" t="s">
        <v>133</v>
      </c>
      <c r="F197" s="75" t="n">
        <v>12</v>
      </c>
      <c r="G197" s="76" t="n">
        <f aca="false">IF(COUNTIF('Quote Lines'!$P$3:$P$805,$A197&amp;"|"&amp;G$6&amp;"|1")=0,"—",SUMIFS('Quote Lines'!$O$3:$O$805,'Quote Lines'!$P$3:$P$805,$A197&amp;"|"&amp;G$6&amp;"|1")/SUMIFS('Quote Lines'!$L$3:$L$805,'Quote Lines'!$P$3:$P$805,$A197&amp;"|"&amp;G$6&amp;"|1"))</f>
        <v>5586.2</v>
      </c>
      <c r="H197" s="76" t="n">
        <f aca="false">IF(COUNTIF('Quote Lines'!$P$3:$P$805,$A197&amp;"|"&amp;H$6&amp;"|1")=0,"—",SUMIFS('Quote Lines'!$O$3:$O$805,'Quote Lines'!$P$3:$P$805,$A197&amp;"|"&amp;H$6&amp;"|1")/SUMIFS('Quote Lines'!$L$3:$L$805,'Quote Lines'!$P$3:$P$805,$A197&amp;"|"&amp;H$6&amp;"|1"))</f>
        <v>4990.04</v>
      </c>
      <c r="I197" s="76" t="n">
        <f aca="false">IF(COUNTIF('Quote Lines'!$P$3:$P$805,$A197&amp;"|"&amp;I$6&amp;"|1")=0,"—",SUMIFS('Quote Lines'!$O$3:$O$805,'Quote Lines'!$P$3:$P$805,$A197&amp;"|"&amp;I$6&amp;"|1")/SUMIFS('Quote Lines'!$L$3:$L$805,'Quote Lines'!$P$3:$P$805,$A197&amp;"|"&amp;I$6&amp;"|1"))</f>
        <v>4341.17666666667</v>
      </c>
      <c r="J197" s="76" t="n">
        <f aca="false">IF(COUNTIF('Quote Lines'!$P$3:$P$805,$A197&amp;"|"&amp;J$6&amp;"|1")=0,"—",SUMIFS('Quote Lines'!$O$3:$O$805,'Quote Lines'!$P$3:$P$805,$A197&amp;"|"&amp;J$6&amp;"|1")/SUMIFS('Quote Lines'!$L$3:$L$805,'Quote Lines'!$P$3:$P$805,$A197&amp;"|"&amp;J$6&amp;"|1"))</f>
        <v>4100</v>
      </c>
      <c r="K197" s="14" t="n">
        <f aca="false">IF(ISNUMBER(G197),G197*$F197,"—")</f>
        <v>67034.4</v>
      </c>
      <c r="L197" s="14" t="n">
        <f aca="false">IF(ISNUMBER(H197),H197*$F197,"—")</f>
        <v>59880.48</v>
      </c>
      <c r="M197" s="14" t="n">
        <f aca="false">IF(ISNUMBER(I197),I197*$F197,"—")</f>
        <v>52094.12</v>
      </c>
      <c r="N197" s="14" t="n">
        <f aca="false">IF(ISNUMBER(J197),J197*$F197,"—")</f>
        <v>49200</v>
      </c>
      <c r="O197" s="77" t="n">
        <f aca="false">IF($S197=0,"—",MIN(G197:J197))</f>
        <v>4100</v>
      </c>
      <c r="P197" s="42" t="str">
        <f aca="false">IF($S197=0,"—",IF(COUNTIF(G197:J197,O197)&gt;1,"Tie",INDEX($G$6:$J$6,MATCH(O197,G197:J197,0))))</f>
        <v>Scholzen</v>
      </c>
      <c r="Q197" s="48" t="n">
        <f aca="false">IF($S197&gt;=2,MAX(G197:J197)/MIN(G197:J197)-1,"—")</f>
        <v>0.362487804878049</v>
      </c>
      <c r="R197" s="78" t="n">
        <f aca="false">IF($S197&gt;=2,(MAX(G197:J197)-MIN(G197:J197))*$F197,"—")</f>
        <v>17834.4</v>
      </c>
      <c r="S197" s="18" t="n">
        <f aca="false">COUNT(G197:J197)</f>
        <v>4</v>
      </c>
      <c r="T197" s="79" t="str">
        <f aca="false">IF($S197&lt;=1,IF($S197=1,"Single quote","—"),"Alt spec – verify")</f>
        <v>Alt spec – verify</v>
      </c>
      <c r="U197" s="79" t="str">
        <f aca="false">IF(COUNT(W197:Z197)&lt;2,"",IF(MAX(W197:Z197)=MIN(W197:Z197),"OK","Qty differs"))</f>
        <v>OK</v>
      </c>
      <c r="V197" s="80" t="s">
        <v>554</v>
      </c>
      <c r="W197" s="81" t="n">
        <f aca="false">IF(COUNTIFS('Quote Lines'!$P$3:$P$805,$A197&amp;"|"&amp;G$6&amp;"|1",'Quote Lines'!$M$3:$M$805,"Y")=0,"",SUMIFS('Quote Lines'!$L$3:$L$805,'Quote Lines'!$P$3:$P$805,$A197&amp;"|"&amp;G$6&amp;"|1",'Quote Lines'!$M$3:$M$805,"Y"))</f>
        <v>12</v>
      </c>
      <c r="X197" s="81" t="n">
        <f aca="false">IF(COUNTIFS('Quote Lines'!$P$3:$P$805,$A197&amp;"|"&amp;H$6&amp;"|1",'Quote Lines'!$M$3:$M$805,"Y")=0,"",SUMIFS('Quote Lines'!$L$3:$L$805,'Quote Lines'!$P$3:$P$805,$A197&amp;"|"&amp;H$6&amp;"|1",'Quote Lines'!$M$3:$M$805,"Y"))</f>
        <v>12</v>
      </c>
      <c r="Y197" s="81" t="n">
        <f aca="false">IF(COUNTIFS('Quote Lines'!$P$3:$P$805,$A197&amp;"|"&amp;I$6&amp;"|1",'Quote Lines'!$M$3:$M$805,"Y")=0,"",SUMIFS('Quote Lines'!$L$3:$L$805,'Quote Lines'!$P$3:$P$805,$A197&amp;"|"&amp;I$6&amp;"|1",'Quote Lines'!$M$3:$M$805,"Y"))</f>
        <v>12</v>
      </c>
      <c r="Z197" s="81" t="n">
        <f aca="false">IF(COUNTIFS('Quote Lines'!$P$3:$P$805,$A197&amp;"|"&amp;J$6&amp;"|1",'Quote Lines'!$M$3:$M$805,"Y")=0,"",SUMIFS('Quote Lines'!$L$3:$L$805,'Quote Lines'!$P$3:$P$805,$A197&amp;"|"&amp;J$6&amp;"|1",'Quote Lines'!$M$3:$M$805,"Y"))</f>
        <v>12</v>
      </c>
      <c r="AA197" s="82" t="n">
        <f aca="false">IF(ISNUMBER(G197),1+SUMPRODUCT(ISNUMBER($G197:$J197)*($G197:$J197&lt;G197)),"")</f>
        <v>4</v>
      </c>
      <c r="AB197" s="82" t="n">
        <f aca="false">IF(ISNUMBER(H197),1+SUMPRODUCT(ISNUMBER($G197:$J197)*($G197:$J197&lt;H197)),"")</f>
        <v>3</v>
      </c>
      <c r="AC197" s="82" t="n">
        <f aca="false">IF(ISNUMBER(I197),1+SUMPRODUCT(ISNUMBER($G197:$J197)*($G197:$J197&lt;I197)),"")</f>
        <v>2</v>
      </c>
      <c r="AD197" s="82" t="n">
        <f aca="false">IF(ISNUMBER(J197),1+SUMPRODUCT(ISNUMBER($G197:$J197)*($G197:$J197&lt;J197)),"")</f>
        <v>1</v>
      </c>
      <c r="AE197" s="82" t="n">
        <f aca="false">IF(NOT(ISNUMBER(G197)),0,IF($S197&lt;2,5,IF(AA197=1,1,IF(G197=MAX($G197:$J197),4,IF(AA197=2,2,3)))))</f>
        <v>4</v>
      </c>
      <c r="AF197" s="82" t="n">
        <f aca="false">IF(NOT(ISNUMBER(H197)),0,IF($S197&lt;2,5,IF(AB197=1,1,IF(H197=MAX($G197:$J197),4,IF(AB197=2,2,3)))))</f>
        <v>3</v>
      </c>
      <c r="AG197" s="82" t="n">
        <f aca="false">IF(NOT(ISNUMBER(I197)),0,IF($S197&lt;2,5,IF(AC197=1,1,IF(I197=MAX($G197:$J197),4,IF(AC197=2,2,3)))))</f>
        <v>2</v>
      </c>
      <c r="AH197" s="82" t="n">
        <f aca="false">IF(NOT(ISNUMBER(J197)),0,IF($S197&lt;2,5,IF(AD197=1,1,IF(J197=MAX($G197:$J197),4,IF(AD197=2,2,3)))))</f>
        <v>1</v>
      </c>
      <c r="AI197" s="83" t="n">
        <f aca="false">IF($S197&gt;=2,IF(ISNUMBER(G197),G197*$F197,MIN($G197:$J197)*$F197),0)</f>
        <v>67034.4</v>
      </c>
      <c r="AJ197" s="83" t="n">
        <f aca="false">IF($S197&gt;=2,IF(ISNUMBER(H197),H197*$F197,MIN($G197:$J197)*$F197),0)</f>
        <v>59880.48</v>
      </c>
      <c r="AK197" s="83" t="n">
        <f aca="false">IF($S197&gt;=2,IF(ISNUMBER(I197),I197*$F197,MIN($G197:$J197)*$F197),0)</f>
        <v>52094.12</v>
      </c>
      <c r="AL197" s="83" t="n">
        <f aca="false">IF($S197&gt;=2,IF(ISNUMBER(J197),J197*$F197,MIN($G197:$J197)*$F197),0)</f>
        <v>49200</v>
      </c>
      <c r="AM197" s="84" t="n">
        <f aca="false">IF($S197&gt;=2,$R197+ROW()/1000000,"")</f>
        <v>17834.400197</v>
      </c>
      <c r="AN197" s="83" t="n">
        <f aca="false">IF($S197&gt;=2,MAX(G197:J197),"")</f>
        <v>5586.2</v>
      </c>
      <c r="AO197" s="82" t="str">
        <f aca="false">IF($S197&gt;=2,INDEX($G$6:$J$6,MATCH(MAX(G197:J197),G197:J197,0)),"")</f>
        <v>Ferguson</v>
      </c>
      <c r="AP197" s="83" t="n">
        <f aca="false">IF($S197&gt;=2,MIN(G197:J197)*$F197,0)</f>
        <v>49200</v>
      </c>
      <c r="AQ197" s="82" t="str">
        <f aca="false">IF($S197&gt;=2,INDEX($G$6:$J$6,MATCH(MIN(G197:J197),G197:J197,0)),"")</f>
        <v>Scholzen</v>
      </c>
    </row>
    <row r="198" customFormat="false" ht="15" hidden="false" customHeight="true" outlineLevel="0" collapsed="false">
      <c r="A198" s="70" t="s">
        <v>555</v>
      </c>
      <c r="B198" s="71" t="s">
        <v>552</v>
      </c>
      <c r="C198" s="72" t="s">
        <v>257</v>
      </c>
      <c r="D198" s="73" t="s">
        <v>514</v>
      </c>
      <c r="E198" s="74" t="s">
        <v>133</v>
      </c>
      <c r="F198" s="75" t="n">
        <v>12</v>
      </c>
      <c r="G198" s="76" t="n">
        <f aca="false">IF(COUNTIF('Quote Lines'!$P$3:$P$805,$A198&amp;"|"&amp;G$6&amp;"|1")=0,"—",SUMIFS('Quote Lines'!$O$3:$O$805,'Quote Lines'!$P$3:$P$805,$A198&amp;"|"&amp;G$6&amp;"|1")/SUMIFS('Quote Lines'!$L$3:$L$805,'Quote Lines'!$P$3:$P$805,$A198&amp;"|"&amp;G$6&amp;"|1")+IFERROR(SUMIFS('Quote Lines'!$O$3:$O$805,'Quote Lines'!$P$3:$P$805,$A198&amp;"|"&amp;G$6&amp;"|2")/SUMIFS('Quote Lines'!$L$3:$L$805,'Quote Lines'!$P$3:$P$805,$A198&amp;"|"&amp;G$6&amp;"|2"),0)+IFERROR(SUMIFS('Quote Lines'!$O$3:$O$805,'Quote Lines'!$P$3:$P$805,$A198&amp;"|"&amp;G$6&amp;"|3")/SUMIFS('Quote Lines'!$L$3:$L$805,'Quote Lines'!$P$3:$P$805,$A198&amp;"|"&amp;G$6&amp;"|3"),0))</f>
        <v>165.05</v>
      </c>
      <c r="H198" s="76" t="n">
        <f aca="false">IF(COUNTIF('Quote Lines'!$P$3:$P$805,$A198&amp;"|"&amp;H$6&amp;"|1")=0,"—",SUMIFS('Quote Lines'!$O$3:$O$805,'Quote Lines'!$P$3:$P$805,$A198&amp;"|"&amp;H$6&amp;"|1")/SUMIFS('Quote Lines'!$L$3:$L$805,'Quote Lines'!$P$3:$P$805,$A198&amp;"|"&amp;H$6&amp;"|1")+IFERROR(SUMIFS('Quote Lines'!$O$3:$O$805,'Quote Lines'!$P$3:$P$805,$A198&amp;"|"&amp;H$6&amp;"|2")/SUMIFS('Quote Lines'!$L$3:$L$805,'Quote Lines'!$P$3:$P$805,$A198&amp;"|"&amp;H$6&amp;"|2"),0)+IFERROR(SUMIFS('Quote Lines'!$O$3:$O$805,'Quote Lines'!$P$3:$P$805,$A198&amp;"|"&amp;H$6&amp;"|3")/SUMIFS('Quote Lines'!$L$3:$L$805,'Quote Lines'!$P$3:$P$805,$A198&amp;"|"&amp;H$6&amp;"|3"),0))</f>
        <v>145.33</v>
      </c>
      <c r="I198" s="76" t="n">
        <f aca="false">IF(COUNTIF('Quote Lines'!$P$3:$P$805,$A198&amp;"|"&amp;I$6&amp;"|1")=0,"—",SUMIFS('Quote Lines'!$O$3:$O$805,'Quote Lines'!$P$3:$P$805,$A198&amp;"|"&amp;I$6&amp;"|1")/SUMIFS('Quote Lines'!$L$3:$L$805,'Quote Lines'!$P$3:$P$805,$A198&amp;"|"&amp;I$6&amp;"|1"))</f>
        <v>132.5</v>
      </c>
      <c r="J198" s="76" t="n">
        <f aca="false">IF(COUNTIF('Quote Lines'!$P$3:$P$805,$A198&amp;"|"&amp;J$6&amp;"|1")=0,"—",SUMIFS('Quote Lines'!$O$3:$O$805,'Quote Lines'!$P$3:$P$805,$A198&amp;"|"&amp;J$6&amp;"|1")/SUMIFS('Quote Lines'!$L$3:$L$805,'Quote Lines'!$P$3:$P$805,$A198&amp;"|"&amp;J$6&amp;"|1"))</f>
        <v>141.45</v>
      </c>
      <c r="K198" s="14" t="n">
        <f aca="false">IF(ISNUMBER(G198),G198*$F198,"—")</f>
        <v>1980.6</v>
      </c>
      <c r="L198" s="14" t="n">
        <f aca="false">IF(ISNUMBER(H198),H198*$F198,"—")</f>
        <v>1743.96</v>
      </c>
      <c r="M198" s="14" t="n">
        <f aca="false">IF(ISNUMBER(I198),I198*$F198,"—")</f>
        <v>1590</v>
      </c>
      <c r="N198" s="14" t="n">
        <f aca="false">IF(ISNUMBER(J198),J198*$F198,"—")</f>
        <v>1697.4</v>
      </c>
      <c r="O198" s="77" t="n">
        <f aca="false">IF($S198=0,"—",MIN(G198:J198))</f>
        <v>132.5</v>
      </c>
      <c r="P198" s="42" t="str">
        <f aca="false">IF($S198=0,"—",IF(COUNTIF(G198:J198,O198)&gt;1,"Tie",INDEX($G$6:$J$6,MATCH(O198,G198:J198,0))))</f>
        <v>Mountainland</v>
      </c>
      <c r="Q198" s="48" t="n">
        <f aca="false">IF($S198&gt;=2,MAX(G198:J198)/MIN(G198:J198)-1,"—")</f>
        <v>0.245660377358491</v>
      </c>
      <c r="R198" s="78" t="n">
        <f aca="false">IF($S198&gt;=2,(MAX(G198:J198)-MIN(G198:J198))*$F198,"—")</f>
        <v>390.6</v>
      </c>
      <c r="S198" s="18" t="n">
        <f aca="false">COUNT(G198:J198)</f>
        <v>4</v>
      </c>
      <c r="T198" s="79" t="str">
        <f aca="false">IF($S198&lt;=1,IF($S198=1,"Single quote","—"),"Like-for-like")</f>
        <v>Like-for-like</v>
      </c>
      <c r="U198" s="79" t="str">
        <f aca="false">IF(COUNT(W198:Z198)&lt;2,"",IF(MAX(W198:Z198)=MIN(W198:Z198),"OK","Qty differs"))</f>
        <v>OK</v>
      </c>
      <c r="V198" s="80"/>
      <c r="W198" s="81" t="n">
        <f aca="false">IF(COUNTIFS('Quote Lines'!$P$3:$P$805,$A198&amp;"|"&amp;G$6&amp;"|1",'Quote Lines'!$M$3:$M$805,"Y")=0,"",SUMIFS('Quote Lines'!$L$3:$L$805,'Quote Lines'!$P$3:$P$805,$A198&amp;"|"&amp;G$6&amp;"|1",'Quote Lines'!$M$3:$M$805,"Y"))</f>
        <v>12</v>
      </c>
      <c r="X198" s="81" t="n">
        <f aca="false">IF(COUNTIFS('Quote Lines'!$P$3:$P$805,$A198&amp;"|"&amp;H$6&amp;"|1",'Quote Lines'!$M$3:$M$805,"Y")=0,"",SUMIFS('Quote Lines'!$L$3:$L$805,'Quote Lines'!$P$3:$P$805,$A198&amp;"|"&amp;H$6&amp;"|1",'Quote Lines'!$M$3:$M$805,"Y"))</f>
        <v>12</v>
      </c>
      <c r="Y198" s="81" t="n">
        <f aca="false">IF(COUNTIFS('Quote Lines'!$P$3:$P$805,$A198&amp;"|"&amp;I$6&amp;"|1",'Quote Lines'!$M$3:$M$805,"Y")=0,"",SUMIFS('Quote Lines'!$L$3:$L$805,'Quote Lines'!$P$3:$P$805,$A198&amp;"|"&amp;I$6&amp;"|1",'Quote Lines'!$M$3:$M$805,"Y"))</f>
        <v>12</v>
      </c>
      <c r="Z198" s="81" t="n">
        <f aca="false">IF(COUNTIFS('Quote Lines'!$P$3:$P$805,$A198&amp;"|"&amp;J$6&amp;"|1",'Quote Lines'!$M$3:$M$805,"Y")=0,"",SUMIFS('Quote Lines'!$L$3:$L$805,'Quote Lines'!$P$3:$P$805,$A198&amp;"|"&amp;J$6&amp;"|1",'Quote Lines'!$M$3:$M$805,"Y"))</f>
        <v>12</v>
      </c>
      <c r="AA198" s="82" t="n">
        <f aca="false">IF(ISNUMBER(G198),1+SUMPRODUCT(ISNUMBER($G198:$J198)*($G198:$J198&lt;G198)),"")</f>
        <v>4</v>
      </c>
      <c r="AB198" s="82" t="n">
        <f aca="false">IF(ISNUMBER(H198),1+SUMPRODUCT(ISNUMBER($G198:$J198)*($G198:$J198&lt;H198)),"")</f>
        <v>3</v>
      </c>
      <c r="AC198" s="82" t="n">
        <f aca="false">IF(ISNUMBER(I198),1+SUMPRODUCT(ISNUMBER($G198:$J198)*($G198:$J198&lt;I198)),"")</f>
        <v>1</v>
      </c>
      <c r="AD198" s="82" t="n">
        <f aca="false">IF(ISNUMBER(J198),1+SUMPRODUCT(ISNUMBER($G198:$J198)*($G198:$J198&lt;J198)),"")</f>
        <v>2</v>
      </c>
      <c r="AE198" s="82" t="n">
        <f aca="false">IF(NOT(ISNUMBER(G198)),0,IF($S198&lt;2,5,IF(AA198=1,1,IF(G198=MAX($G198:$J198),4,IF(AA198=2,2,3)))))</f>
        <v>4</v>
      </c>
      <c r="AF198" s="82" t="n">
        <f aca="false">IF(NOT(ISNUMBER(H198)),0,IF($S198&lt;2,5,IF(AB198=1,1,IF(H198=MAX($G198:$J198),4,IF(AB198=2,2,3)))))</f>
        <v>3</v>
      </c>
      <c r="AG198" s="82" t="n">
        <f aca="false">IF(NOT(ISNUMBER(I198)),0,IF($S198&lt;2,5,IF(AC198=1,1,IF(I198=MAX($G198:$J198),4,IF(AC198=2,2,3)))))</f>
        <v>1</v>
      </c>
      <c r="AH198" s="82" t="n">
        <f aca="false">IF(NOT(ISNUMBER(J198)),0,IF($S198&lt;2,5,IF(AD198=1,1,IF(J198=MAX($G198:$J198),4,IF(AD198=2,2,3)))))</f>
        <v>2</v>
      </c>
      <c r="AI198" s="83" t="n">
        <f aca="false">IF($S198&gt;=2,IF(ISNUMBER(G198),G198*$F198,MIN($G198:$J198)*$F198),0)</f>
        <v>1980.6</v>
      </c>
      <c r="AJ198" s="83" t="n">
        <f aca="false">IF($S198&gt;=2,IF(ISNUMBER(H198),H198*$F198,MIN($G198:$J198)*$F198),0)</f>
        <v>1743.96</v>
      </c>
      <c r="AK198" s="83" t="n">
        <f aca="false">IF($S198&gt;=2,IF(ISNUMBER(I198),I198*$F198,MIN($G198:$J198)*$F198),0)</f>
        <v>1590</v>
      </c>
      <c r="AL198" s="83" t="n">
        <f aca="false">IF($S198&gt;=2,IF(ISNUMBER(J198),J198*$F198,MIN($G198:$J198)*$F198),0)</f>
        <v>1697.4</v>
      </c>
      <c r="AM198" s="84" t="n">
        <f aca="false">IF($S198&gt;=2,$R198+ROW()/1000000,"")</f>
        <v>390.600198</v>
      </c>
      <c r="AN198" s="83" t="n">
        <f aca="false">IF($S198&gt;=2,MAX(G198:J198),"")</f>
        <v>165.05</v>
      </c>
      <c r="AO198" s="82" t="str">
        <f aca="false">IF($S198&gt;=2,INDEX($G$6:$J$6,MATCH(MAX(G198:J198),G198:J198,0)),"")</f>
        <v>Ferguson</v>
      </c>
      <c r="AP198" s="83" t="n">
        <f aca="false">IF($S198&gt;=2,MIN(G198:J198)*$F198,0)</f>
        <v>1590</v>
      </c>
      <c r="AQ198" s="82" t="str">
        <f aca="false">IF($S198&gt;=2,INDEX($G$6:$J$6,MATCH(MIN(G198:J198),G198:J198,0)),"")</f>
        <v>Mountainland</v>
      </c>
    </row>
    <row r="199" customFormat="false" ht="15" hidden="false" customHeight="true" outlineLevel="0" collapsed="false">
      <c r="A199" s="70" t="s">
        <v>556</v>
      </c>
      <c r="B199" s="71" t="s">
        <v>552</v>
      </c>
      <c r="C199" s="72" t="s">
        <v>294</v>
      </c>
      <c r="D199" s="73" t="s">
        <v>295</v>
      </c>
      <c r="E199" s="74" t="s">
        <v>133</v>
      </c>
      <c r="F199" s="75" t="n">
        <v>12</v>
      </c>
      <c r="G199" s="76" t="n">
        <f aca="false">IF(COUNTIF('Quote Lines'!$P$3:$P$805,$A199&amp;"|"&amp;G$6&amp;"|1")=0,"—",SUMIFS('Quote Lines'!$O$3:$O$805,'Quote Lines'!$P$3:$P$805,$A199&amp;"|"&amp;G$6&amp;"|1")/SUMIFS('Quote Lines'!$L$3:$L$805,'Quote Lines'!$P$3:$P$805,$A199&amp;"|"&amp;G$6&amp;"|1"))</f>
        <v>350.06</v>
      </c>
      <c r="H199" s="76" t="n">
        <f aca="false">IF(COUNTIF('Quote Lines'!$P$3:$P$805,$A199&amp;"|"&amp;H$6&amp;"|1")=0,"—",SUMIFS('Quote Lines'!$O$3:$O$805,'Quote Lines'!$P$3:$P$805,$A199&amp;"|"&amp;H$6&amp;"|1")/SUMIFS('Quote Lines'!$L$3:$L$805,'Quote Lines'!$P$3:$P$805,$A199&amp;"|"&amp;H$6&amp;"|1"))</f>
        <v>345.91</v>
      </c>
      <c r="I199" s="76" t="n">
        <f aca="false">IF(COUNTIF('Quote Lines'!$P$3:$P$805,$A199&amp;"|"&amp;I$6&amp;"|1")=0,"—",SUMIFS('Quote Lines'!$O$3:$O$805,'Quote Lines'!$P$3:$P$805,$A199&amp;"|"&amp;I$6&amp;"|1")/SUMIFS('Quote Lines'!$L$3:$L$805,'Quote Lines'!$P$3:$P$805,$A199&amp;"|"&amp;I$6&amp;"|1"))</f>
        <v>241.176363636364</v>
      </c>
      <c r="J199" s="76" t="n">
        <f aca="false">IF(COUNTIF('Quote Lines'!$P$3:$P$805,$A199&amp;"|"&amp;J$6&amp;"|1")=0,"—",SUMIFS('Quote Lines'!$O$3:$O$805,'Quote Lines'!$P$3:$P$805,$A199&amp;"|"&amp;J$6&amp;"|1")/SUMIFS('Quote Lines'!$L$3:$L$805,'Quote Lines'!$P$3:$P$805,$A199&amp;"|"&amp;J$6&amp;"|1"))</f>
        <v>399.53</v>
      </c>
      <c r="K199" s="14" t="n">
        <f aca="false">IF(ISNUMBER(G199),G199*$F199,"—")</f>
        <v>4200.72</v>
      </c>
      <c r="L199" s="14" t="n">
        <f aca="false">IF(ISNUMBER(H199),H199*$F199,"—")</f>
        <v>4150.92</v>
      </c>
      <c r="M199" s="14" t="n">
        <f aca="false">IF(ISNUMBER(I199),I199*$F199,"—")</f>
        <v>2894.11636363636</v>
      </c>
      <c r="N199" s="14" t="n">
        <f aca="false">IF(ISNUMBER(J199),J199*$F199,"—")</f>
        <v>4794.36</v>
      </c>
      <c r="O199" s="77" t="n">
        <f aca="false">IF($S199=0,"—",MIN(G199:J199))</f>
        <v>241.176363636364</v>
      </c>
      <c r="P199" s="42" t="str">
        <f aca="false">IF($S199=0,"—",IF(COUNTIF(G199:J199,O199)&gt;1,"Tie",INDEX($G$6:$J$6,MATCH(O199,G199:J199,0))))</f>
        <v>Mountainland</v>
      </c>
      <c r="Q199" s="48" t="n">
        <f aca="false">IF($S199&gt;=2,MAX(G199:J199)/MIN(G199:J199)-1,"—")</f>
        <v>0.656588539507113</v>
      </c>
      <c r="R199" s="78" t="n">
        <f aca="false">IF($S199&gt;=2,(MAX(G199:J199)-MIN(G199:J199))*$F199,"—")</f>
        <v>1900.24363636364</v>
      </c>
      <c r="S199" s="18" t="n">
        <f aca="false">COUNT(G199:J199)</f>
        <v>4</v>
      </c>
      <c r="T199" s="79" t="str">
        <f aca="false">IF($S199&lt;=1,IF($S199=1,"Single quote","—"),"Like-for-like")</f>
        <v>Like-for-like</v>
      </c>
      <c r="U199" s="79" t="str">
        <f aca="false">IF(COUNT(W199:Z199)&lt;2,"",IF(MAX(W199:Z199)=MIN(W199:Z199),"OK","Qty differs"))</f>
        <v>Qty differs</v>
      </c>
      <c r="V199" s="80"/>
      <c r="W199" s="81" t="n">
        <f aca="false">IF(COUNTIFS('Quote Lines'!$P$3:$P$805,$A199&amp;"|"&amp;G$6&amp;"|1",'Quote Lines'!$M$3:$M$805,"Y")=0,"",SUMIFS('Quote Lines'!$L$3:$L$805,'Quote Lines'!$P$3:$P$805,$A199&amp;"|"&amp;G$6&amp;"|1",'Quote Lines'!$M$3:$M$805,"Y"))</f>
        <v>12</v>
      </c>
      <c r="X199" s="81" t="n">
        <f aca="false">IF(COUNTIFS('Quote Lines'!$P$3:$P$805,$A199&amp;"|"&amp;H$6&amp;"|1",'Quote Lines'!$M$3:$M$805,"Y")=0,"",SUMIFS('Quote Lines'!$L$3:$L$805,'Quote Lines'!$P$3:$P$805,$A199&amp;"|"&amp;H$6&amp;"|1",'Quote Lines'!$M$3:$M$805,"Y"))</f>
        <v>12</v>
      </c>
      <c r="Y199" s="81" t="n">
        <f aca="false">IF(COUNTIFS('Quote Lines'!$P$3:$P$805,$A199&amp;"|"&amp;I$6&amp;"|1",'Quote Lines'!$M$3:$M$805,"Y")=0,"",SUMIFS('Quote Lines'!$L$3:$L$805,'Quote Lines'!$P$3:$P$805,$A199&amp;"|"&amp;I$6&amp;"|1",'Quote Lines'!$M$3:$M$805,"Y"))</f>
        <v>11</v>
      </c>
      <c r="Z199" s="81" t="n">
        <f aca="false">IF(COUNTIFS('Quote Lines'!$P$3:$P$805,$A199&amp;"|"&amp;J$6&amp;"|1",'Quote Lines'!$M$3:$M$805,"Y")=0,"",SUMIFS('Quote Lines'!$L$3:$L$805,'Quote Lines'!$P$3:$P$805,$A199&amp;"|"&amp;J$6&amp;"|1",'Quote Lines'!$M$3:$M$805,"Y"))</f>
        <v>12</v>
      </c>
      <c r="AA199" s="82" t="n">
        <f aca="false">IF(ISNUMBER(G199),1+SUMPRODUCT(ISNUMBER($G199:$J199)*($G199:$J199&lt;G199)),"")</f>
        <v>3</v>
      </c>
      <c r="AB199" s="82" t="n">
        <f aca="false">IF(ISNUMBER(H199),1+SUMPRODUCT(ISNUMBER($G199:$J199)*($G199:$J199&lt;H199)),"")</f>
        <v>2</v>
      </c>
      <c r="AC199" s="82" t="n">
        <f aca="false">IF(ISNUMBER(I199),1+SUMPRODUCT(ISNUMBER($G199:$J199)*($G199:$J199&lt;I199)),"")</f>
        <v>1</v>
      </c>
      <c r="AD199" s="82" t="n">
        <f aca="false">IF(ISNUMBER(J199),1+SUMPRODUCT(ISNUMBER($G199:$J199)*($G199:$J199&lt;J199)),"")</f>
        <v>4</v>
      </c>
      <c r="AE199" s="82" t="n">
        <f aca="false">IF(NOT(ISNUMBER(G199)),0,IF($S199&lt;2,5,IF(AA199=1,1,IF(G199=MAX($G199:$J199),4,IF(AA199=2,2,3)))))</f>
        <v>3</v>
      </c>
      <c r="AF199" s="82" t="n">
        <f aca="false">IF(NOT(ISNUMBER(H199)),0,IF($S199&lt;2,5,IF(AB199=1,1,IF(H199=MAX($G199:$J199),4,IF(AB199=2,2,3)))))</f>
        <v>2</v>
      </c>
      <c r="AG199" s="82" t="n">
        <f aca="false">IF(NOT(ISNUMBER(I199)),0,IF($S199&lt;2,5,IF(AC199=1,1,IF(I199=MAX($G199:$J199),4,IF(AC199=2,2,3)))))</f>
        <v>1</v>
      </c>
      <c r="AH199" s="82" t="n">
        <f aca="false">IF(NOT(ISNUMBER(J199)),0,IF($S199&lt;2,5,IF(AD199=1,1,IF(J199=MAX($G199:$J199),4,IF(AD199=2,2,3)))))</f>
        <v>4</v>
      </c>
      <c r="AI199" s="83" t="n">
        <f aca="false">IF($S199&gt;=2,IF(ISNUMBER(G199),G199*$F199,MIN($G199:$J199)*$F199),0)</f>
        <v>4200.72</v>
      </c>
      <c r="AJ199" s="83" t="n">
        <f aca="false">IF($S199&gt;=2,IF(ISNUMBER(H199),H199*$F199,MIN($G199:$J199)*$F199),0)</f>
        <v>4150.92</v>
      </c>
      <c r="AK199" s="83" t="n">
        <f aca="false">IF($S199&gt;=2,IF(ISNUMBER(I199),I199*$F199,MIN($G199:$J199)*$F199),0)</f>
        <v>2894.11636363636</v>
      </c>
      <c r="AL199" s="83" t="n">
        <f aca="false">IF($S199&gt;=2,IF(ISNUMBER(J199),J199*$F199,MIN($G199:$J199)*$F199),0)</f>
        <v>4794.36</v>
      </c>
      <c r="AM199" s="84" t="n">
        <f aca="false">IF($S199&gt;=2,$R199+ROW()/1000000,"")</f>
        <v>1900.24383536364</v>
      </c>
      <c r="AN199" s="83" t="n">
        <f aca="false">IF($S199&gt;=2,MAX(G199:J199),"")</f>
        <v>399.53</v>
      </c>
      <c r="AO199" s="82" t="str">
        <f aca="false">IF($S199&gt;=2,INDEX($G$6:$J$6,MATCH(MAX(G199:J199),G199:J199,0)),"")</f>
        <v>Scholzen</v>
      </c>
      <c r="AP199" s="83" t="n">
        <f aca="false">IF($S199&gt;=2,MIN(G199:J199)*$F199,0)</f>
        <v>2894.11636363636</v>
      </c>
      <c r="AQ199" s="82" t="str">
        <f aca="false">IF($S199&gt;=2,INDEX($G$6:$J$6,MATCH(MIN(G199:J199),G199:J199,0)),"")</f>
        <v>Mountainland</v>
      </c>
    </row>
    <row r="200" customFormat="false" ht="15" hidden="false" customHeight="true" outlineLevel="0" collapsed="false">
      <c r="A200" s="70" t="s">
        <v>557</v>
      </c>
      <c r="B200" s="71" t="s">
        <v>552</v>
      </c>
      <c r="C200" s="72" t="s">
        <v>294</v>
      </c>
      <c r="D200" s="73" t="s">
        <v>298</v>
      </c>
      <c r="E200" s="74" t="s">
        <v>133</v>
      </c>
      <c r="F200" s="75" t="n">
        <v>1</v>
      </c>
      <c r="G200" s="85" t="s">
        <v>138</v>
      </c>
      <c r="H200" s="85" t="s">
        <v>138</v>
      </c>
      <c r="I200" s="76" t="n">
        <f aca="false">IF(COUNTIF('Quote Lines'!$P$3:$P$805,$A200&amp;"|"&amp;I$6&amp;"|1")=0,"—",SUMIFS('Quote Lines'!$O$3:$O$805,'Quote Lines'!$P$3:$P$805,$A200&amp;"|"&amp;I$6&amp;"|1")/SUMIFS('Quote Lines'!$L$3:$L$805,'Quote Lines'!$P$3:$P$805,$A200&amp;"|"&amp;I$6&amp;"|1"))</f>
        <v>234.95</v>
      </c>
      <c r="J200" s="85" t="s">
        <v>138</v>
      </c>
      <c r="K200" s="14" t="str">
        <f aca="false">IF(ISNUMBER(G200),G200*$F200,"—")</f>
        <v>—</v>
      </c>
      <c r="L200" s="14" t="str">
        <f aca="false">IF(ISNUMBER(H200),H200*$F200,"—")</f>
        <v>—</v>
      </c>
      <c r="M200" s="14" t="n">
        <f aca="false">IF(ISNUMBER(I200),I200*$F200,"—")</f>
        <v>234.95</v>
      </c>
      <c r="N200" s="14" t="str">
        <f aca="false">IF(ISNUMBER(J200),J200*$F200,"—")</f>
        <v>—</v>
      </c>
      <c r="O200" s="77" t="n">
        <f aca="false">IF($S200=0,"—",MIN(G200:J200))</f>
        <v>234.95</v>
      </c>
      <c r="P200" s="42" t="str">
        <f aca="false">IF($S200=0,"—",IF(COUNTIF(G200:J200,O200)&gt;1,"Tie",INDEX($G$6:$J$6,MATCH(O200,G200:J200,0))))</f>
        <v>Mountainland</v>
      </c>
      <c r="Q200" s="48" t="str">
        <f aca="false">IF($S200&gt;=2,MAX(G200:J200)/MIN(G200:J200)-1,"—")</f>
        <v>—</v>
      </c>
      <c r="R200" s="78" t="str">
        <f aca="false">IF($S200&gt;=2,(MAX(G200:J200)-MIN(G200:J200))*$F200,"—")</f>
        <v>—</v>
      </c>
      <c r="S200" s="18" t="n">
        <f aca="false">COUNT(G200:J200)</f>
        <v>1</v>
      </c>
      <c r="T200" s="79" t="str">
        <f aca="false">IF($S200&lt;=1,IF($S200=1,"Single quote","—"),"Like-for-like")</f>
        <v>Single quote</v>
      </c>
      <c r="U200" s="79" t="str">
        <f aca="false">IF(COUNT(W200:Z200)&lt;2,"",IF(MAX(W200:Z200)=MIN(W200:Z200),"OK","Qty differs"))</f>
        <v/>
      </c>
      <c r="V200" s="80"/>
      <c r="W200" s="81"/>
      <c r="X200" s="81"/>
      <c r="Y200" s="81" t="n">
        <f aca="false">IF(COUNTIFS('Quote Lines'!$P$3:$P$805,$A200&amp;"|"&amp;I$6&amp;"|1",'Quote Lines'!$M$3:$M$805,"Y")=0,"",SUMIFS('Quote Lines'!$L$3:$L$805,'Quote Lines'!$P$3:$P$805,$A200&amp;"|"&amp;I$6&amp;"|1",'Quote Lines'!$M$3:$M$805,"Y"))</f>
        <v>1</v>
      </c>
      <c r="Z200" s="81"/>
      <c r="AA200" s="82" t="str">
        <f aca="false">IF(ISNUMBER(G200),1+SUMPRODUCT(ISNUMBER($G200:$J200)*($G200:$J200&lt;G200)),"")</f>
        <v/>
      </c>
      <c r="AB200" s="82" t="str">
        <f aca="false">IF(ISNUMBER(H200),1+SUMPRODUCT(ISNUMBER($G200:$J200)*($G200:$J200&lt;H200)),"")</f>
        <v/>
      </c>
      <c r="AC200" s="82" t="n">
        <f aca="false">IF(ISNUMBER(I200),1+SUMPRODUCT(ISNUMBER($G200:$J200)*($G200:$J200&lt;I200)),"")</f>
        <v>1</v>
      </c>
      <c r="AD200" s="82" t="str">
        <f aca="false">IF(ISNUMBER(J200),1+SUMPRODUCT(ISNUMBER($G200:$J200)*($G200:$J200&lt;J200)),"")</f>
        <v/>
      </c>
      <c r="AE200" s="82" t="n">
        <f aca="false">IF(NOT(ISNUMBER(G200)),0,IF($S200&lt;2,5,IF(AA200=1,1,IF(G200=MAX($G200:$J200),4,IF(AA200=2,2,3)))))</f>
        <v>0</v>
      </c>
      <c r="AF200" s="82" t="n">
        <f aca="false">IF(NOT(ISNUMBER(H200)),0,IF($S200&lt;2,5,IF(AB200=1,1,IF(H200=MAX($G200:$J200),4,IF(AB200=2,2,3)))))</f>
        <v>0</v>
      </c>
      <c r="AG200" s="82" t="n">
        <f aca="false">IF(NOT(ISNUMBER(I200)),0,IF($S200&lt;2,5,IF(AC200=1,1,IF(I200=MAX($G200:$J200),4,IF(AC200=2,2,3)))))</f>
        <v>5</v>
      </c>
      <c r="AH200" s="82" t="n">
        <f aca="false">IF(NOT(ISNUMBER(J200)),0,IF($S200&lt;2,5,IF(AD200=1,1,IF(J200=MAX($G200:$J200),4,IF(AD200=2,2,3)))))</f>
        <v>0</v>
      </c>
      <c r="AI200" s="83" t="n">
        <f aca="false">IF($S200&gt;=2,IF(ISNUMBER(G200),G200*$F200,MIN($G200:$J200)*$F200),0)</f>
        <v>0</v>
      </c>
      <c r="AJ200" s="83" t="n">
        <f aca="false">IF($S200&gt;=2,IF(ISNUMBER(H200),H200*$F200,MIN($G200:$J200)*$F200),0)</f>
        <v>0</v>
      </c>
      <c r="AK200" s="83" t="n">
        <f aca="false">IF($S200&gt;=2,IF(ISNUMBER(I200),I200*$F200,MIN($G200:$J200)*$F200),0)</f>
        <v>0</v>
      </c>
      <c r="AL200" s="83" t="n">
        <f aca="false">IF($S200&gt;=2,IF(ISNUMBER(J200),J200*$F200,MIN($G200:$J200)*$F200),0)</f>
        <v>0</v>
      </c>
      <c r="AM200" s="84" t="str">
        <f aca="false">IF($S200&gt;=2,$R200+ROW()/1000000,"")</f>
        <v/>
      </c>
      <c r="AN200" s="83" t="str">
        <f aca="false">IF($S200&gt;=2,MAX(G200:J200),"")</f>
        <v/>
      </c>
      <c r="AO200" s="82" t="str">
        <f aca="false">IF($S200&gt;=2,INDEX($G$6:$J$6,MATCH(MAX(G200:J200),G200:J200,0)),"")</f>
        <v/>
      </c>
      <c r="AP200" s="83" t="n">
        <f aca="false">IF($S200&gt;=2,MIN(G200:J200)*$F200,0)</f>
        <v>0</v>
      </c>
      <c r="AQ200" s="82" t="str">
        <f aca="false">IF($S200&gt;=2,INDEX($G$6:$J$6,MATCH(MIN(G200:J200),G200:J200,0)),"")</f>
        <v/>
      </c>
    </row>
    <row r="201" customFormat="false" ht="27.75" hidden="false" customHeight="true" outlineLevel="0" collapsed="false">
      <c r="A201" s="70" t="s">
        <v>558</v>
      </c>
      <c r="B201" s="71" t="s">
        <v>552</v>
      </c>
      <c r="C201" s="72" t="s">
        <v>308</v>
      </c>
      <c r="D201" s="73" t="s">
        <v>559</v>
      </c>
      <c r="E201" s="74" t="s">
        <v>310</v>
      </c>
      <c r="F201" s="75" t="n">
        <v>12</v>
      </c>
      <c r="G201" s="76" t="n">
        <f aca="false">IF(COUNTIF('Quote Lines'!$P$3:$P$805,$A201&amp;"|"&amp;G$6&amp;"|1")=0,"—",SUMIFS('Quote Lines'!$O$3:$O$805,'Quote Lines'!$P$3:$P$805,$A201&amp;"|"&amp;G$6&amp;"|1")/SUMIFS('Quote Lines'!$L$3:$L$805,'Quote Lines'!$P$3:$P$805,$A201&amp;"|"&amp;G$6&amp;"|1")+IFERROR(SUMIFS('Quote Lines'!$O$3:$O$805,'Quote Lines'!$P$3:$P$805,$A201&amp;"|"&amp;G$6&amp;"|2")/SUMIFS('Quote Lines'!$L$3:$L$805,'Quote Lines'!$P$3:$P$805,$A201&amp;"|"&amp;G$6&amp;"|2"),0))</f>
        <v>138.15</v>
      </c>
      <c r="H201" s="76" t="n">
        <f aca="false">IF(COUNTIF('Quote Lines'!$P$3:$P$805,$A201&amp;"|"&amp;H$6&amp;"|1")=0,"—",SUMIFS('Quote Lines'!$O$3:$O$805,'Quote Lines'!$P$3:$P$805,$A201&amp;"|"&amp;H$6&amp;"|1")/SUMIFS('Quote Lines'!$L$3:$L$805,'Quote Lines'!$P$3:$P$805,$A201&amp;"|"&amp;H$6&amp;"|1")+IFERROR(SUMIFS('Quote Lines'!$O$3:$O$805,'Quote Lines'!$P$3:$P$805,$A201&amp;"|"&amp;H$6&amp;"|2")/SUMIFS('Quote Lines'!$L$3:$L$805,'Quote Lines'!$P$3:$P$805,$A201&amp;"|"&amp;H$6&amp;"|2"),0))</f>
        <v>145.8</v>
      </c>
      <c r="I201" s="76" t="n">
        <f aca="false">IF(COUNTIF('Quote Lines'!$P$3:$P$805,$A201&amp;"|"&amp;I$6&amp;"|1")=0,"—",SUMIFS('Quote Lines'!$O$3:$O$805,'Quote Lines'!$P$3:$P$805,$A201&amp;"|"&amp;I$6&amp;"|1")/SUMIFS('Quote Lines'!$L$3:$L$805,'Quote Lines'!$P$3:$P$805,$A201&amp;"|"&amp;I$6&amp;"|1")+IFERROR(SUMIFS('Quote Lines'!$O$3:$O$805,'Quote Lines'!$P$3:$P$805,$A201&amp;"|"&amp;I$6&amp;"|2")/SUMIFS('Quote Lines'!$L$3:$L$805,'Quote Lines'!$P$3:$P$805,$A201&amp;"|"&amp;I$6&amp;"|2"),0))</f>
        <v>78.0741666666667</v>
      </c>
      <c r="J201" s="85" t="s">
        <v>138</v>
      </c>
      <c r="K201" s="14" t="n">
        <f aca="false">IF(ISNUMBER(G201),G201*$F201,"—")</f>
        <v>1657.8</v>
      </c>
      <c r="L201" s="14" t="n">
        <f aca="false">IF(ISNUMBER(H201),H201*$F201,"—")</f>
        <v>1749.6</v>
      </c>
      <c r="M201" s="14" t="n">
        <f aca="false">IF(ISNUMBER(I201),I201*$F201,"—")</f>
        <v>936.89</v>
      </c>
      <c r="N201" s="14" t="str">
        <f aca="false">IF(ISNUMBER(J201),J201*$F201,"—")</f>
        <v>—</v>
      </c>
      <c r="O201" s="77" t="n">
        <f aca="false">IF($S201=0,"—",MIN(G201:J201))</f>
        <v>78.0741666666667</v>
      </c>
      <c r="P201" s="42" t="str">
        <f aca="false">IF($S201=0,"—",IF(COUNTIF(G201:J201,O201)&gt;1,"Tie",INDEX($G$6:$J$6,MATCH(O201,G201:J201,0))))</f>
        <v>Mountainland</v>
      </c>
      <c r="Q201" s="48" t="n">
        <f aca="false">IF($S201&gt;=2,MAX(G201:J201)/MIN(G201:J201)-1,"—")</f>
        <v>0.867455090779067</v>
      </c>
      <c r="R201" s="78" t="n">
        <f aca="false">IF($S201&gt;=2,(MAX(G201:J201)-MIN(G201:J201))*$F201,"—")</f>
        <v>812.71</v>
      </c>
      <c r="S201" s="18" t="n">
        <f aca="false">COUNT(G201:J201)</f>
        <v>3</v>
      </c>
      <c r="T201" s="79" t="str">
        <f aca="false">IF($S201&lt;=1,IF($S201=1,"Single quote","—"),"Alt spec – verify")</f>
        <v>Alt spec – verify</v>
      </c>
      <c r="U201" s="79" t="str">
        <f aca="false">IF(COUNT(W201:Z201)&lt;2,"",IF(MAX(W201:Z201)=MIN(W201:Z201),"OK","Qty differs"))</f>
        <v>OK</v>
      </c>
      <c r="V201" s="80" t="s">
        <v>560</v>
      </c>
      <c r="W201" s="81" t="n">
        <f aca="false">IF(COUNTIFS('Quote Lines'!$P$3:$P$805,$A201&amp;"|"&amp;G$6&amp;"|1",'Quote Lines'!$M$3:$M$805,"Y")=0,"",SUMIFS('Quote Lines'!$L$3:$L$805,'Quote Lines'!$P$3:$P$805,$A201&amp;"|"&amp;G$6&amp;"|1",'Quote Lines'!$M$3:$M$805,"Y"))</f>
        <v>12</v>
      </c>
      <c r="X201" s="81" t="n">
        <f aca="false">IF(COUNTIFS('Quote Lines'!$P$3:$P$805,$A201&amp;"|"&amp;H$6&amp;"|1",'Quote Lines'!$M$3:$M$805,"Y")=0,"",SUMIFS('Quote Lines'!$L$3:$L$805,'Quote Lines'!$P$3:$P$805,$A201&amp;"|"&amp;H$6&amp;"|1",'Quote Lines'!$M$3:$M$805,"Y"))</f>
        <v>12</v>
      </c>
      <c r="Y201" s="81" t="n">
        <f aca="false">IF(COUNTIFS('Quote Lines'!$P$3:$P$805,$A201&amp;"|"&amp;I$6&amp;"|1",'Quote Lines'!$M$3:$M$805,"Y")=0,"",SUMIFS('Quote Lines'!$L$3:$L$805,'Quote Lines'!$P$3:$P$805,$A201&amp;"|"&amp;I$6&amp;"|1",'Quote Lines'!$M$3:$M$805,"Y"))</f>
        <v>12</v>
      </c>
      <c r="Z201" s="81"/>
      <c r="AA201" s="82" t="n">
        <f aca="false">IF(ISNUMBER(G201),1+SUMPRODUCT(ISNUMBER($G201:$J201)*($G201:$J201&lt;G201)),"")</f>
        <v>2</v>
      </c>
      <c r="AB201" s="82" t="n">
        <f aca="false">IF(ISNUMBER(H201),1+SUMPRODUCT(ISNUMBER($G201:$J201)*($G201:$J201&lt;H201)),"")</f>
        <v>3</v>
      </c>
      <c r="AC201" s="82" t="n">
        <f aca="false">IF(ISNUMBER(I201),1+SUMPRODUCT(ISNUMBER($G201:$J201)*($G201:$J201&lt;I201)),"")</f>
        <v>1</v>
      </c>
      <c r="AD201" s="82" t="str">
        <f aca="false">IF(ISNUMBER(J201),1+SUMPRODUCT(ISNUMBER($G201:$J201)*($G201:$J201&lt;J201)),"")</f>
        <v/>
      </c>
      <c r="AE201" s="82" t="n">
        <f aca="false">IF(NOT(ISNUMBER(G201)),0,IF($S201&lt;2,5,IF(AA201=1,1,IF(G201=MAX($G201:$J201),4,IF(AA201=2,2,3)))))</f>
        <v>2</v>
      </c>
      <c r="AF201" s="82" t="n">
        <f aca="false">IF(NOT(ISNUMBER(H201)),0,IF($S201&lt;2,5,IF(AB201=1,1,IF(H201=MAX($G201:$J201),4,IF(AB201=2,2,3)))))</f>
        <v>4</v>
      </c>
      <c r="AG201" s="82" t="n">
        <f aca="false">IF(NOT(ISNUMBER(I201)),0,IF($S201&lt;2,5,IF(AC201=1,1,IF(I201=MAX($G201:$J201),4,IF(AC201=2,2,3)))))</f>
        <v>1</v>
      </c>
      <c r="AH201" s="82" t="n">
        <f aca="false">IF(NOT(ISNUMBER(J201)),0,IF($S201&lt;2,5,IF(AD201=1,1,IF(J201=MAX($G201:$J201),4,IF(AD201=2,2,3)))))</f>
        <v>0</v>
      </c>
      <c r="AI201" s="83" t="n">
        <f aca="false">IF($S201&gt;=2,IF(ISNUMBER(G201),G201*$F201,MIN($G201:$J201)*$F201),0)</f>
        <v>1657.8</v>
      </c>
      <c r="AJ201" s="83" t="n">
        <f aca="false">IF($S201&gt;=2,IF(ISNUMBER(H201),H201*$F201,MIN($G201:$J201)*$F201),0)</f>
        <v>1749.6</v>
      </c>
      <c r="AK201" s="83" t="n">
        <f aca="false">IF($S201&gt;=2,IF(ISNUMBER(I201),I201*$F201,MIN($G201:$J201)*$F201),0)</f>
        <v>936.89</v>
      </c>
      <c r="AL201" s="83" t="n">
        <f aca="false">IF($S201&gt;=2,IF(ISNUMBER(J201),J201*$F201,MIN($G201:$J201)*$F201),0)</f>
        <v>936.89</v>
      </c>
      <c r="AM201" s="84" t="n">
        <f aca="false">IF($S201&gt;=2,$R201+ROW()/1000000,"")</f>
        <v>812.710201</v>
      </c>
      <c r="AN201" s="83" t="n">
        <f aca="false">IF($S201&gt;=2,MAX(G201:J201),"")</f>
        <v>145.8</v>
      </c>
      <c r="AO201" s="82" t="str">
        <f aca="false">IF($S201&gt;=2,INDEX($G$6:$J$6,MATCH(MAX(G201:J201),G201:J201,0)),"")</f>
        <v>HD Fowler</v>
      </c>
      <c r="AP201" s="83" t="n">
        <f aca="false">IF($S201&gt;=2,MIN(G201:J201)*$F201,0)</f>
        <v>936.89</v>
      </c>
      <c r="AQ201" s="82" t="str">
        <f aca="false">IF($S201&gt;=2,INDEX($G$6:$J$6,MATCH(MIN(G201:J201),G201:J201,0)),"")</f>
        <v>Mountainland</v>
      </c>
    </row>
    <row r="202" customFormat="false" ht="15" hidden="false" customHeight="true" outlineLevel="0" collapsed="false">
      <c r="A202" s="70" t="s">
        <v>561</v>
      </c>
      <c r="B202" s="71" t="s">
        <v>552</v>
      </c>
      <c r="C202" s="72" t="s">
        <v>131</v>
      </c>
      <c r="D202" s="73" t="s">
        <v>562</v>
      </c>
      <c r="E202" s="74" t="s">
        <v>133</v>
      </c>
      <c r="F202" s="75" t="n">
        <v>1</v>
      </c>
      <c r="G202" s="85" t="s">
        <v>138</v>
      </c>
      <c r="H202" s="85" t="s">
        <v>138</v>
      </c>
      <c r="I202" s="76" t="n">
        <f aca="false">IF(COUNTIF('Quote Lines'!$P$3:$P$805,$A202&amp;"|"&amp;I$6&amp;"|1")=0,"—",SUMIFS('Quote Lines'!$O$3:$O$805,'Quote Lines'!$P$3:$P$805,$A202&amp;"|"&amp;I$6&amp;"|1")/SUMIFS('Quote Lines'!$L$3:$L$805,'Quote Lines'!$P$3:$P$805,$A202&amp;"|"&amp;I$6&amp;"|1"))</f>
        <v>638.05</v>
      </c>
      <c r="J202" s="85" t="s">
        <v>138</v>
      </c>
      <c r="K202" s="14" t="str">
        <f aca="false">IF(ISNUMBER(G202),G202*$F202,"—")</f>
        <v>—</v>
      </c>
      <c r="L202" s="14" t="str">
        <f aca="false">IF(ISNUMBER(H202),H202*$F202,"—")</f>
        <v>—</v>
      </c>
      <c r="M202" s="14" t="n">
        <f aca="false">IF(ISNUMBER(I202),I202*$F202,"—")</f>
        <v>638.05</v>
      </c>
      <c r="N202" s="14" t="str">
        <f aca="false">IF(ISNUMBER(J202),J202*$F202,"—")</f>
        <v>—</v>
      </c>
      <c r="O202" s="77" t="n">
        <f aca="false">IF($S202=0,"—",MIN(G202:J202))</f>
        <v>638.05</v>
      </c>
      <c r="P202" s="42" t="str">
        <f aca="false">IF($S202=0,"—",IF(COUNTIF(G202:J202,O202)&gt;1,"Tie",INDEX($G$6:$J$6,MATCH(O202,G202:J202,0))))</f>
        <v>Mountainland</v>
      </c>
      <c r="Q202" s="48" t="str">
        <f aca="false">IF($S202&gt;=2,MAX(G202:J202)/MIN(G202:J202)-1,"—")</f>
        <v>—</v>
      </c>
      <c r="R202" s="78" t="str">
        <f aca="false">IF($S202&gt;=2,(MAX(G202:J202)-MIN(G202:J202))*$F202,"—")</f>
        <v>—</v>
      </c>
      <c r="S202" s="18" t="n">
        <f aca="false">COUNT(G202:J202)</f>
        <v>1</v>
      </c>
      <c r="T202" s="79" t="str">
        <f aca="false">IF($S202&lt;=1,IF($S202=1,"Single quote","—"),"Like-for-like")</f>
        <v>Single quote</v>
      </c>
      <c r="U202" s="79" t="str">
        <f aca="false">IF(COUNT(W202:Z202)&lt;2,"",IF(MAX(W202:Z202)=MIN(W202:Z202),"OK","Qty differs"))</f>
        <v/>
      </c>
      <c r="V202" s="80"/>
      <c r="W202" s="81"/>
      <c r="X202" s="81"/>
      <c r="Y202" s="81" t="n">
        <f aca="false">IF(COUNTIFS('Quote Lines'!$P$3:$P$805,$A202&amp;"|"&amp;I$6&amp;"|1",'Quote Lines'!$M$3:$M$805,"Y")=0,"",SUMIFS('Quote Lines'!$L$3:$L$805,'Quote Lines'!$P$3:$P$805,$A202&amp;"|"&amp;I$6&amp;"|1",'Quote Lines'!$M$3:$M$805,"Y"))</f>
        <v>1</v>
      </c>
      <c r="Z202" s="81"/>
      <c r="AA202" s="82" t="str">
        <f aca="false">IF(ISNUMBER(G202),1+SUMPRODUCT(ISNUMBER($G202:$J202)*($G202:$J202&lt;G202)),"")</f>
        <v/>
      </c>
      <c r="AB202" s="82" t="str">
        <f aca="false">IF(ISNUMBER(H202),1+SUMPRODUCT(ISNUMBER($G202:$J202)*($G202:$J202&lt;H202)),"")</f>
        <v/>
      </c>
      <c r="AC202" s="82" t="n">
        <f aca="false">IF(ISNUMBER(I202),1+SUMPRODUCT(ISNUMBER($G202:$J202)*($G202:$J202&lt;I202)),"")</f>
        <v>1</v>
      </c>
      <c r="AD202" s="82" t="str">
        <f aca="false">IF(ISNUMBER(J202),1+SUMPRODUCT(ISNUMBER($G202:$J202)*($G202:$J202&lt;J202)),"")</f>
        <v/>
      </c>
      <c r="AE202" s="82" t="n">
        <f aca="false">IF(NOT(ISNUMBER(G202)),0,IF($S202&lt;2,5,IF(AA202=1,1,IF(G202=MAX($G202:$J202),4,IF(AA202=2,2,3)))))</f>
        <v>0</v>
      </c>
      <c r="AF202" s="82" t="n">
        <f aca="false">IF(NOT(ISNUMBER(H202)),0,IF($S202&lt;2,5,IF(AB202=1,1,IF(H202=MAX($G202:$J202),4,IF(AB202=2,2,3)))))</f>
        <v>0</v>
      </c>
      <c r="AG202" s="82" t="n">
        <f aca="false">IF(NOT(ISNUMBER(I202)),0,IF($S202&lt;2,5,IF(AC202=1,1,IF(I202=MAX($G202:$J202),4,IF(AC202=2,2,3)))))</f>
        <v>5</v>
      </c>
      <c r="AH202" s="82" t="n">
        <f aca="false">IF(NOT(ISNUMBER(J202)),0,IF($S202&lt;2,5,IF(AD202=1,1,IF(J202=MAX($G202:$J202),4,IF(AD202=2,2,3)))))</f>
        <v>0</v>
      </c>
      <c r="AI202" s="83" t="n">
        <f aca="false">IF($S202&gt;=2,IF(ISNUMBER(G202),G202*$F202,MIN($G202:$J202)*$F202),0)</f>
        <v>0</v>
      </c>
      <c r="AJ202" s="83" t="n">
        <f aca="false">IF($S202&gt;=2,IF(ISNUMBER(H202),H202*$F202,MIN($G202:$J202)*$F202),0)</f>
        <v>0</v>
      </c>
      <c r="AK202" s="83" t="n">
        <f aca="false">IF($S202&gt;=2,IF(ISNUMBER(I202),I202*$F202,MIN($G202:$J202)*$F202),0)</f>
        <v>0</v>
      </c>
      <c r="AL202" s="83" t="n">
        <f aca="false">IF($S202&gt;=2,IF(ISNUMBER(J202),J202*$F202,MIN($G202:$J202)*$F202),0)</f>
        <v>0</v>
      </c>
      <c r="AM202" s="84" t="str">
        <f aca="false">IF($S202&gt;=2,$R202+ROW()/1000000,"")</f>
        <v/>
      </c>
      <c r="AN202" s="83" t="str">
        <f aca="false">IF($S202&gt;=2,MAX(G202:J202),"")</f>
        <v/>
      </c>
      <c r="AO202" s="82" t="str">
        <f aca="false">IF($S202&gt;=2,INDEX($G$6:$J$6,MATCH(MAX(G202:J202),G202:J202,0)),"")</f>
        <v/>
      </c>
      <c r="AP202" s="83" t="n">
        <f aca="false">IF($S202&gt;=2,MIN(G202:J202)*$F202,0)</f>
        <v>0</v>
      </c>
      <c r="AQ202" s="82" t="str">
        <f aca="false">IF($S202&gt;=2,INDEX($G$6:$J$6,MATCH(MIN(G202:J202),G202:J202,0)),"")</f>
        <v/>
      </c>
    </row>
    <row r="203" customFormat="false" ht="15" hidden="false" customHeight="true" outlineLevel="0" collapsed="false">
      <c r="A203" s="70" t="s">
        <v>563</v>
      </c>
      <c r="B203" s="71" t="s">
        <v>552</v>
      </c>
      <c r="C203" s="72" t="s">
        <v>131</v>
      </c>
      <c r="D203" s="73" t="s">
        <v>564</v>
      </c>
      <c r="E203" s="74" t="s">
        <v>133</v>
      </c>
      <c r="F203" s="75" t="n">
        <v>1</v>
      </c>
      <c r="G203" s="85" t="s">
        <v>138</v>
      </c>
      <c r="H203" s="85" t="s">
        <v>138</v>
      </c>
      <c r="I203" s="85" t="s">
        <v>138</v>
      </c>
      <c r="J203" s="76" t="n">
        <f aca="false">IF(COUNTIF('Quote Lines'!$P$3:$P$805,$A203&amp;"|"&amp;J$6&amp;"|1")=0,"—",SUMIFS('Quote Lines'!$O$3:$O$805,'Quote Lines'!$P$3:$P$805,$A203&amp;"|"&amp;J$6&amp;"|1")/SUMIFS('Quote Lines'!$L$3:$L$805,'Quote Lines'!$P$3:$P$805,$A203&amp;"|"&amp;J$6&amp;"|1"))</f>
        <v>693.59</v>
      </c>
      <c r="K203" s="14" t="str">
        <f aca="false">IF(ISNUMBER(G203),G203*$F203,"—")</f>
        <v>—</v>
      </c>
      <c r="L203" s="14" t="str">
        <f aca="false">IF(ISNUMBER(H203),H203*$F203,"—")</f>
        <v>—</v>
      </c>
      <c r="M203" s="14" t="str">
        <f aca="false">IF(ISNUMBER(I203),I203*$F203,"—")</f>
        <v>—</v>
      </c>
      <c r="N203" s="14" t="n">
        <f aca="false">IF(ISNUMBER(J203),J203*$F203,"—")</f>
        <v>693.59</v>
      </c>
      <c r="O203" s="77" t="n">
        <f aca="false">IF($S203=0,"—",MIN(G203:J203))</f>
        <v>693.59</v>
      </c>
      <c r="P203" s="42" t="str">
        <f aca="false">IF($S203=0,"—",IF(COUNTIF(G203:J203,O203)&gt;1,"Tie",INDEX($G$6:$J$6,MATCH(O203,G203:J203,0))))</f>
        <v>Scholzen</v>
      </c>
      <c r="Q203" s="48" t="str">
        <f aca="false">IF($S203&gt;=2,MAX(G203:J203)/MIN(G203:J203)-1,"—")</f>
        <v>—</v>
      </c>
      <c r="R203" s="78" t="str">
        <f aca="false">IF($S203&gt;=2,(MAX(G203:J203)-MIN(G203:J203))*$F203,"—")</f>
        <v>—</v>
      </c>
      <c r="S203" s="18" t="n">
        <f aca="false">COUNT(G203:J203)</f>
        <v>1</v>
      </c>
      <c r="T203" s="79" t="str">
        <f aca="false">IF($S203&lt;=1,IF($S203=1,"Single quote","—"),"Like-for-like")</f>
        <v>Single quote</v>
      </c>
      <c r="U203" s="79" t="str">
        <f aca="false">IF(COUNT(W203:Z203)&lt;2,"",IF(MAX(W203:Z203)=MIN(W203:Z203),"OK","Qty differs"))</f>
        <v/>
      </c>
      <c r="V203" s="80"/>
      <c r="W203" s="81"/>
      <c r="X203" s="81"/>
      <c r="Y203" s="81"/>
      <c r="Z203" s="81" t="n">
        <f aca="false">IF(COUNTIFS('Quote Lines'!$P$3:$P$805,$A203&amp;"|"&amp;J$6&amp;"|1",'Quote Lines'!$M$3:$M$805,"Y")=0,"",SUMIFS('Quote Lines'!$L$3:$L$805,'Quote Lines'!$P$3:$P$805,$A203&amp;"|"&amp;J$6&amp;"|1",'Quote Lines'!$M$3:$M$805,"Y"))</f>
        <v>1</v>
      </c>
      <c r="AA203" s="82" t="str">
        <f aca="false">IF(ISNUMBER(G203),1+SUMPRODUCT(ISNUMBER($G203:$J203)*($G203:$J203&lt;G203)),"")</f>
        <v/>
      </c>
      <c r="AB203" s="82" t="str">
        <f aca="false">IF(ISNUMBER(H203),1+SUMPRODUCT(ISNUMBER($G203:$J203)*($G203:$J203&lt;H203)),"")</f>
        <v/>
      </c>
      <c r="AC203" s="82" t="str">
        <f aca="false">IF(ISNUMBER(I203),1+SUMPRODUCT(ISNUMBER($G203:$J203)*($G203:$J203&lt;I203)),"")</f>
        <v/>
      </c>
      <c r="AD203" s="82" t="n">
        <f aca="false">IF(ISNUMBER(J203),1+SUMPRODUCT(ISNUMBER($G203:$J203)*($G203:$J203&lt;J203)),"")</f>
        <v>1</v>
      </c>
      <c r="AE203" s="82" t="n">
        <f aca="false">IF(NOT(ISNUMBER(G203)),0,IF($S203&lt;2,5,IF(AA203=1,1,IF(G203=MAX($G203:$J203),4,IF(AA203=2,2,3)))))</f>
        <v>0</v>
      </c>
      <c r="AF203" s="82" t="n">
        <f aca="false">IF(NOT(ISNUMBER(H203)),0,IF($S203&lt;2,5,IF(AB203=1,1,IF(H203=MAX($G203:$J203),4,IF(AB203=2,2,3)))))</f>
        <v>0</v>
      </c>
      <c r="AG203" s="82" t="n">
        <f aca="false">IF(NOT(ISNUMBER(I203)),0,IF($S203&lt;2,5,IF(AC203=1,1,IF(I203=MAX($G203:$J203),4,IF(AC203=2,2,3)))))</f>
        <v>0</v>
      </c>
      <c r="AH203" s="82" t="n">
        <f aca="false">IF(NOT(ISNUMBER(J203)),0,IF($S203&lt;2,5,IF(AD203=1,1,IF(J203=MAX($G203:$J203),4,IF(AD203=2,2,3)))))</f>
        <v>5</v>
      </c>
      <c r="AI203" s="83" t="n">
        <f aca="false">IF($S203&gt;=2,IF(ISNUMBER(G203),G203*$F203,MIN($G203:$J203)*$F203),0)</f>
        <v>0</v>
      </c>
      <c r="AJ203" s="83" t="n">
        <f aca="false">IF($S203&gt;=2,IF(ISNUMBER(H203),H203*$F203,MIN($G203:$J203)*$F203),0)</f>
        <v>0</v>
      </c>
      <c r="AK203" s="83" t="n">
        <f aca="false">IF($S203&gt;=2,IF(ISNUMBER(I203),I203*$F203,MIN($G203:$J203)*$F203),0)</f>
        <v>0</v>
      </c>
      <c r="AL203" s="83" t="n">
        <f aca="false">IF($S203&gt;=2,IF(ISNUMBER(J203),J203*$F203,MIN($G203:$J203)*$F203),0)</f>
        <v>0</v>
      </c>
      <c r="AM203" s="84" t="str">
        <f aca="false">IF($S203&gt;=2,$R203+ROW()/1000000,"")</f>
        <v/>
      </c>
      <c r="AN203" s="83" t="str">
        <f aca="false">IF($S203&gt;=2,MAX(G203:J203),"")</f>
        <v/>
      </c>
      <c r="AO203" s="82" t="str">
        <f aca="false">IF($S203&gt;=2,INDEX($G$6:$J$6,MATCH(MAX(G203:J203),G203:J203,0)),"")</f>
        <v/>
      </c>
      <c r="AP203" s="83" t="n">
        <f aca="false">IF($S203&gt;=2,MIN(G203:J203)*$F203,0)</f>
        <v>0</v>
      </c>
      <c r="AQ203" s="82" t="str">
        <f aca="false">IF($S203&gt;=2,INDEX($G$6:$J$6,MATCH(MIN(G203:J203),G203:J203,0)),"")</f>
        <v/>
      </c>
    </row>
    <row r="204" customFormat="false" ht="15" hidden="false" customHeight="true" outlineLevel="0" collapsed="false">
      <c r="A204" s="70" t="s">
        <v>565</v>
      </c>
      <c r="B204" s="71" t="s">
        <v>552</v>
      </c>
      <c r="C204" s="72" t="s">
        <v>131</v>
      </c>
      <c r="D204" s="73" t="s">
        <v>566</v>
      </c>
      <c r="E204" s="74" t="s">
        <v>133</v>
      </c>
      <c r="F204" s="75" t="n">
        <v>1</v>
      </c>
      <c r="G204" s="85" t="s">
        <v>138</v>
      </c>
      <c r="H204" s="85" t="s">
        <v>138</v>
      </c>
      <c r="I204" s="85" t="s">
        <v>138</v>
      </c>
      <c r="J204" s="76" t="n">
        <f aca="false">IF(COUNTIF('Quote Lines'!$P$3:$P$805,$A204&amp;"|"&amp;J$6&amp;"|1")=0,"—",SUMIFS('Quote Lines'!$O$3:$O$805,'Quote Lines'!$P$3:$P$805,$A204&amp;"|"&amp;J$6&amp;"|1")/SUMIFS('Quote Lines'!$L$3:$L$805,'Quote Lines'!$P$3:$P$805,$A204&amp;"|"&amp;J$6&amp;"|1"))</f>
        <v>16.82</v>
      </c>
      <c r="K204" s="14" t="str">
        <f aca="false">IF(ISNUMBER(G204),G204*$F204,"—")</f>
        <v>—</v>
      </c>
      <c r="L204" s="14" t="str">
        <f aca="false">IF(ISNUMBER(H204),H204*$F204,"—")</f>
        <v>—</v>
      </c>
      <c r="M204" s="14" t="str">
        <f aca="false">IF(ISNUMBER(I204),I204*$F204,"—")</f>
        <v>—</v>
      </c>
      <c r="N204" s="14" t="n">
        <f aca="false">IF(ISNUMBER(J204),J204*$F204,"—")</f>
        <v>16.82</v>
      </c>
      <c r="O204" s="77" t="n">
        <f aca="false">IF($S204=0,"—",MIN(G204:J204))</f>
        <v>16.82</v>
      </c>
      <c r="P204" s="42" t="str">
        <f aca="false">IF($S204=0,"—",IF(COUNTIF(G204:J204,O204)&gt;1,"Tie",INDEX($G$6:$J$6,MATCH(O204,G204:J204,0))))</f>
        <v>Scholzen</v>
      </c>
      <c r="Q204" s="48" t="str">
        <f aca="false">IF($S204&gt;=2,MAX(G204:J204)/MIN(G204:J204)-1,"—")</f>
        <v>—</v>
      </c>
      <c r="R204" s="78" t="str">
        <f aca="false">IF($S204&gt;=2,(MAX(G204:J204)-MIN(G204:J204))*$F204,"—")</f>
        <v>—</v>
      </c>
      <c r="S204" s="18" t="n">
        <f aca="false">COUNT(G204:J204)</f>
        <v>1</v>
      </c>
      <c r="T204" s="79" t="str">
        <f aca="false">IF($S204&lt;=1,IF($S204=1,"Single quote","—"),"Like-for-like")</f>
        <v>Single quote</v>
      </c>
      <c r="U204" s="79" t="str">
        <f aca="false">IF(COUNT(W204:Z204)&lt;2,"",IF(MAX(W204:Z204)=MIN(W204:Z204),"OK","Qty differs"))</f>
        <v/>
      </c>
      <c r="V204" s="80"/>
      <c r="W204" s="81"/>
      <c r="X204" s="81"/>
      <c r="Y204" s="81"/>
      <c r="Z204" s="81" t="n">
        <f aca="false">IF(COUNTIFS('Quote Lines'!$P$3:$P$805,$A204&amp;"|"&amp;J$6&amp;"|1",'Quote Lines'!$M$3:$M$805,"Y")=0,"",SUMIFS('Quote Lines'!$L$3:$L$805,'Quote Lines'!$P$3:$P$805,$A204&amp;"|"&amp;J$6&amp;"|1",'Quote Lines'!$M$3:$M$805,"Y"))</f>
        <v>1</v>
      </c>
      <c r="AA204" s="82" t="str">
        <f aca="false">IF(ISNUMBER(G204),1+SUMPRODUCT(ISNUMBER($G204:$J204)*($G204:$J204&lt;G204)),"")</f>
        <v/>
      </c>
      <c r="AB204" s="82" t="str">
        <f aca="false">IF(ISNUMBER(H204),1+SUMPRODUCT(ISNUMBER($G204:$J204)*($G204:$J204&lt;H204)),"")</f>
        <v/>
      </c>
      <c r="AC204" s="82" t="str">
        <f aca="false">IF(ISNUMBER(I204),1+SUMPRODUCT(ISNUMBER($G204:$J204)*($G204:$J204&lt;I204)),"")</f>
        <v/>
      </c>
      <c r="AD204" s="82" t="n">
        <f aca="false">IF(ISNUMBER(J204),1+SUMPRODUCT(ISNUMBER($G204:$J204)*($G204:$J204&lt;J204)),"")</f>
        <v>1</v>
      </c>
      <c r="AE204" s="82" t="n">
        <f aca="false">IF(NOT(ISNUMBER(G204)),0,IF($S204&lt;2,5,IF(AA204=1,1,IF(G204=MAX($G204:$J204),4,IF(AA204=2,2,3)))))</f>
        <v>0</v>
      </c>
      <c r="AF204" s="82" t="n">
        <f aca="false">IF(NOT(ISNUMBER(H204)),0,IF($S204&lt;2,5,IF(AB204=1,1,IF(H204=MAX($G204:$J204),4,IF(AB204=2,2,3)))))</f>
        <v>0</v>
      </c>
      <c r="AG204" s="82" t="n">
        <f aca="false">IF(NOT(ISNUMBER(I204)),0,IF($S204&lt;2,5,IF(AC204=1,1,IF(I204=MAX($G204:$J204),4,IF(AC204=2,2,3)))))</f>
        <v>0</v>
      </c>
      <c r="AH204" s="82" t="n">
        <f aca="false">IF(NOT(ISNUMBER(J204)),0,IF($S204&lt;2,5,IF(AD204=1,1,IF(J204=MAX($G204:$J204),4,IF(AD204=2,2,3)))))</f>
        <v>5</v>
      </c>
      <c r="AI204" s="83" t="n">
        <f aca="false">IF($S204&gt;=2,IF(ISNUMBER(G204),G204*$F204,MIN($G204:$J204)*$F204),0)</f>
        <v>0</v>
      </c>
      <c r="AJ204" s="83" t="n">
        <f aca="false">IF($S204&gt;=2,IF(ISNUMBER(H204),H204*$F204,MIN($G204:$J204)*$F204),0)</f>
        <v>0</v>
      </c>
      <c r="AK204" s="83" t="n">
        <f aca="false">IF($S204&gt;=2,IF(ISNUMBER(I204),I204*$F204,MIN($G204:$J204)*$F204),0)</f>
        <v>0</v>
      </c>
      <c r="AL204" s="83" t="n">
        <f aca="false">IF($S204&gt;=2,IF(ISNUMBER(J204),J204*$F204,MIN($G204:$J204)*$F204),0)</f>
        <v>0</v>
      </c>
      <c r="AM204" s="84" t="str">
        <f aca="false">IF($S204&gt;=2,$R204+ROW()/1000000,"")</f>
        <v/>
      </c>
      <c r="AN204" s="83" t="str">
        <f aca="false">IF($S204&gt;=2,MAX(G204:J204),"")</f>
        <v/>
      </c>
      <c r="AO204" s="82" t="str">
        <f aca="false">IF($S204&gt;=2,INDEX($G$6:$J$6,MATCH(MAX(G204:J204),G204:J204,0)),"")</f>
        <v/>
      </c>
      <c r="AP204" s="83" t="n">
        <f aca="false">IF($S204&gt;=2,MIN(G204:J204)*$F204,0)</f>
        <v>0</v>
      </c>
      <c r="AQ204" s="82" t="str">
        <f aca="false">IF($S204&gt;=2,INDEX($G$6:$J$6,MATCH(MIN(G204:J204),G204:J204,0)),"")</f>
        <v/>
      </c>
    </row>
    <row r="205" customFormat="false" ht="19.5" hidden="false" customHeight="true" outlineLevel="0" collapsed="false">
      <c r="A205" s="69"/>
      <c r="B205" s="9" t="s">
        <v>567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customFormat="false" ht="15" hidden="false" customHeight="true" outlineLevel="0" collapsed="false">
      <c r="A206" s="70" t="s">
        <v>568</v>
      </c>
      <c r="B206" s="71" t="s">
        <v>569</v>
      </c>
      <c r="C206" s="72" t="s">
        <v>131</v>
      </c>
      <c r="D206" s="73" t="s">
        <v>570</v>
      </c>
      <c r="E206" s="74" t="s">
        <v>133</v>
      </c>
      <c r="F206" s="75" t="n">
        <v>2</v>
      </c>
      <c r="G206" s="76" t="n">
        <f aca="false">IF(COUNTIF('Quote Lines'!$P$3:$P$805,$A206&amp;"|"&amp;G$6&amp;"|1")=0,"—",SUMIFS('Quote Lines'!$O$3:$O$805,'Quote Lines'!$P$3:$P$805,$A206&amp;"|"&amp;G$6&amp;"|1")/SUMIFS('Quote Lines'!$L$3:$L$805,'Quote Lines'!$P$3:$P$805,$A206&amp;"|"&amp;G$6&amp;"|1"))</f>
        <v>328.3</v>
      </c>
      <c r="H206" s="76" t="n">
        <f aca="false">IF(COUNTIF('Quote Lines'!$P$3:$P$805,$A206&amp;"|"&amp;H$6&amp;"|1")=0,"—",SUMIFS('Quote Lines'!$O$3:$O$805,'Quote Lines'!$P$3:$P$805,$A206&amp;"|"&amp;H$6&amp;"|1")/SUMIFS('Quote Lines'!$L$3:$L$805,'Quote Lines'!$P$3:$P$805,$A206&amp;"|"&amp;H$6&amp;"|1"))</f>
        <v>343.02</v>
      </c>
      <c r="I206" s="76" t="n">
        <f aca="false">IF(COUNTIF('Quote Lines'!$P$3:$P$805,$A206&amp;"|"&amp;I$6&amp;"|1")=0,"—",SUMIFS('Quote Lines'!$O$3:$O$805,'Quote Lines'!$P$3:$P$805,$A206&amp;"|"&amp;I$6&amp;"|1")/SUMIFS('Quote Lines'!$L$3:$L$805,'Quote Lines'!$P$3:$P$805,$A206&amp;"|"&amp;I$6&amp;"|1"))</f>
        <v>372.44</v>
      </c>
      <c r="J206" s="76" t="n">
        <f aca="false">IF(COUNTIF('Quote Lines'!$P$3:$P$805,$A206&amp;"|"&amp;J$6&amp;"|1")=0,"—",SUMIFS('Quote Lines'!$O$3:$O$805,'Quote Lines'!$P$3:$P$805,$A206&amp;"|"&amp;J$6&amp;"|1")/SUMIFS('Quote Lines'!$L$3:$L$805,'Quote Lines'!$P$3:$P$805,$A206&amp;"|"&amp;J$6&amp;"|1"))</f>
        <v>381.75</v>
      </c>
      <c r="K206" s="14" t="n">
        <f aca="false">IF(ISNUMBER(G206),G206*$F206,"—")</f>
        <v>656.6</v>
      </c>
      <c r="L206" s="14" t="n">
        <f aca="false">IF(ISNUMBER(H206),H206*$F206,"—")</f>
        <v>686.04</v>
      </c>
      <c r="M206" s="14" t="n">
        <f aca="false">IF(ISNUMBER(I206),I206*$F206,"—")</f>
        <v>744.88</v>
      </c>
      <c r="N206" s="14" t="n">
        <f aca="false">IF(ISNUMBER(J206),J206*$F206,"—")</f>
        <v>763.5</v>
      </c>
      <c r="O206" s="77" t="n">
        <f aca="false">IF($S206=0,"—",MIN(G206:J206))</f>
        <v>328.3</v>
      </c>
      <c r="P206" s="42" t="str">
        <f aca="false">IF($S206=0,"—",IF(COUNTIF(G206:J206,O206)&gt;1,"Tie",INDEX($G$6:$J$6,MATCH(O206,G206:J206,0))))</f>
        <v>Ferguson</v>
      </c>
      <c r="Q206" s="48" t="n">
        <f aca="false">IF($S206&gt;=2,MAX(G206:J206)/MIN(G206:J206)-1,"—")</f>
        <v>0.162808406944867</v>
      </c>
      <c r="R206" s="78" t="n">
        <f aca="false">IF($S206&gt;=2,(MAX(G206:J206)-MIN(G206:J206))*$F206,"—")</f>
        <v>106.9</v>
      </c>
      <c r="S206" s="18" t="n">
        <f aca="false">COUNT(G206:J206)</f>
        <v>4</v>
      </c>
      <c r="T206" s="79" t="str">
        <f aca="false">IF($S206&lt;=1,IF($S206=1,"Single quote","—"),"Like-for-like")</f>
        <v>Like-for-like</v>
      </c>
      <c r="U206" s="79" t="str">
        <f aca="false">IF(COUNT(W206:Z206)&lt;2,"",IF(MAX(W206:Z206)=MIN(W206:Z206),"OK","Qty differs"))</f>
        <v>OK</v>
      </c>
      <c r="V206" s="80"/>
      <c r="W206" s="81" t="n">
        <f aca="false">IF(COUNTIFS('Quote Lines'!$P$3:$P$805,$A206&amp;"|"&amp;G$6&amp;"|1",'Quote Lines'!$M$3:$M$805,"Y")=0,"",SUMIFS('Quote Lines'!$L$3:$L$805,'Quote Lines'!$P$3:$P$805,$A206&amp;"|"&amp;G$6&amp;"|1",'Quote Lines'!$M$3:$M$805,"Y"))</f>
        <v>2</v>
      </c>
      <c r="X206" s="81" t="n">
        <f aca="false">IF(COUNTIFS('Quote Lines'!$P$3:$P$805,$A206&amp;"|"&amp;H$6&amp;"|1",'Quote Lines'!$M$3:$M$805,"Y")=0,"",SUMIFS('Quote Lines'!$L$3:$L$805,'Quote Lines'!$P$3:$P$805,$A206&amp;"|"&amp;H$6&amp;"|1",'Quote Lines'!$M$3:$M$805,"Y"))</f>
        <v>2</v>
      </c>
      <c r="Y206" s="81" t="n">
        <f aca="false">IF(COUNTIFS('Quote Lines'!$P$3:$P$805,$A206&amp;"|"&amp;I$6&amp;"|1",'Quote Lines'!$M$3:$M$805,"Y")=0,"",SUMIFS('Quote Lines'!$L$3:$L$805,'Quote Lines'!$P$3:$P$805,$A206&amp;"|"&amp;I$6&amp;"|1",'Quote Lines'!$M$3:$M$805,"Y"))</f>
        <v>2</v>
      </c>
      <c r="Z206" s="81" t="n">
        <f aca="false">IF(COUNTIFS('Quote Lines'!$P$3:$P$805,$A206&amp;"|"&amp;J$6&amp;"|1",'Quote Lines'!$M$3:$M$805,"Y")=0,"",SUMIFS('Quote Lines'!$L$3:$L$805,'Quote Lines'!$P$3:$P$805,$A206&amp;"|"&amp;J$6&amp;"|1",'Quote Lines'!$M$3:$M$805,"Y"))</f>
        <v>2</v>
      </c>
      <c r="AA206" s="82" t="n">
        <f aca="false">IF(ISNUMBER(G206),1+SUMPRODUCT(ISNUMBER($G206:$J206)*($G206:$J206&lt;G206)),"")</f>
        <v>1</v>
      </c>
      <c r="AB206" s="82" t="n">
        <f aca="false">IF(ISNUMBER(H206),1+SUMPRODUCT(ISNUMBER($G206:$J206)*($G206:$J206&lt;H206)),"")</f>
        <v>2</v>
      </c>
      <c r="AC206" s="82" t="n">
        <f aca="false">IF(ISNUMBER(I206),1+SUMPRODUCT(ISNUMBER($G206:$J206)*($G206:$J206&lt;I206)),"")</f>
        <v>3</v>
      </c>
      <c r="AD206" s="82" t="n">
        <f aca="false">IF(ISNUMBER(J206),1+SUMPRODUCT(ISNUMBER($G206:$J206)*($G206:$J206&lt;J206)),"")</f>
        <v>4</v>
      </c>
      <c r="AE206" s="82" t="n">
        <f aca="false">IF(NOT(ISNUMBER(G206)),0,IF($S206&lt;2,5,IF(AA206=1,1,IF(G206=MAX($G206:$J206),4,IF(AA206=2,2,3)))))</f>
        <v>1</v>
      </c>
      <c r="AF206" s="82" t="n">
        <f aca="false">IF(NOT(ISNUMBER(H206)),0,IF($S206&lt;2,5,IF(AB206=1,1,IF(H206=MAX($G206:$J206),4,IF(AB206=2,2,3)))))</f>
        <v>2</v>
      </c>
      <c r="AG206" s="82" t="n">
        <f aca="false">IF(NOT(ISNUMBER(I206)),0,IF($S206&lt;2,5,IF(AC206=1,1,IF(I206=MAX($G206:$J206),4,IF(AC206=2,2,3)))))</f>
        <v>3</v>
      </c>
      <c r="AH206" s="82" t="n">
        <f aca="false">IF(NOT(ISNUMBER(J206)),0,IF($S206&lt;2,5,IF(AD206=1,1,IF(J206=MAX($G206:$J206),4,IF(AD206=2,2,3)))))</f>
        <v>4</v>
      </c>
      <c r="AI206" s="83" t="n">
        <f aca="false">IF($S206&gt;=2,IF(ISNUMBER(G206),G206*$F206,MIN($G206:$J206)*$F206),0)</f>
        <v>656.6</v>
      </c>
      <c r="AJ206" s="83" t="n">
        <f aca="false">IF($S206&gt;=2,IF(ISNUMBER(H206),H206*$F206,MIN($G206:$J206)*$F206),0)</f>
        <v>686.04</v>
      </c>
      <c r="AK206" s="83" t="n">
        <f aca="false">IF($S206&gt;=2,IF(ISNUMBER(I206),I206*$F206,MIN($G206:$J206)*$F206),0)</f>
        <v>744.88</v>
      </c>
      <c r="AL206" s="83" t="n">
        <f aca="false">IF($S206&gt;=2,IF(ISNUMBER(J206),J206*$F206,MIN($G206:$J206)*$F206),0)</f>
        <v>763.5</v>
      </c>
      <c r="AM206" s="84" t="n">
        <f aca="false">IF($S206&gt;=2,$R206+ROW()/1000000,"")</f>
        <v>106.900206</v>
      </c>
      <c r="AN206" s="83" t="n">
        <f aca="false">IF($S206&gt;=2,MAX(G206:J206),"")</f>
        <v>381.75</v>
      </c>
      <c r="AO206" s="82" t="str">
        <f aca="false">IF($S206&gt;=2,INDEX($G$6:$J$6,MATCH(MAX(G206:J206),G206:J206,0)),"")</f>
        <v>Scholzen</v>
      </c>
      <c r="AP206" s="83" t="n">
        <f aca="false">IF($S206&gt;=2,MIN(G206:J206)*$F206,0)</f>
        <v>656.6</v>
      </c>
      <c r="AQ206" s="82" t="str">
        <f aca="false">IF($S206&gt;=2,INDEX($G$6:$J$6,MATCH(MIN(G206:J206),G206:J206,0)),"")</f>
        <v>Ferguson</v>
      </c>
    </row>
    <row r="207" customFormat="false" ht="15" hidden="false" customHeight="true" outlineLevel="0" collapsed="false">
      <c r="A207" s="70" t="s">
        <v>571</v>
      </c>
      <c r="B207" s="71" t="s">
        <v>569</v>
      </c>
      <c r="C207" s="72" t="s">
        <v>294</v>
      </c>
      <c r="D207" s="73" t="s">
        <v>300</v>
      </c>
      <c r="E207" s="74" t="s">
        <v>133</v>
      </c>
      <c r="F207" s="75" t="n">
        <v>4</v>
      </c>
      <c r="G207" s="76" t="n">
        <f aca="false">IF(COUNTIF('Quote Lines'!$P$3:$P$805,$A207&amp;"|"&amp;G$6&amp;"|1")=0,"—",SUMIFS('Quote Lines'!$O$3:$O$805,'Quote Lines'!$P$3:$P$805,$A207&amp;"|"&amp;G$6&amp;"|1")/SUMIFS('Quote Lines'!$L$3:$L$805,'Quote Lines'!$P$3:$P$805,$A207&amp;"|"&amp;G$6&amp;"|1"))</f>
        <v>169.74</v>
      </c>
      <c r="H207" s="76" t="n">
        <f aca="false">IF(COUNTIF('Quote Lines'!$P$3:$P$805,$A207&amp;"|"&amp;H$6&amp;"|1")=0,"—",SUMIFS('Quote Lines'!$O$3:$O$805,'Quote Lines'!$P$3:$P$805,$A207&amp;"|"&amp;H$6&amp;"|1")/SUMIFS('Quote Lines'!$L$3:$L$805,'Quote Lines'!$P$3:$P$805,$A207&amp;"|"&amp;H$6&amp;"|1"))</f>
        <v>167.73</v>
      </c>
      <c r="I207" s="76" t="n">
        <f aca="false">IF(COUNTIF('Quote Lines'!$P$3:$P$805,$A207&amp;"|"&amp;I$6&amp;"|1")=0,"—",SUMIFS('Quote Lines'!$O$3:$O$805,'Quote Lines'!$P$3:$P$805,$A207&amp;"|"&amp;I$6&amp;"|1")/SUMIFS('Quote Lines'!$L$3:$L$805,'Quote Lines'!$P$3:$P$805,$A207&amp;"|"&amp;I$6&amp;"|1"))</f>
        <v>136.5875</v>
      </c>
      <c r="J207" s="76" t="n">
        <f aca="false">IF(COUNTIF('Quote Lines'!$P$3:$P$805,$A207&amp;"|"&amp;J$6&amp;"|1")=0,"—",SUMIFS('Quote Lines'!$O$3:$O$805,'Quote Lines'!$P$3:$P$805,$A207&amp;"|"&amp;J$6&amp;"|1")/SUMIFS('Quote Lines'!$L$3:$L$805,'Quote Lines'!$P$3:$P$805,$A207&amp;"|"&amp;J$6&amp;"|1"))</f>
        <v>193.73</v>
      </c>
      <c r="K207" s="14" t="n">
        <f aca="false">IF(ISNUMBER(G207),G207*$F207,"—")</f>
        <v>678.96</v>
      </c>
      <c r="L207" s="14" t="n">
        <f aca="false">IF(ISNUMBER(H207),H207*$F207,"—")</f>
        <v>670.92</v>
      </c>
      <c r="M207" s="14" t="n">
        <f aca="false">IF(ISNUMBER(I207),I207*$F207,"—")</f>
        <v>546.35</v>
      </c>
      <c r="N207" s="14" t="n">
        <f aca="false">IF(ISNUMBER(J207),J207*$F207,"—")</f>
        <v>774.92</v>
      </c>
      <c r="O207" s="77" t="n">
        <f aca="false">IF($S207=0,"—",MIN(G207:J207))</f>
        <v>136.5875</v>
      </c>
      <c r="P207" s="42" t="str">
        <f aca="false">IF($S207=0,"—",IF(COUNTIF(G207:J207,O207)&gt;1,"Tie",INDEX($G$6:$J$6,MATCH(O207,G207:J207,0))))</f>
        <v>Mountainland</v>
      </c>
      <c r="Q207" s="48" t="n">
        <f aca="false">IF($S207&gt;=2,MAX(G207:J207)/MIN(G207:J207)-1,"—")</f>
        <v>0.418358195296056</v>
      </c>
      <c r="R207" s="78" t="n">
        <f aca="false">IF($S207&gt;=2,(MAX(G207:J207)-MIN(G207:J207))*$F207,"—")</f>
        <v>228.57</v>
      </c>
      <c r="S207" s="18" t="n">
        <f aca="false">COUNT(G207:J207)</f>
        <v>4</v>
      </c>
      <c r="T207" s="79" t="str">
        <f aca="false">IF($S207&lt;=1,IF($S207=1,"Single quote","—"),"Like-for-like")</f>
        <v>Like-for-like</v>
      </c>
      <c r="U207" s="79" t="str">
        <f aca="false">IF(COUNT(W207:Z207)&lt;2,"",IF(MAX(W207:Z207)=MIN(W207:Z207),"OK","Qty differs"))</f>
        <v>OK</v>
      </c>
      <c r="V207" s="80"/>
      <c r="W207" s="81" t="n">
        <f aca="false">IF(COUNTIFS('Quote Lines'!$P$3:$P$805,$A207&amp;"|"&amp;G$6&amp;"|1",'Quote Lines'!$M$3:$M$805,"Y")=0,"",SUMIFS('Quote Lines'!$L$3:$L$805,'Quote Lines'!$P$3:$P$805,$A207&amp;"|"&amp;G$6&amp;"|1",'Quote Lines'!$M$3:$M$805,"Y"))</f>
        <v>4</v>
      </c>
      <c r="X207" s="81" t="n">
        <f aca="false">IF(COUNTIFS('Quote Lines'!$P$3:$P$805,$A207&amp;"|"&amp;H$6&amp;"|1",'Quote Lines'!$M$3:$M$805,"Y")=0,"",SUMIFS('Quote Lines'!$L$3:$L$805,'Quote Lines'!$P$3:$P$805,$A207&amp;"|"&amp;H$6&amp;"|1",'Quote Lines'!$M$3:$M$805,"Y"))</f>
        <v>4</v>
      </c>
      <c r="Y207" s="81" t="n">
        <f aca="false">IF(COUNTIFS('Quote Lines'!$P$3:$P$805,$A207&amp;"|"&amp;I$6&amp;"|1",'Quote Lines'!$M$3:$M$805,"Y")=0,"",SUMIFS('Quote Lines'!$L$3:$L$805,'Quote Lines'!$P$3:$P$805,$A207&amp;"|"&amp;I$6&amp;"|1",'Quote Lines'!$M$3:$M$805,"Y"))</f>
        <v>4</v>
      </c>
      <c r="Z207" s="81" t="n">
        <f aca="false">IF(COUNTIFS('Quote Lines'!$P$3:$P$805,$A207&amp;"|"&amp;J$6&amp;"|1",'Quote Lines'!$M$3:$M$805,"Y")=0,"",SUMIFS('Quote Lines'!$L$3:$L$805,'Quote Lines'!$P$3:$P$805,$A207&amp;"|"&amp;J$6&amp;"|1",'Quote Lines'!$M$3:$M$805,"Y"))</f>
        <v>4</v>
      </c>
      <c r="AA207" s="82" t="n">
        <f aca="false">IF(ISNUMBER(G207),1+SUMPRODUCT(ISNUMBER($G207:$J207)*($G207:$J207&lt;G207)),"")</f>
        <v>3</v>
      </c>
      <c r="AB207" s="82" t="n">
        <f aca="false">IF(ISNUMBER(H207),1+SUMPRODUCT(ISNUMBER($G207:$J207)*($G207:$J207&lt;H207)),"")</f>
        <v>2</v>
      </c>
      <c r="AC207" s="82" t="n">
        <f aca="false">IF(ISNUMBER(I207),1+SUMPRODUCT(ISNUMBER($G207:$J207)*($G207:$J207&lt;I207)),"")</f>
        <v>1</v>
      </c>
      <c r="AD207" s="82" t="n">
        <f aca="false">IF(ISNUMBER(J207),1+SUMPRODUCT(ISNUMBER($G207:$J207)*($G207:$J207&lt;J207)),"")</f>
        <v>4</v>
      </c>
      <c r="AE207" s="82" t="n">
        <f aca="false">IF(NOT(ISNUMBER(G207)),0,IF($S207&lt;2,5,IF(AA207=1,1,IF(G207=MAX($G207:$J207),4,IF(AA207=2,2,3)))))</f>
        <v>3</v>
      </c>
      <c r="AF207" s="82" t="n">
        <f aca="false">IF(NOT(ISNUMBER(H207)),0,IF($S207&lt;2,5,IF(AB207=1,1,IF(H207=MAX($G207:$J207),4,IF(AB207=2,2,3)))))</f>
        <v>2</v>
      </c>
      <c r="AG207" s="82" t="n">
        <f aca="false">IF(NOT(ISNUMBER(I207)),0,IF($S207&lt;2,5,IF(AC207=1,1,IF(I207=MAX($G207:$J207),4,IF(AC207=2,2,3)))))</f>
        <v>1</v>
      </c>
      <c r="AH207" s="82" t="n">
        <f aca="false">IF(NOT(ISNUMBER(J207)),0,IF($S207&lt;2,5,IF(AD207=1,1,IF(J207=MAX($G207:$J207),4,IF(AD207=2,2,3)))))</f>
        <v>4</v>
      </c>
      <c r="AI207" s="83" t="n">
        <f aca="false">IF($S207&gt;=2,IF(ISNUMBER(G207),G207*$F207,MIN($G207:$J207)*$F207),0)</f>
        <v>678.96</v>
      </c>
      <c r="AJ207" s="83" t="n">
        <f aca="false">IF($S207&gt;=2,IF(ISNUMBER(H207),H207*$F207,MIN($G207:$J207)*$F207),0)</f>
        <v>670.92</v>
      </c>
      <c r="AK207" s="83" t="n">
        <f aca="false">IF($S207&gt;=2,IF(ISNUMBER(I207),I207*$F207,MIN($G207:$J207)*$F207),0)</f>
        <v>546.35</v>
      </c>
      <c r="AL207" s="83" t="n">
        <f aca="false">IF($S207&gt;=2,IF(ISNUMBER(J207),J207*$F207,MIN($G207:$J207)*$F207),0)</f>
        <v>774.92</v>
      </c>
      <c r="AM207" s="84" t="n">
        <f aca="false">IF($S207&gt;=2,$R207+ROW()/1000000,"")</f>
        <v>228.570207</v>
      </c>
      <c r="AN207" s="83" t="n">
        <f aca="false">IF($S207&gt;=2,MAX(G207:J207),"")</f>
        <v>193.73</v>
      </c>
      <c r="AO207" s="82" t="str">
        <f aca="false">IF($S207&gt;=2,INDEX($G$6:$J$6,MATCH(MAX(G207:J207),G207:J207,0)),"")</f>
        <v>Scholzen</v>
      </c>
      <c r="AP207" s="83" t="n">
        <f aca="false">IF($S207&gt;=2,MIN(G207:J207)*$F207,0)</f>
        <v>546.35</v>
      </c>
      <c r="AQ207" s="82" t="str">
        <f aca="false">IF($S207&gt;=2,INDEX($G$6:$J$6,MATCH(MIN(G207:J207),G207:J207,0)),"")</f>
        <v>Mountainland</v>
      </c>
    </row>
    <row r="208" customFormat="false" ht="19.5" hidden="false" customHeight="true" outlineLevel="0" collapsed="false">
      <c r="A208" s="69"/>
      <c r="B208" s="9" t="s">
        <v>572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customFormat="false" ht="15" hidden="false" customHeight="true" outlineLevel="0" collapsed="false">
      <c r="A209" s="70" t="s">
        <v>573</v>
      </c>
      <c r="B209" s="71" t="s">
        <v>574</v>
      </c>
      <c r="C209" s="72" t="s">
        <v>131</v>
      </c>
      <c r="D209" s="73" t="s">
        <v>575</v>
      </c>
      <c r="E209" s="74" t="s">
        <v>133</v>
      </c>
      <c r="F209" s="75" t="n">
        <v>1</v>
      </c>
      <c r="G209" s="76" t="n">
        <f aca="false">IF(COUNTIF('Quote Lines'!$P$3:$P$805,$A209&amp;"|"&amp;G$6&amp;"|1")=0,"—",SUMIFS('Quote Lines'!$O$3:$O$805,'Quote Lines'!$P$3:$P$805,$A209&amp;"|"&amp;G$6&amp;"|1")/SUMIFS('Quote Lines'!$L$3:$L$805,'Quote Lines'!$P$3:$P$805,$A209&amp;"|"&amp;G$6&amp;"|1"))</f>
        <v>400.55</v>
      </c>
      <c r="H209" s="76" t="n">
        <f aca="false">IF(COUNTIF('Quote Lines'!$P$3:$P$805,$A209&amp;"|"&amp;H$6&amp;"|1")=0,"—",SUMIFS('Quote Lines'!$O$3:$O$805,'Quote Lines'!$P$3:$P$805,$A209&amp;"|"&amp;H$6&amp;"|1")/SUMIFS('Quote Lines'!$L$3:$L$805,'Quote Lines'!$P$3:$P$805,$A209&amp;"|"&amp;H$6&amp;"|1"))</f>
        <v>418.5</v>
      </c>
      <c r="I209" s="76" t="n">
        <f aca="false">IF(COUNTIF('Quote Lines'!$P$3:$P$805,$A209&amp;"|"&amp;I$6&amp;"|1")=0,"—",SUMIFS('Quote Lines'!$O$3:$O$805,'Quote Lines'!$P$3:$P$805,$A209&amp;"|"&amp;I$6&amp;"|1")/SUMIFS('Quote Lines'!$L$3:$L$805,'Quote Lines'!$P$3:$P$805,$A209&amp;"|"&amp;I$6&amp;"|1"))</f>
        <v>454.39</v>
      </c>
      <c r="J209" s="76" t="n">
        <f aca="false">IF(COUNTIF('Quote Lines'!$P$3:$P$805,$A209&amp;"|"&amp;J$6&amp;"|1")=0,"—",SUMIFS('Quote Lines'!$O$3:$O$805,'Quote Lines'!$P$3:$P$805,$A209&amp;"|"&amp;J$6&amp;"|1")/SUMIFS('Quote Lines'!$L$3:$L$805,'Quote Lines'!$P$3:$P$805,$A209&amp;"|"&amp;J$6&amp;"|1"))</f>
        <v>465.75</v>
      </c>
      <c r="K209" s="14" t="n">
        <f aca="false">IF(ISNUMBER(G209),G209*$F209,"—")</f>
        <v>400.55</v>
      </c>
      <c r="L209" s="14" t="n">
        <f aca="false">IF(ISNUMBER(H209),H209*$F209,"—")</f>
        <v>418.5</v>
      </c>
      <c r="M209" s="14" t="n">
        <f aca="false">IF(ISNUMBER(I209),I209*$F209,"—")</f>
        <v>454.39</v>
      </c>
      <c r="N209" s="14" t="n">
        <f aca="false">IF(ISNUMBER(J209),J209*$F209,"—")</f>
        <v>465.75</v>
      </c>
      <c r="O209" s="77" t="n">
        <f aca="false">IF($S209=0,"—",MIN(G209:J209))</f>
        <v>400.55</v>
      </c>
      <c r="P209" s="42" t="str">
        <f aca="false">IF($S209=0,"—",IF(COUNTIF(G209:J209,O209)&gt;1,"Tie",INDEX($G$6:$J$6,MATCH(O209,G209:J209,0))))</f>
        <v>Ferguson</v>
      </c>
      <c r="Q209" s="48" t="n">
        <f aca="false">IF($S209&gt;=2,MAX(G209:J209)/MIN(G209:J209)-1,"—")</f>
        <v>0.16277618274872</v>
      </c>
      <c r="R209" s="78" t="n">
        <f aca="false">IF($S209&gt;=2,(MAX(G209:J209)-MIN(G209:J209))*$F209,"—")</f>
        <v>65.2</v>
      </c>
      <c r="S209" s="18" t="n">
        <f aca="false">COUNT(G209:J209)</f>
        <v>4</v>
      </c>
      <c r="T209" s="79" t="str">
        <f aca="false">IF($S209&lt;=1,IF($S209=1,"Single quote","—"),"Like-for-like")</f>
        <v>Like-for-like</v>
      </c>
      <c r="U209" s="79" t="str">
        <f aca="false">IF(COUNT(W209:Z209)&lt;2,"",IF(MAX(W209:Z209)=MIN(W209:Z209),"OK","Qty differs"))</f>
        <v>OK</v>
      </c>
      <c r="V209" s="80"/>
      <c r="W209" s="81" t="n">
        <f aca="false">IF(COUNTIFS('Quote Lines'!$P$3:$P$805,$A209&amp;"|"&amp;G$6&amp;"|1",'Quote Lines'!$M$3:$M$805,"Y")=0,"",SUMIFS('Quote Lines'!$L$3:$L$805,'Quote Lines'!$P$3:$P$805,$A209&amp;"|"&amp;G$6&amp;"|1",'Quote Lines'!$M$3:$M$805,"Y"))</f>
        <v>1</v>
      </c>
      <c r="X209" s="81" t="n">
        <f aca="false">IF(COUNTIFS('Quote Lines'!$P$3:$P$805,$A209&amp;"|"&amp;H$6&amp;"|1",'Quote Lines'!$M$3:$M$805,"Y")=0,"",SUMIFS('Quote Lines'!$L$3:$L$805,'Quote Lines'!$P$3:$P$805,$A209&amp;"|"&amp;H$6&amp;"|1",'Quote Lines'!$M$3:$M$805,"Y"))</f>
        <v>1</v>
      </c>
      <c r="Y209" s="81" t="n">
        <f aca="false">IF(COUNTIFS('Quote Lines'!$P$3:$P$805,$A209&amp;"|"&amp;I$6&amp;"|1",'Quote Lines'!$M$3:$M$805,"Y")=0,"",SUMIFS('Quote Lines'!$L$3:$L$805,'Quote Lines'!$P$3:$P$805,$A209&amp;"|"&amp;I$6&amp;"|1",'Quote Lines'!$M$3:$M$805,"Y"))</f>
        <v>1</v>
      </c>
      <c r="Z209" s="81" t="n">
        <f aca="false">IF(COUNTIFS('Quote Lines'!$P$3:$P$805,$A209&amp;"|"&amp;J$6&amp;"|1",'Quote Lines'!$M$3:$M$805,"Y")=0,"",SUMIFS('Quote Lines'!$L$3:$L$805,'Quote Lines'!$P$3:$P$805,$A209&amp;"|"&amp;J$6&amp;"|1",'Quote Lines'!$M$3:$M$805,"Y"))</f>
        <v>1</v>
      </c>
      <c r="AA209" s="82" t="n">
        <f aca="false">IF(ISNUMBER(G209),1+SUMPRODUCT(ISNUMBER($G209:$J209)*($G209:$J209&lt;G209)),"")</f>
        <v>1</v>
      </c>
      <c r="AB209" s="82" t="n">
        <f aca="false">IF(ISNUMBER(H209),1+SUMPRODUCT(ISNUMBER($G209:$J209)*($G209:$J209&lt;H209)),"")</f>
        <v>2</v>
      </c>
      <c r="AC209" s="82" t="n">
        <f aca="false">IF(ISNUMBER(I209),1+SUMPRODUCT(ISNUMBER($G209:$J209)*($G209:$J209&lt;I209)),"")</f>
        <v>3</v>
      </c>
      <c r="AD209" s="82" t="n">
        <f aca="false">IF(ISNUMBER(J209),1+SUMPRODUCT(ISNUMBER($G209:$J209)*($G209:$J209&lt;J209)),"")</f>
        <v>4</v>
      </c>
      <c r="AE209" s="82" t="n">
        <f aca="false">IF(NOT(ISNUMBER(G209)),0,IF($S209&lt;2,5,IF(AA209=1,1,IF(G209=MAX($G209:$J209),4,IF(AA209=2,2,3)))))</f>
        <v>1</v>
      </c>
      <c r="AF209" s="82" t="n">
        <f aca="false">IF(NOT(ISNUMBER(H209)),0,IF($S209&lt;2,5,IF(AB209=1,1,IF(H209=MAX($G209:$J209),4,IF(AB209=2,2,3)))))</f>
        <v>2</v>
      </c>
      <c r="AG209" s="82" t="n">
        <f aca="false">IF(NOT(ISNUMBER(I209)),0,IF($S209&lt;2,5,IF(AC209=1,1,IF(I209=MAX($G209:$J209),4,IF(AC209=2,2,3)))))</f>
        <v>3</v>
      </c>
      <c r="AH209" s="82" t="n">
        <f aca="false">IF(NOT(ISNUMBER(J209)),0,IF($S209&lt;2,5,IF(AD209=1,1,IF(J209=MAX($G209:$J209),4,IF(AD209=2,2,3)))))</f>
        <v>4</v>
      </c>
      <c r="AI209" s="83" t="n">
        <f aca="false">IF($S209&gt;=2,IF(ISNUMBER(G209),G209*$F209,MIN($G209:$J209)*$F209),0)</f>
        <v>400.55</v>
      </c>
      <c r="AJ209" s="83" t="n">
        <f aca="false">IF($S209&gt;=2,IF(ISNUMBER(H209),H209*$F209,MIN($G209:$J209)*$F209),0)</f>
        <v>418.5</v>
      </c>
      <c r="AK209" s="83" t="n">
        <f aca="false">IF($S209&gt;=2,IF(ISNUMBER(I209),I209*$F209,MIN($G209:$J209)*$F209),0)</f>
        <v>454.39</v>
      </c>
      <c r="AL209" s="83" t="n">
        <f aca="false">IF($S209&gt;=2,IF(ISNUMBER(J209),J209*$F209,MIN($G209:$J209)*$F209),0)</f>
        <v>465.75</v>
      </c>
      <c r="AM209" s="84" t="n">
        <f aca="false">IF($S209&gt;=2,$R209+ROW()/1000000,"")</f>
        <v>65.200209</v>
      </c>
      <c r="AN209" s="83" t="n">
        <f aca="false">IF($S209&gt;=2,MAX(G209:J209),"")</f>
        <v>465.75</v>
      </c>
      <c r="AO209" s="82" t="str">
        <f aca="false">IF($S209&gt;=2,INDEX($G$6:$J$6,MATCH(MAX(G209:J209),G209:J209,0)),"")</f>
        <v>Scholzen</v>
      </c>
      <c r="AP209" s="83" t="n">
        <f aca="false">IF($S209&gt;=2,MIN(G209:J209)*$F209,0)</f>
        <v>400.55</v>
      </c>
      <c r="AQ209" s="82" t="str">
        <f aca="false">IF($S209&gt;=2,INDEX($G$6:$J$6,MATCH(MIN(G209:J209),G209:J209,0)),"")</f>
        <v>Ferguson</v>
      </c>
    </row>
    <row r="210" customFormat="false" ht="15" hidden="false" customHeight="true" outlineLevel="0" collapsed="false">
      <c r="A210" s="70" t="s">
        <v>576</v>
      </c>
      <c r="B210" s="71" t="s">
        <v>574</v>
      </c>
      <c r="C210" s="72" t="s">
        <v>294</v>
      </c>
      <c r="D210" s="73" t="s">
        <v>300</v>
      </c>
      <c r="E210" s="74" t="s">
        <v>133</v>
      </c>
      <c r="F210" s="75" t="n">
        <v>2</v>
      </c>
      <c r="G210" s="76" t="n">
        <f aca="false">IF(COUNTIF('Quote Lines'!$P$3:$P$805,$A210&amp;"|"&amp;G$6&amp;"|1")=0,"—",SUMIFS('Quote Lines'!$O$3:$O$805,'Quote Lines'!$P$3:$P$805,$A210&amp;"|"&amp;G$6&amp;"|1")/SUMIFS('Quote Lines'!$L$3:$L$805,'Quote Lines'!$P$3:$P$805,$A210&amp;"|"&amp;G$6&amp;"|1"))</f>
        <v>169.74</v>
      </c>
      <c r="H210" s="76" t="n">
        <f aca="false">IF(COUNTIF('Quote Lines'!$P$3:$P$805,$A210&amp;"|"&amp;H$6&amp;"|1")=0,"—",SUMIFS('Quote Lines'!$O$3:$O$805,'Quote Lines'!$P$3:$P$805,$A210&amp;"|"&amp;H$6&amp;"|1")/SUMIFS('Quote Lines'!$L$3:$L$805,'Quote Lines'!$P$3:$P$805,$A210&amp;"|"&amp;H$6&amp;"|1"))</f>
        <v>167.73</v>
      </c>
      <c r="I210" s="76" t="n">
        <f aca="false">IF(COUNTIF('Quote Lines'!$P$3:$P$805,$A210&amp;"|"&amp;I$6&amp;"|1")=0,"—",SUMIFS('Quote Lines'!$O$3:$O$805,'Quote Lines'!$P$3:$P$805,$A210&amp;"|"&amp;I$6&amp;"|1")/SUMIFS('Quote Lines'!$L$3:$L$805,'Quote Lines'!$P$3:$P$805,$A210&amp;"|"&amp;I$6&amp;"|1"))</f>
        <v>136.59</v>
      </c>
      <c r="J210" s="76" t="n">
        <f aca="false">IF(COUNTIF('Quote Lines'!$P$3:$P$805,$A210&amp;"|"&amp;J$6&amp;"|1")=0,"—",SUMIFS('Quote Lines'!$O$3:$O$805,'Quote Lines'!$P$3:$P$805,$A210&amp;"|"&amp;J$6&amp;"|1")/SUMIFS('Quote Lines'!$L$3:$L$805,'Quote Lines'!$P$3:$P$805,$A210&amp;"|"&amp;J$6&amp;"|1"))</f>
        <v>193.73</v>
      </c>
      <c r="K210" s="14" t="n">
        <f aca="false">IF(ISNUMBER(G210),G210*$F210,"—")</f>
        <v>339.48</v>
      </c>
      <c r="L210" s="14" t="n">
        <f aca="false">IF(ISNUMBER(H210),H210*$F210,"—")</f>
        <v>335.46</v>
      </c>
      <c r="M210" s="14" t="n">
        <f aca="false">IF(ISNUMBER(I210),I210*$F210,"—")</f>
        <v>273.18</v>
      </c>
      <c r="N210" s="14" t="n">
        <f aca="false">IF(ISNUMBER(J210),J210*$F210,"—")</f>
        <v>387.46</v>
      </c>
      <c r="O210" s="77" t="n">
        <f aca="false">IF($S210=0,"—",MIN(G210:J210))</f>
        <v>136.59</v>
      </c>
      <c r="P210" s="42" t="str">
        <f aca="false">IF($S210=0,"—",IF(COUNTIF(G210:J210,O210)&gt;1,"Tie",INDEX($G$6:$J$6,MATCH(O210,G210:J210,0))))</f>
        <v>Mountainland</v>
      </c>
      <c r="Q210" s="48" t="n">
        <f aca="false">IF($S210&gt;=2,MAX(G210:J210)/MIN(G210:J210)-1,"—")</f>
        <v>0.418332235156307</v>
      </c>
      <c r="R210" s="78" t="n">
        <f aca="false">IF($S210&gt;=2,(MAX(G210:J210)-MIN(G210:J210))*$F210,"—")</f>
        <v>114.28</v>
      </c>
      <c r="S210" s="18" t="n">
        <f aca="false">COUNT(G210:J210)</f>
        <v>4</v>
      </c>
      <c r="T210" s="79" t="str">
        <f aca="false">IF($S210&lt;=1,IF($S210=1,"Single quote","—"),"Like-for-like")</f>
        <v>Like-for-like</v>
      </c>
      <c r="U210" s="79" t="str">
        <f aca="false">IF(COUNT(W210:Z210)&lt;2,"",IF(MAX(W210:Z210)=MIN(W210:Z210),"OK","Qty differs"))</f>
        <v>OK</v>
      </c>
      <c r="V210" s="80"/>
      <c r="W210" s="81" t="n">
        <f aca="false">IF(COUNTIFS('Quote Lines'!$P$3:$P$805,$A210&amp;"|"&amp;G$6&amp;"|1",'Quote Lines'!$M$3:$M$805,"Y")=0,"",SUMIFS('Quote Lines'!$L$3:$L$805,'Quote Lines'!$P$3:$P$805,$A210&amp;"|"&amp;G$6&amp;"|1",'Quote Lines'!$M$3:$M$805,"Y"))</f>
        <v>2</v>
      </c>
      <c r="X210" s="81" t="n">
        <f aca="false">IF(COUNTIFS('Quote Lines'!$P$3:$P$805,$A210&amp;"|"&amp;H$6&amp;"|1",'Quote Lines'!$M$3:$M$805,"Y")=0,"",SUMIFS('Quote Lines'!$L$3:$L$805,'Quote Lines'!$P$3:$P$805,$A210&amp;"|"&amp;H$6&amp;"|1",'Quote Lines'!$M$3:$M$805,"Y"))</f>
        <v>2</v>
      </c>
      <c r="Y210" s="81" t="n">
        <f aca="false">IF(COUNTIFS('Quote Lines'!$P$3:$P$805,$A210&amp;"|"&amp;I$6&amp;"|1",'Quote Lines'!$M$3:$M$805,"Y")=0,"",SUMIFS('Quote Lines'!$L$3:$L$805,'Quote Lines'!$P$3:$P$805,$A210&amp;"|"&amp;I$6&amp;"|1",'Quote Lines'!$M$3:$M$805,"Y"))</f>
        <v>2</v>
      </c>
      <c r="Z210" s="81" t="n">
        <f aca="false">IF(COUNTIFS('Quote Lines'!$P$3:$P$805,$A210&amp;"|"&amp;J$6&amp;"|1",'Quote Lines'!$M$3:$M$805,"Y")=0,"",SUMIFS('Quote Lines'!$L$3:$L$805,'Quote Lines'!$P$3:$P$805,$A210&amp;"|"&amp;J$6&amp;"|1",'Quote Lines'!$M$3:$M$805,"Y"))</f>
        <v>2</v>
      </c>
      <c r="AA210" s="82" t="n">
        <f aca="false">IF(ISNUMBER(G210),1+SUMPRODUCT(ISNUMBER($G210:$J210)*($G210:$J210&lt;G210)),"")</f>
        <v>3</v>
      </c>
      <c r="AB210" s="82" t="n">
        <f aca="false">IF(ISNUMBER(H210),1+SUMPRODUCT(ISNUMBER($G210:$J210)*($G210:$J210&lt;H210)),"")</f>
        <v>2</v>
      </c>
      <c r="AC210" s="82" t="n">
        <f aca="false">IF(ISNUMBER(I210),1+SUMPRODUCT(ISNUMBER($G210:$J210)*($G210:$J210&lt;I210)),"")</f>
        <v>1</v>
      </c>
      <c r="AD210" s="82" t="n">
        <f aca="false">IF(ISNUMBER(J210),1+SUMPRODUCT(ISNUMBER($G210:$J210)*($G210:$J210&lt;J210)),"")</f>
        <v>4</v>
      </c>
      <c r="AE210" s="82" t="n">
        <f aca="false">IF(NOT(ISNUMBER(G210)),0,IF($S210&lt;2,5,IF(AA210=1,1,IF(G210=MAX($G210:$J210),4,IF(AA210=2,2,3)))))</f>
        <v>3</v>
      </c>
      <c r="AF210" s="82" t="n">
        <f aca="false">IF(NOT(ISNUMBER(H210)),0,IF($S210&lt;2,5,IF(AB210=1,1,IF(H210=MAX($G210:$J210),4,IF(AB210=2,2,3)))))</f>
        <v>2</v>
      </c>
      <c r="AG210" s="82" t="n">
        <f aca="false">IF(NOT(ISNUMBER(I210)),0,IF($S210&lt;2,5,IF(AC210=1,1,IF(I210=MAX($G210:$J210),4,IF(AC210=2,2,3)))))</f>
        <v>1</v>
      </c>
      <c r="AH210" s="82" t="n">
        <f aca="false">IF(NOT(ISNUMBER(J210)),0,IF($S210&lt;2,5,IF(AD210=1,1,IF(J210=MAX($G210:$J210),4,IF(AD210=2,2,3)))))</f>
        <v>4</v>
      </c>
      <c r="AI210" s="83" t="n">
        <f aca="false">IF($S210&gt;=2,IF(ISNUMBER(G210),G210*$F210,MIN($G210:$J210)*$F210),0)</f>
        <v>339.48</v>
      </c>
      <c r="AJ210" s="83" t="n">
        <f aca="false">IF($S210&gt;=2,IF(ISNUMBER(H210),H210*$F210,MIN($G210:$J210)*$F210),0)</f>
        <v>335.46</v>
      </c>
      <c r="AK210" s="83" t="n">
        <f aca="false">IF($S210&gt;=2,IF(ISNUMBER(I210),I210*$F210,MIN($G210:$J210)*$F210),0)</f>
        <v>273.18</v>
      </c>
      <c r="AL210" s="83" t="n">
        <f aca="false">IF($S210&gt;=2,IF(ISNUMBER(J210),J210*$F210,MIN($G210:$J210)*$F210),0)</f>
        <v>387.46</v>
      </c>
      <c r="AM210" s="84" t="n">
        <f aca="false">IF($S210&gt;=2,$R210+ROW()/1000000,"")</f>
        <v>114.28021</v>
      </c>
      <c r="AN210" s="83" t="n">
        <f aca="false">IF($S210&gt;=2,MAX(G210:J210),"")</f>
        <v>193.73</v>
      </c>
      <c r="AO210" s="82" t="str">
        <f aca="false">IF($S210&gt;=2,INDEX($G$6:$J$6,MATCH(MAX(G210:J210),G210:J210,0)),"")</f>
        <v>Scholzen</v>
      </c>
      <c r="AP210" s="83" t="n">
        <f aca="false">IF($S210&gt;=2,MIN(G210:J210)*$F210,0)</f>
        <v>273.18</v>
      </c>
      <c r="AQ210" s="82" t="str">
        <f aca="false">IF($S210&gt;=2,INDEX($G$6:$J$6,MATCH(MIN(G210:J210),G210:J210,0)),"")</f>
        <v>Mountainland</v>
      </c>
    </row>
    <row r="211" customFormat="false" ht="19.5" hidden="false" customHeight="true" outlineLevel="0" collapsed="false">
      <c r="A211" s="69"/>
      <c r="B211" s="9" t="s">
        <v>577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customFormat="false" ht="15" hidden="false" customHeight="true" outlineLevel="0" collapsed="false">
      <c r="A212" s="70" t="s">
        <v>578</v>
      </c>
      <c r="B212" s="71" t="s">
        <v>579</v>
      </c>
      <c r="C212" s="72" t="s">
        <v>131</v>
      </c>
      <c r="D212" s="73" t="s">
        <v>580</v>
      </c>
      <c r="E212" s="74" t="s">
        <v>133</v>
      </c>
      <c r="F212" s="75" t="n">
        <v>11</v>
      </c>
      <c r="G212" s="76" t="n">
        <f aca="false">IF(COUNTIF('Quote Lines'!$P$3:$P$805,$A212&amp;"|"&amp;G$6&amp;"|1")=0,"—",SUMIFS('Quote Lines'!$O$3:$O$805,'Quote Lines'!$P$3:$P$805,$A212&amp;"|"&amp;G$6&amp;"|1")/SUMIFS('Quote Lines'!$L$3:$L$805,'Quote Lines'!$P$3:$P$805,$A212&amp;"|"&amp;G$6&amp;"|1"))</f>
        <v>1159.71</v>
      </c>
      <c r="H212" s="76" t="n">
        <f aca="false">IF(COUNTIF('Quote Lines'!$P$3:$P$805,$A212&amp;"|"&amp;H$6&amp;"|1")=0,"—",SUMIFS('Quote Lines'!$O$3:$O$805,'Quote Lines'!$P$3:$P$805,$A212&amp;"|"&amp;H$6&amp;"|1")/SUMIFS('Quote Lines'!$L$3:$L$805,'Quote Lines'!$P$3:$P$805,$A212&amp;"|"&amp;H$6&amp;"|1"))</f>
        <v>1211.7</v>
      </c>
      <c r="I212" s="76" t="n">
        <f aca="false">IF(COUNTIF('Quote Lines'!$P$3:$P$805,$A212&amp;"|"&amp;I$6&amp;"|1")=0,"—",SUMIFS('Quote Lines'!$O$3:$O$805,'Quote Lines'!$P$3:$P$805,$A212&amp;"|"&amp;I$6&amp;"|1")/SUMIFS('Quote Lines'!$L$3:$L$805,'Quote Lines'!$P$3:$P$805,$A212&amp;"|"&amp;I$6&amp;"|1"))</f>
        <v>1315.61</v>
      </c>
      <c r="J212" s="76" t="n">
        <f aca="false">IF(COUNTIF('Quote Lines'!$P$3:$P$805,$A212&amp;"|"&amp;J$6&amp;"|1")=0,"—",SUMIFS('Quote Lines'!$O$3:$O$805,'Quote Lines'!$P$3:$P$805,$A212&amp;"|"&amp;J$6&amp;"|1")/SUMIFS('Quote Lines'!$L$3:$L$805,'Quote Lines'!$P$3:$P$805,$A212&amp;"|"&amp;J$6&amp;"|1"))</f>
        <v>1348.5</v>
      </c>
      <c r="K212" s="14" t="n">
        <f aca="false">IF(ISNUMBER(G212),G212*$F212,"—")</f>
        <v>12756.81</v>
      </c>
      <c r="L212" s="14" t="n">
        <f aca="false">IF(ISNUMBER(H212),H212*$F212,"—")</f>
        <v>13328.7</v>
      </c>
      <c r="M212" s="14" t="n">
        <f aca="false">IF(ISNUMBER(I212),I212*$F212,"—")</f>
        <v>14471.71</v>
      </c>
      <c r="N212" s="14" t="n">
        <f aca="false">IF(ISNUMBER(J212),J212*$F212,"—")</f>
        <v>14833.5</v>
      </c>
      <c r="O212" s="77" t="n">
        <f aca="false">IF($S212=0,"—",MIN(G212:J212))</f>
        <v>1159.71</v>
      </c>
      <c r="P212" s="42" t="str">
        <f aca="false">IF($S212=0,"—",IF(COUNTIF(G212:J212,O212)&gt;1,"Tie",INDEX($G$6:$J$6,MATCH(O212,G212:J212,0))))</f>
        <v>Ferguson</v>
      </c>
      <c r="Q212" s="48" t="n">
        <f aca="false">IF($S212&gt;=2,MAX(G212:J212)/MIN(G212:J212)-1,"—")</f>
        <v>0.162790697674419</v>
      </c>
      <c r="R212" s="78" t="n">
        <f aca="false">IF($S212&gt;=2,(MAX(G212:J212)-MIN(G212:J212))*$F212,"—")</f>
        <v>2076.69</v>
      </c>
      <c r="S212" s="18" t="n">
        <f aca="false">COUNT(G212:J212)</f>
        <v>4</v>
      </c>
      <c r="T212" s="79" t="str">
        <f aca="false">IF($S212&lt;=1,IF($S212=1,"Single quote","—"),"Like-for-like")</f>
        <v>Like-for-like</v>
      </c>
      <c r="U212" s="79" t="str">
        <f aca="false">IF(COUNT(W212:Z212)&lt;2,"",IF(MAX(W212:Z212)=MIN(W212:Z212),"OK","Qty differs"))</f>
        <v>Qty differs</v>
      </c>
      <c r="V212" s="80"/>
      <c r="W212" s="81" t="n">
        <f aca="false">IF(COUNTIFS('Quote Lines'!$P$3:$P$805,$A212&amp;"|"&amp;G$6&amp;"|1",'Quote Lines'!$M$3:$M$805,"Y")=0,"",SUMIFS('Quote Lines'!$L$3:$L$805,'Quote Lines'!$P$3:$P$805,$A212&amp;"|"&amp;G$6&amp;"|1",'Quote Lines'!$M$3:$M$805,"Y"))</f>
        <v>11</v>
      </c>
      <c r="X212" s="81" t="n">
        <f aca="false">IF(COUNTIFS('Quote Lines'!$P$3:$P$805,$A212&amp;"|"&amp;H$6&amp;"|1",'Quote Lines'!$M$3:$M$805,"Y")=0,"",SUMIFS('Quote Lines'!$L$3:$L$805,'Quote Lines'!$P$3:$P$805,$A212&amp;"|"&amp;H$6&amp;"|1",'Quote Lines'!$M$3:$M$805,"Y"))</f>
        <v>12</v>
      </c>
      <c r="Y212" s="81" t="n">
        <f aca="false">IF(COUNTIFS('Quote Lines'!$P$3:$P$805,$A212&amp;"|"&amp;I$6&amp;"|1",'Quote Lines'!$M$3:$M$805,"Y")=0,"",SUMIFS('Quote Lines'!$L$3:$L$805,'Quote Lines'!$P$3:$P$805,$A212&amp;"|"&amp;I$6&amp;"|1",'Quote Lines'!$M$3:$M$805,"Y"))</f>
        <v>11</v>
      </c>
      <c r="Z212" s="81" t="n">
        <f aca="false">IF(COUNTIFS('Quote Lines'!$P$3:$P$805,$A212&amp;"|"&amp;J$6&amp;"|1",'Quote Lines'!$M$3:$M$805,"Y")=0,"",SUMIFS('Quote Lines'!$L$3:$L$805,'Quote Lines'!$P$3:$P$805,$A212&amp;"|"&amp;J$6&amp;"|1",'Quote Lines'!$M$3:$M$805,"Y"))</f>
        <v>11</v>
      </c>
      <c r="AA212" s="82" t="n">
        <f aca="false">IF(ISNUMBER(G212),1+SUMPRODUCT(ISNUMBER($G212:$J212)*($G212:$J212&lt;G212)),"")</f>
        <v>1</v>
      </c>
      <c r="AB212" s="82" t="n">
        <f aca="false">IF(ISNUMBER(H212),1+SUMPRODUCT(ISNUMBER($G212:$J212)*($G212:$J212&lt;H212)),"")</f>
        <v>2</v>
      </c>
      <c r="AC212" s="82" t="n">
        <f aca="false">IF(ISNUMBER(I212),1+SUMPRODUCT(ISNUMBER($G212:$J212)*($G212:$J212&lt;I212)),"")</f>
        <v>3</v>
      </c>
      <c r="AD212" s="82" t="n">
        <f aca="false">IF(ISNUMBER(J212),1+SUMPRODUCT(ISNUMBER($G212:$J212)*($G212:$J212&lt;J212)),"")</f>
        <v>4</v>
      </c>
      <c r="AE212" s="82" t="n">
        <f aca="false">IF(NOT(ISNUMBER(G212)),0,IF($S212&lt;2,5,IF(AA212=1,1,IF(G212=MAX($G212:$J212),4,IF(AA212=2,2,3)))))</f>
        <v>1</v>
      </c>
      <c r="AF212" s="82" t="n">
        <f aca="false">IF(NOT(ISNUMBER(H212)),0,IF($S212&lt;2,5,IF(AB212=1,1,IF(H212=MAX($G212:$J212),4,IF(AB212=2,2,3)))))</f>
        <v>2</v>
      </c>
      <c r="AG212" s="82" t="n">
        <f aca="false">IF(NOT(ISNUMBER(I212)),0,IF($S212&lt;2,5,IF(AC212=1,1,IF(I212=MAX($G212:$J212),4,IF(AC212=2,2,3)))))</f>
        <v>3</v>
      </c>
      <c r="AH212" s="82" t="n">
        <f aca="false">IF(NOT(ISNUMBER(J212)),0,IF($S212&lt;2,5,IF(AD212=1,1,IF(J212=MAX($G212:$J212),4,IF(AD212=2,2,3)))))</f>
        <v>4</v>
      </c>
      <c r="AI212" s="83" t="n">
        <f aca="false">IF($S212&gt;=2,IF(ISNUMBER(G212),G212*$F212,MIN($G212:$J212)*$F212),0)</f>
        <v>12756.81</v>
      </c>
      <c r="AJ212" s="83" t="n">
        <f aca="false">IF($S212&gt;=2,IF(ISNUMBER(H212),H212*$F212,MIN($G212:$J212)*$F212),0)</f>
        <v>13328.7</v>
      </c>
      <c r="AK212" s="83" t="n">
        <f aca="false">IF($S212&gt;=2,IF(ISNUMBER(I212),I212*$F212,MIN($G212:$J212)*$F212),0)</f>
        <v>14471.71</v>
      </c>
      <c r="AL212" s="83" t="n">
        <f aca="false">IF($S212&gt;=2,IF(ISNUMBER(J212),J212*$F212,MIN($G212:$J212)*$F212),0)</f>
        <v>14833.5</v>
      </c>
      <c r="AM212" s="84" t="n">
        <f aca="false">IF($S212&gt;=2,$R212+ROW()/1000000,"")</f>
        <v>2076.690212</v>
      </c>
      <c r="AN212" s="83" t="n">
        <f aca="false">IF($S212&gt;=2,MAX(G212:J212),"")</f>
        <v>1348.5</v>
      </c>
      <c r="AO212" s="82" t="str">
        <f aca="false">IF($S212&gt;=2,INDEX($G$6:$J$6,MATCH(MAX(G212:J212),G212:J212,0)),"")</f>
        <v>Scholzen</v>
      </c>
      <c r="AP212" s="83" t="n">
        <f aca="false">IF($S212&gt;=2,MIN(G212:J212)*$F212,0)</f>
        <v>12756.81</v>
      </c>
      <c r="AQ212" s="82" t="str">
        <f aca="false">IF($S212&gt;=2,INDEX($G$6:$J$6,MATCH(MIN(G212:J212),G212:J212,0)),"")</f>
        <v>Ferguson</v>
      </c>
    </row>
    <row r="213" customFormat="false" ht="15" hidden="false" customHeight="true" outlineLevel="0" collapsed="false">
      <c r="A213" s="70" t="s">
        <v>581</v>
      </c>
      <c r="B213" s="71" t="s">
        <v>579</v>
      </c>
      <c r="C213" s="72" t="s">
        <v>131</v>
      </c>
      <c r="D213" s="73" t="s">
        <v>582</v>
      </c>
      <c r="E213" s="74" t="s">
        <v>133</v>
      </c>
      <c r="F213" s="75" t="n">
        <v>1</v>
      </c>
      <c r="G213" s="76" t="n">
        <f aca="false">IF(COUNTIF('Quote Lines'!$P$3:$P$805,$A213&amp;"|"&amp;G$6&amp;"|1")=0,"—",SUMIFS('Quote Lines'!$O$3:$O$805,'Quote Lines'!$P$3:$P$805,$A213&amp;"|"&amp;G$6&amp;"|1")/SUMIFS('Quote Lines'!$L$3:$L$805,'Quote Lines'!$P$3:$P$805,$A213&amp;"|"&amp;G$6&amp;"|1"))</f>
        <v>599.85</v>
      </c>
      <c r="H213" s="85" t="s">
        <v>138</v>
      </c>
      <c r="I213" s="76" t="n">
        <f aca="false">IF(COUNTIF('Quote Lines'!$P$3:$P$805,$A213&amp;"|"&amp;I$6&amp;"|1")=0,"—",SUMIFS('Quote Lines'!$O$3:$O$805,'Quote Lines'!$P$3:$P$805,$A213&amp;"|"&amp;I$6&amp;"|1")/SUMIFS('Quote Lines'!$L$3:$L$805,'Quote Lines'!$P$3:$P$805,$A213&amp;"|"&amp;I$6&amp;"|1"))</f>
        <v>680.49</v>
      </c>
      <c r="J213" s="76" t="n">
        <f aca="false">IF(COUNTIF('Quote Lines'!$P$3:$P$805,$A213&amp;"|"&amp;J$6&amp;"|1")=0,"—",SUMIFS('Quote Lines'!$O$3:$O$805,'Quote Lines'!$P$3:$P$805,$A213&amp;"|"&amp;J$6&amp;"|1")/SUMIFS('Quote Lines'!$L$3:$L$805,'Quote Lines'!$P$3:$P$805,$A213&amp;"|"&amp;J$6&amp;"|1"))</f>
        <v>697.5</v>
      </c>
      <c r="K213" s="14" t="n">
        <f aca="false">IF(ISNUMBER(G213),G213*$F213,"—")</f>
        <v>599.85</v>
      </c>
      <c r="L213" s="14" t="str">
        <f aca="false">IF(ISNUMBER(H213),H213*$F213,"—")</f>
        <v>—</v>
      </c>
      <c r="M213" s="14" t="n">
        <f aca="false">IF(ISNUMBER(I213),I213*$F213,"—")</f>
        <v>680.49</v>
      </c>
      <c r="N213" s="14" t="n">
        <f aca="false">IF(ISNUMBER(J213),J213*$F213,"—")</f>
        <v>697.5</v>
      </c>
      <c r="O213" s="77" t="n">
        <f aca="false">IF($S213=0,"—",MIN(G213:J213))</f>
        <v>599.85</v>
      </c>
      <c r="P213" s="42" t="str">
        <f aca="false">IF($S213=0,"—",IF(COUNTIF(G213:J213,O213)&gt;1,"Tie",INDEX($G$6:$J$6,MATCH(O213,G213:J213,0))))</f>
        <v>Ferguson</v>
      </c>
      <c r="Q213" s="48" t="n">
        <f aca="false">IF($S213&gt;=2,MAX(G213:J213)/MIN(G213:J213)-1,"—")</f>
        <v>0.162790697674418</v>
      </c>
      <c r="R213" s="78" t="n">
        <f aca="false">IF($S213&gt;=2,(MAX(G213:J213)-MIN(G213:J213))*$F213,"—")</f>
        <v>97.65</v>
      </c>
      <c r="S213" s="18" t="n">
        <f aca="false">COUNT(G213:J213)</f>
        <v>3</v>
      </c>
      <c r="T213" s="79" t="str">
        <f aca="false">IF($S213&lt;=1,IF($S213=1,"Single quote","—"),"Like-for-like")</f>
        <v>Like-for-like</v>
      </c>
      <c r="U213" s="79" t="str">
        <f aca="false">IF(COUNT(W213:Z213)&lt;2,"",IF(MAX(W213:Z213)=MIN(W213:Z213),"OK","Qty differs"))</f>
        <v>OK</v>
      </c>
      <c r="V213" s="80"/>
      <c r="W213" s="81" t="n">
        <f aca="false">IF(COUNTIFS('Quote Lines'!$P$3:$P$805,$A213&amp;"|"&amp;G$6&amp;"|1",'Quote Lines'!$M$3:$M$805,"Y")=0,"",SUMIFS('Quote Lines'!$L$3:$L$805,'Quote Lines'!$P$3:$P$805,$A213&amp;"|"&amp;G$6&amp;"|1",'Quote Lines'!$M$3:$M$805,"Y"))</f>
        <v>1</v>
      </c>
      <c r="X213" s="81"/>
      <c r="Y213" s="81" t="n">
        <f aca="false">IF(COUNTIFS('Quote Lines'!$P$3:$P$805,$A213&amp;"|"&amp;I$6&amp;"|1",'Quote Lines'!$M$3:$M$805,"Y")=0,"",SUMIFS('Quote Lines'!$L$3:$L$805,'Quote Lines'!$P$3:$P$805,$A213&amp;"|"&amp;I$6&amp;"|1",'Quote Lines'!$M$3:$M$805,"Y"))</f>
        <v>1</v>
      </c>
      <c r="Z213" s="81" t="n">
        <f aca="false">IF(COUNTIFS('Quote Lines'!$P$3:$P$805,$A213&amp;"|"&amp;J$6&amp;"|1",'Quote Lines'!$M$3:$M$805,"Y")=0,"",SUMIFS('Quote Lines'!$L$3:$L$805,'Quote Lines'!$P$3:$P$805,$A213&amp;"|"&amp;J$6&amp;"|1",'Quote Lines'!$M$3:$M$805,"Y"))</f>
        <v>1</v>
      </c>
      <c r="AA213" s="82" t="n">
        <f aca="false">IF(ISNUMBER(G213),1+SUMPRODUCT(ISNUMBER($G213:$J213)*($G213:$J213&lt;G213)),"")</f>
        <v>1</v>
      </c>
      <c r="AB213" s="82" t="str">
        <f aca="false">IF(ISNUMBER(H213),1+SUMPRODUCT(ISNUMBER($G213:$J213)*($G213:$J213&lt;H213)),"")</f>
        <v/>
      </c>
      <c r="AC213" s="82" t="n">
        <f aca="false">IF(ISNUMBER(I213),1+SUMPRODUCT(ISNUMBER($G213:$J213)*($G213:$J213&lt;I213)),"")</f>
        <v>2</v>
      </c>
      <c r="AD213" s="82" t="n">
        <f aca="false">IF(ISNUMBER(J213),1+SUMPRODUCT(ISNUMBER($G213:$J213)*($G213:$J213&lt;J213)),"")</f>
        <v>3</v>
      </c>
      <c r="AE213" s="82" t="n">
        <f aca="false">IF(NOT(ISNUMBER(G213)),0,IF($S213&lt;2,5,IF(AA213=1,1,IF(G213=MAX($G213:$J213),4,IF(AA213=2,2,3)))))</f>
        <v>1</v>
      </c>
      <c r="AF213" s="82" t="n">
        <f aca="false">IF(NOT(ISNUMBER(H213)),0,IF($S213&lt;2,5,IF(AB213=1,1,IF(H213=MAX($G213:$J213),4,IF(AB213=2,2,3)))))</f>
        <v>0</v>
      </c>
      <c r="AG213" s="82" t="n">
        <f aca="false">IF(NOT(ISNUMBER(I213)),0,IF($S213&lt;2,5,IF(AC213=1,1,IF(I213=MAX($G213:$J213),4,IF(AC213=2,2,3)))))</f>
        <v>2</v>
      </c>
      <c r="AH213" s="82" t="n">
        <f aca="false">IF(NOT(ISNUMBER(J213)),0,IF($S213&lt;2,5,IF(AD213=1,1,IF(J213=MAX($G213:$J213),4,IF(AD213=2,2,3)))))</f>
        <v>4</v>
      </c>
      <c r="AI213" s="83" t="n">
        <f aca="false">IF($S213&gt;=2,IF(ISNUMBER(G213),G213*$F213,MIN($G213:$J213)*$F213),0)</f>
        <v>599.85</v>
      </c>
      <c r="AJ213" s="83" t="n">
        <f aca="false">IF($S213&gt;=2,IF(ISNUMBER(H213),H213*$F213,MIN($G213:$J213)*$F213),0)</f>
        <v>599.85</v>
      </c>
      <c r="AK213" s="83" t="n">
        <f aca="false">IF($S213&gt;=2,IF(ISNUMBER(I213),I213*$F213,MIN($G213:$J213)*$F213),0)</f>
        <v>680.49</v>
      </c>
      <c r="AL213" s="83" t="n">
        <f aca="false">IF($S213&gt;=2,IF(ISNUMBER(J213),J213*$F213,MIN($G213:$J213)*$F213),0)</f>
        <v>697.5</v>
      </c>
      <c r="AM213" s="84" t="n">
        <f aca="false">IF($S213&gt;=2,$R213+ROW()/1000000,"")</f>
        <v>97.650213</v>
      </c>
      <c r="AN213" s="83" t="n">
        <f aca="false">IF($S213&gt;=2,MAX(G213:J213),"")</f>
        <v>697.5</v>
      </c>
      <c r="AO213" s="82" t="str">
        <f aca="false">IF($S213&gt;=2,INDEX($G$6:$J$6,MATCH(MAX(G213:J213),G213:J213,0)),"")</f>
        <v>Scholzen</v>
      </c>
      <c r="AP213" s="83" t="n">
        <f aca="false">IF($S213&gt;=2,MIN(G213:J213)*$F213,0)</f>
        <v>599.85</v>
      </c>
      <c r="AQ213" s="82" t="str">
        <f aca="false">IF($S213&gt;=2,INDEX($G$6:$J$6,MATCH(MIN(G213:J213),G213:J213,0)),"")</f>
        <v>Ferguson</v>
      </c>
    </row>
    <row r="214" customFormat="false" ht="15" hidden="false" customHeight="true" outlineLevel="0" collapsed="false">
      <c r="A214" s="70" t="s">
        <v>583</v>
      </c>
      <c r="B214" s="71" t="s">
        <v>579</v>
      </c>
      <c r="C214" s="72" t="s">
        <v>131</v>
      </c>
      <c r="D214" s="73" t="s">
        <v>161</v>
      </c>
      <c r="E214" s="74" t="s">
        <v>133</v>
      </c>
      <c r="F214" s="75" t="n">
        <v>8</v>
      </c>
      <c r="G214" s="76" t="n">
        <f aca="false">IF(COUNTIF('Quote Lines'!$P$3:$P$805,$A214&amp;"|"&amp;G$6&amp;"|1")=0,"—",SUMIFS('Quote Lines'!$O$3:$O$805,'Quote Lines'!$P$3:$P$805,$A214&amp;"|"&amp;G$6&amp;"|1")/SUMIFS('Quote Lines'!$L$3:$L$805,'Quote Lines'!$P$3:$P$805,$A214&amp;"|"&amp;G$6&amp;"|1"))</f>
        <v>419.9</v>
      </c>
      <c r="H214" s="76" t="n">
        <f aca="false">IF(COUNTIF('Quote Lines'!$P$3:$P$805,$A214&amp;"|"&amp;H$6&amp;"|1")=0,"—",SUMIFS('Quote Lines'!$O$3:$O$805,'Quote Lines'!$P$3:$P$805,$A214&amp;"|"&amp;H$6&amp;"|1")/SUMIFS('Quote Lines'!$L$3:$L$805,'Quote Lines'!$P$3:$P$805,$A214&amp;"|"&amp;H$6&amp;"|1"))</f>
        <v>438.72</v>
      </c>
      <c r="I214" s="76" t="n">
        <f aca="false">IF(COUNTIF('Quote Lines'!$P$3:$P$805,$A214&amp;"|"&amp;I$6&amp;"|1")=0,"—",SUMIFS('Quote Lines'!$O$3:$O$805,'Quote Lines'!$P$3:$P$805,$A214&amp;"|"&amp;I$6&amp;"|1")/SUMIFS('Quote Lines'!$L$3:$L$805,'Quote Lines'!$P$3:$P$805,$A214&amp;"|"&amp;I$6&amp;"|1"))</f>
        <v>476.34125</v>
      </c>
      <c r="J214" s="76" t="n">
        <f aca="false">IF(COUNTIF('Quote Lines'!$P$3:$P$805,$A214&amp;"|"&amp;J$6&amp;"|1")=0,"—",SUMIFS('Quote Lines'!$O$3:$O$805,'Quote Lines'!$P$3:$P$805,$A214&amp;"|"&amp;J$6&amp;"|1")/SUMIFS('Quote Lines'!$L$3:$L$805,'Quote Lines'!$P$3:$P$805,$A214&amp;"|"&amp;J$6&amp;"|1"))</f>
        <v>488.25</v>
      </c>
      <c r="K214" s="14" t="n">
        <f aca="false">IF(ISNUMBER(G214),G214*$F214,"—")</f>
        <v>3359.2</v>
      </c>
      <c r="L214" s="14" t="n">
        <f aca="false">IF(ISNUMBER(H214),H214*$F214,"—")</f>
        <v>3509.76</v>
      </c>
      <c r="M214" s="14" t="n">
        <f aca="false">IF(ISNUMBER(I214),I214*$F214,"—")</f>
        <v>3810.73</v>
      </c>
      <c r="N214" s="14" t="n">
        <f aca="false">IF(ISNUMBER(J214),J214*$F214,"—")</f>
        <v>3906</v>
      </c>
      <c r="O214" s="77" t="n">
        <f aca="false">IF($S214=0,"—",MIN(G214:J214))</f>
        <v>419.9</v>
      </c>
      <c r="P214" s="42" t="str">
        <f aca="false">IF($S214=0,"—",IF(COUNTIF(G214:J214,O214)&gt;1,"Tie",INDEX($G$6:$J$6,MATCH(O214,G214:J214,0))))</f>
        <v>Ferguson</v>
      </c>
      <c r="Q214" s="48" t="n">
        <f aca="false">IF($S214&gt;=2,MAX(G214:J214)/MIN(G214:J214)-1,"—")</f>
        <v>0.162776851631341</v>
      </c>
      <c r="R214" s="78" t="n">
        <f aca="false">IF($S214&gt;=2,(MAX(G214:J214)-MIN(G214:J214))*$F214,"—")</f>
        <v>546.8</v>
      </c>
      <c r="S214" s="18" t="n">
        <f aca="false">COUNT(G214:J214)</f>
        <v>4</v>
      </c>
      <c r="T214" s="79" t="str">
        <f aca="false">IF($S214&lt;=1,IF($S214=1,"Single quote","—"),"Like-for-like")</f>
        <v>Like-for-like</v>
      </c>
      <c r="U214" s="79" t="str">
        <f aca="false">IF(COUNT(W214:Z214)&lt;2,"",IF(MAX(W214:Z214)=MIN(W214:Z214),"OK","Qty differs"))</f>
        <v>Qty differs</v>
      </c>
      <c r="V214" s="80" t="s">
        <v>584</v>
      </c>
      <c r="W214" s="81" t="n">
        <f aca="false">IF(COUNTIFS('Quote Lines'!$P$3:$P$805,$A214&amp;"|"&amp;G$6&amp;"|1",'Quote Lines'!$M$3:$M$805,"Y")=0,"",SUMIFS('Quote Lines'!$L$3:$L$805,'Quote Lines'!$P$3:$P$805,$A214&amp;"|"&amp;G$6&amp;"|1",'Quote Lines'!$M$3:$M$805,"Y"))</f>
        <v>8</v>
      </c>
      <c r="X214" s="81" t="n">
        <f aca="false">IF(COUNTIFS('Quote Lines'!$P$3:$P$805,$A214&amp;"|"&amp;H$6&amp;"|1",'Quote Lines'!$M$3:$M$805,"Y")=0,"",SUMIFS('Quote Lines'!$L$3:$L$805,'Quote Lines'!$P$3:$P$805,$A214&amp;"|"&amp;H$6&amp;"|1",'Quote Lines'!$M$3:$M$805,"Y"))</f>
        <v>7</v>
      </c>
      <c r="Y214" s="81" t="n">
        <f aca="false">IF(COUNTIFS('Quote Lines'!$P$3:$P$805,$A214&amp;"|"&amp;I$6&amp;"|1",'Quote Lines'!$M$3:$M$805,"Y")=0,"",SUMIFS('Quote Lines'!$L$3:$L$805,'Quote Lines'!$P$3:$P$805,$A214&amp;"|"&amp;I$6&amp;"|1",'Quote Lines'!$M$3:$M$805,"Y"))</f>
        <v>8</v>
      </c>
      <c r="Z214" s="81" t="n">
        <f aca="false">IF(COUNTIFS('Quote Lines'!$P$3:$P$805,$A214&amp;"|"&amp;J$6&amp;"|1",'Quote Lines'!$M$3:$M$805,"Y")=0,"",SUMIFS('Quote Lines'!$L$3:$L$805,'Quote Lines'!$P$3:$P$805,$A214&amp;"|"&amp;J$6&amp;"|1",'Quote Lines'!$M$3:$M$805,"Y"))</f>
        <v>8</v>
      </c>
      <c r="AA214" s="82" t="n">
        <f aca="false">IF(ISNUMBER(G214),1+SUMPRODUCT(ISNUMBER($G214:$J214)*($G214:$J214&lt;G214)),"")</f>
        <v>1</v>
      </c>
      <c r="AB214" s="82" t="n">
        <f aca="false">IF(ISNUMBER(H214),1+SUMPRODUCT(ISNUMBER($G214:$J214)*($G214:$J214&lt;H214)),"")</f>
        <v>2</v>
      </c>
      <c r="AC214" s="82" t="n">
        <f aca="false">IF(ISNUMBER(I214),1+SUMPRODUCT(ISNUMBER($G214:$J214)*($G214:$J214&lt;I214)),"")</f>
        <v>3</v>
      </c>
      <c r="AD214" s="82" t="n">
        <f aca="false">IF(ISNUMBER(J214),1+SUMPRODUCT(ISNUMBER($G214:$J214)*($G214:$J214&lt;J214)),"")</f>
        <v>4</v>
      </c>
      <c r="AE214" s="82" t="n">
        <f aca="false">IF(NOT(ISNUMBER(G214)),0,IF($S214&lt;2,5,IF(AA214=1,1,IF(G214=MAX($G214:$J214),4,IF(AA214=2,2,3)))))</f>
        <v>1</v>
      </c>
      <c r="AF214" s="82" t="n">
        <f aca="false">IF(NOT(ISNUMBER(H214)),0,IF($S214&lt;2,5,IF(AB214=1,1,IF(H214=MAX($G214:$J214),4,IF(AB214=2,2,3)))))</f>
        <v>2</v>
      </c>
      <c r="AG214" s="82" t="n">
        <f aca="false">IF(NOT(ISNUMBER(I214)),0,IF($S214&lt;2,5,IF(AC214=1,1,IF(I214=MAX($G214:$J214),4,IF(AC214=2,2,3)))))</f>
        <v>3</v>
      </c>
      <c r="AH214" s="82" t="n">
        <f aca="false">IF(NOT(ISNUMBER(J214)),0,IF($S214&lt;2,5,IF(AD214=1,1,IF(J214=MAX($G214:$J214),4,IF(AD214=2,2,3)))))</f>
        <v>4</v>
      </c>
      <c r="AI214" s="83" t="n">
        <f aca="false">IF($S214&gt;=2,IF(ISNUMBER(G214),G214*$F214,MIN($G214:$J214)*$F214),0)</f>
        <v>3359.2</v>
      </c>
      <c r="AJ214" s="83" t="n">
        <f aca="false">IF($S214&gt;=2,IF(ISNUMBER(H214),H214*$F214,MIN($G214:$J214)*$F214),0)</f>
        <v>3509.76</v>
      </c>
      <c r="AK214" s="83" t="n">
        <f aca="false">IF($S214&gt;=2,IF(ISNUMBER(I214),I214*$F214,MIN($G214:$J214)*$F214),0)</f>
        <v>3810.73</v>
      </c>
      <c r="AL214" s="83" t="n">
        <f aca="false">IF($S214&gt;=2,IF(ISNUMBER(J214),J214*$F214,MIN($G214:$J214)*$F214),0)</f>
        <v>3906</v>
      </c>
      <c r="AM214" s="84" t="n">
        <f aca="false">IF($S214&gt;=2,$R214+ROW()/1000000,"")</f>
        <v>546.800214</v>
      </c>
      <c r="AN214" s="83" t="n">
        <f aca="false">IF($S214&gt;=2,MAX(G214:J214),"")</f>
        <v>488.25</v>
      </c>
      <c r="AO214" s="82" t="str">
        <f aca="false">IF($S214&gt;=2,INDEX($G$6:$J$6,MATCH(MAX(G214:J214),G214:J214,0)),"")</f>
        <v>Scholzen</v>
      </c>
      <c r="AP214" s="83" t="n">
        <f aca="false">IF($S214&gt;=2,MIN(G214:J214)*$F214,0)</f>
        <v>3359.2</v>
      </c>
      <c r="AQ214" s="82" t="str">
        <f aca="false">IF($S214&gt;=2,INDEX($G$6:$J$6,MATCH(MIN(G214:J214),G214:J214,0)),"")</f>
        <v>Ferguson</v>
      </c>
    </row>
    <row r="215" customFormat="false" ht="15" hidden="false" customHeight="true" outlineLevel="0" collapsed="false">
      <c r="A215" s="70" t="s">
        <v>585</v>
      </c>
      <c r="B215" s="71" t="s">
        <v>579</v>
      </c>
      <c r="C215" s="72" t="s">
        <v>294</v>
      </c>
      <c r="D215" s="73" t="s">
        <v>300</v>
      </c>
      <c r="E215" s="74" t="s">
        <v>133</v>
      </c>
      <c r="F215" s="75" t="n">
        <v>10</v>
      </c>
      <c r="G215" s="76" t="n">
        <f aca="false">IF(COUNTIF('Quote Lines'!$P$3:$P$805,$A215&amp;"|"&amp;G$6&amp;"|1")=0,"—",SUMIFS('Quote Lines'!$O$3:$O$805,'Quote Lines'!$P$3:$P$805,$A215&amp;"|"&amp;G$6&amp;"|1")/SUMIFS('Quote Lines'!$L$3:$L$805,'Quote Lines'!$P$3:$P$805,$A215&amp;"|"&amp;G$6&amp;"|1"))</f>
        <v>169.74</v>
      </c>
      <c r="H215" s="76" t="n">
        <f aca="false">IF(COUNTIF('Quote Lines'!$P$3:$P$805,$A215&amp;"|"&amp;H$6&amp;"|1")=0,"—",SUMIFS('Quote Lines'!$O$3:$O$805,'Quote Lines'!$P$3:$P$805,$A215&amp;"|"&amp;H$6&amp;"|1")/SUMIFS('Quote Lines'!$L$3:$L$805,'Quote Lines'!$P$3:$P$805,$A215&amp;"|"&amp;H$6&amp;"|1"))</f>
        <v>167.73</v>
      </c>
      <c r="I215" s="76" t="n">
        <f aca="false">IF(COUNTIF('Quote Lines'!$P$3:$P$805,$A215&amp;"|"&amp;I$6&amp;"|1")=0,"—",SUMIFS('Quote Lines'!$O$3:$O$805,'Quote Lines'!$P$3:$P$805,$A215&amp;"|"&amp;I$6&amp;"|1")/SUMIFS('Quote Lines'!$L$3:$L$805,'Quote Lines'!$P$3:$P$805,$A215&amp;"|"&amp;I$6&amp;"|1"))</f>
        <v>136.588</v>
      </c>
      <c r="J215" s="76" t="n">
        <f aca="false">IF(COUNTIF('Quote Lines'!$P$3:$P$805,$A215&amp;"|"&amp;J$6&amp;"|1")=0,"—",SUMIFS('Quote Lines'!$O$3:$O$805,'Quote Lines'!$P$3:$P$805,$A215&amp;"|"&amp;J$6&amp;"|1")/SUMIFS('Quote Lines'!$L$3:$L$805,'Quote Lines'!$P$3:$P$805,$A215&amp;"|"&amp;J$6&amp;"|1"))</f>
        <v>193.73</v>
      </c>
      <c r="K215" s="14" t="n">
        <f aca="false">IF(ISNUMBER(G215),G215*$F215,"—")</f>
        <v>1697.4</v>
      </c>
      <c r="L215" s="14" t="n">
        <f aca="false">IF(ISNUMBER(H215),H215*$F215,"—")</f>
        <v>1677.3</v>
      </c>
      <c r="M215" s="14" t="n">
        <f aca="false">IF(ISNUMBER(I215),I215*$F215,"—")</f>
        <v>1365.88</v>
      </c>
      <c r="N215" s="14" t="n">
        <f aca="false">IF(ISNUMBER(J215),J215*$F215,"—")</f>
        <v>1937.3</v>
      </c>
      <c r="O215" s="77" t="n">
        <f aca="false">IF($S215=0,"—",MIN(G215:J215))</f>
        <v>136.588</v>
      </c>
      <c r="P215" s="42" t="str">
        <f aca="false">IF($S215=0,"—",IF(COUNTIF(G215:J215,O215)&gt;1,"Tie",INDEX($G$6:$J$6,MATCH(O215,G215:J215,0))))</f>
        <v>Mountainland</v>
      </c>
      <c r="Q215" s="48" t="n">
        <f aca="false">IF($S215&gt;=2,MAX(G215:J215)/MIN(G215:J215)-1,"—")</f>
        <v>0.418353003192081</v>
      </c>
      <c r="R215" s="78" t="n">
        <f aca="false">IF($S215&gt;=2,(MAX(G215:J215)-MIN(G215:J215))*$F215,"—")</f>
        <v>571.42</v>
      </c>
      <c r="S215" s="18" t="n">
        <f aca="false">COUNT(G215:J215)</f>
        <v>4</v>
      </c>
      <c r="T215" s="79" t="str">
        <f aca="false">IF($S215&lt;=1,IF($S215=1,"Single quote","—"),"Like-for-like")</f>
        <v>Like-for-like</v>
      </c>
      <c r="U215" s="79" t="str">
        <f aca="false">IF(COUNT(W215:Z215)&lt;2,"",IF(MAX(W215:Z215)=MIN(W215:Z215),"OK","Qty differs"))</f>
        <v>Qty differs</v>
      </c>
      <c r="V215" s="80"/>
      <c r="W215" s="81" t="n">
        <f aca="false">IF(COUNTIFS('Quote Lines'!$P$3:$P$805,$A215&amp;"|"&amp;G$6&amp;"|1",'Quote Lines'!$M$3:$M$805,"Y")=0,"",SUMIFS('Quote Lines'!$L$3:$L$805,'Quote Lines'!$P$3:$P$805,$A215&amp;"|"&amp;G$6&amp;"|1",'Quote Lines'!$M$3:$M$805,"Y"))</f>
        <v>10</v>
      </c>
      <c r="X215" s="81" t="n">
        <f aca="false">IF(COUNTIFS('Quote Lines'!$P$3:$P$805,$A215&amp;"|"&amp;H$6&amp;"|1",'Quote Lines'!$M$3:$M$805,"Y")=0,"",SUMIFS('Quote Lines'!$L$3:$L$805,'Quote Lines'!$P$3:$P$805,$A215&amp;"|"&amp;H$6&amp;"|1",'Quote Lines'!$M$3:$M$805,"Y"))</f>
        <v>7</v>
      </c>
      <c r="Y215" s="81" t="n">
        <f aca="false">IF(COUNTIFS('Quote Lines'!$P$3:$P$805,$A215&amp;"|"&amp;I$6&amp;"|1",'Quote Lines'!$M$3:$M$805,"Y")=0,"",SUMIFS('Quote Lines'!$L$3:$L$805,'Quote Lines'!$P$3:$P$805,$A215&amp;"|"&amp;I$6&amp;"|1",'Quote Lines'!$M$3:$M$805,"Y"))</f>
        <v>10</v>
      </c>
      <c r="Z215" s="81" t="n">
        <f aca="false">IF(COUNTIFS('Quote Lines'!$P$3:$P$805,$A215&amp;"|"&amp;J$6&amp;"|1",'Quote Lines'!$M$3:$M$805,"Y")=0,"",SUMIFS('Quote Lines'!$L$3:$L$805,'Quote Lines'!$P$3:$P$805,$A215&amp;"|"&amp;J$6&amp;"|1",'Quote Lines'!$M$3:$M$805,"Y"))</f>
        <v>10</v>
      </c>
      <c r="AA215" s="82" t="n">
        <f aca="false">IF(ISNUMBER(G215),1+SUMPRODUCT(ISNUMBER($G215:$J215)*($G215:$J215&lt;G215)),"")</f>
        <v>3</v>
      </c>
      <c r="AB215" s="82" t="n">
        <f aca="false">IF(ISNUMBER(H215),1+SUMPRODUCT(ISNUMBER($G215:$J215)*($G215:$J215&lt;H215)),"")</f>
        <v>2</v>
      </c>
      <c r="AC215" s="82" t="n">
        <f aca="false">IF(ISNUMBER(I215),1+SUMPRODUCT(ISNUMBER($G215:$J215)*($G215:$J215&lt;I215)),"")</f>
        <v>1</v>
      </c>
      <c r="AD215" s="82" t="n">
        <f aca="false">IF(ISNUMBER(J215),1+SUMPRODUCT(ISNUMBER($G215:$J215)*($G215:$J215&lt;J215)),"")</f>
        <v>4</v>
      </c>
      <c r="AE215" s="82" t="n">
        <f aca="false">IF(NOT(ISNUMBER(G215)),0,IF($S215&lt;2,5,IF(AA215=1,1,IF(G215=MAX($G215:$J215),4,IF(AA215=2,2,3)))))</f>
        <v>3</v>
      </c>
      <c r="AF215" s="82" t="n">
        <f aca="false">IF(NOT(ISNUMBER(H215)),0,IF($S215&lt;2,5,IF(AB215=1,1,IF(H215=MAX($G215:$J215),4,IF(AB215=2,2,3)))))</f>
        <v>2</v>
      </c>
      <c r="AG215" s="82" t="n">
        <f aca="false">IF(NOT(ISNUMBER(I215)),0,IF($S215&lt;2,5,IF(AC215=1,1,IF(I215=MAX($G215:$J215),4,IF(AC215=2,2,3)))))</f>
        <v>1</v>
      </c>
      <c r="AH215" s="82" t="n">
        <f aca="false">IF(NOT(ISNUMBER(J215)),0,IF($S215&lt;2,5,IF(AD215=1,1,IF(J215=MAX($G215:$J215),4,IF(AD215=2,2,3)))))</f>
        <v>4</v>
      </c>
      <c r="AI215" s="83" t="n">
        <f aca="false">IF($S215&gt;=2,IF(ISNUMBER(G215),G215*$F215,MIN($G215:$J215)*$F215),0)</f>
        <v>1697.4</v>
      </c>
      <c r="AJ215" s="83" t="n">
        <f aca="false">IF($S215&gt;=2,IF(ISNUMBER(H215),H215*$F215,MIN($G215:$J215)*$F215),0)</f>
        <v>1677.3</v>
      </c>
      <c r="AK215" s="83" t="n">
        <f aca="false">IF($S215&gt;=2,IF(ISNUMBER(I215),I215*$F215,MIN($G215:$J215)*$F215),0)</f>
        <v>1365.88</v>
      </c>
      <c r="AL215" s="83" t="n">
        <f aca="false">IF($S215&gt;=2,IF(ISNUMBER(J215),J215*$F215,MIN($G215:$J215)*$F215),0)</f>
        <v>1937.3</v>
      </c>
      <c r="AM215" s="84" t="n">
        <f aca="false">IF($S215&gt;=2,$R215+ROW()/1000000,"")</f>
        <v>571.420215</v>
      </c>
      <c r="AN215" s="83" t="n">
        <f aca="false">IF($S215&gt;=2,MAX(G215:J215),"")</f>
        <v>193.73</v>
      </c>
      <c r="AO215" s="82" t="str">
        <f aca="false">IF($S215&gt;=2,INDEX($G$6:$J$6,MATCH(MAX(G215:J215),G215:J215,0)),"")</f>
        <v>Scholzen</v>
      </c>
      <c r="AP215" s="83" t="n">
        <f aca="false">IF($S215&gt;=2,MIN(G215:J215)*$F215,0)</f>
        <v>1365.88</v>
      </c>
      <c r="AQ215" s="82" t="str">
        <f aca="false">IF($S215&gt;=2,INDEX($G$6:$J$6,MATCH(MIN(G215:J215),G215:J215,0)),"")</f>
        <v>Mountainland</v>
      </c>
    </row>
    <row r="216" customFormat="false" ht="15" hidden="false" customHeight="true" outlineLevel="0" collapsed="false">
      <c r="A216" s="70" t="s">
        <v>586</v>
      </c>
      <c r="B216" s="71" t="s">
        <v>579</v>
      </c>
      <c r="C216" s="72" t="s">
        <v>308</v>
      </c>
      <c r="D216" s="73" t="s">
        <v>313</v>
      </c>
      <c r="E216" s="74" t="s">
        <v>310</v>
      </c>
      <c r="F216" s="75" t="n">
        <v>8</v>
      </c>
      <c r="G216" s="76" t="n">
        <f aca="false">IF(COUNTIF('Quote Lines'!$P$3:$P$805,$A216&amp;"|"&amp;G$6&amp;"|1")=0,"—",SUMIFS('Quote Lines'!$O$3:$O$805,'Quote Lines'!$P$3:$P$805,$A216&amp;"|"&amp;G$6&amp;"|1")/SUMIFS('Quote Lines'!$L$3:$L$805,'Quote Lines'!$P$3:$P$805,$A216&amp;"|"&amp;G$6&amp;"|1")+IFERROR(SUMIFS('Quote Lines'!$O$3:$O$805,'Quote Lines'!$P$3:$P$805,$A216&amp;"|"&amp;G$6&amp;"|2")/SUMIFS('Quote Lines'!$L$3:$L$805,'Quote Lines'!$P$3:$P$805,$A216&amp;"|"&amp;G$6&amp;"|2"),0))</f>
        <v>71.29</v>
      </c>
      <c r="H216" s="76" t="n">
        <f aca="false">IF(COUNTIF('Quote Lines'!$P$3:$P$805,$A216&amp;"|"&amp;H$6&amp;"|1")=0,"—",SUMIFS('Quote Lines'!$O$3:$O$805,'Quote Lines'!$P$3:$P$805,$A216&amp;"|"&amp;H$6&amp;"|1")/SUMIFS('Quote Lines'!$L$3:$L$805,'Quote Lines'!$P$3:$P$805,$A216&amp;"|"&amp;H$6&amp;"|1")+IFERROR(SUMIFS('Quote Lines'!$O$3:$O$805,'Quote Lines'!$P$3:$P$805,$A216&amp;"|"&amp;H$6&amp;"|2")/SUMIFS('Quote Lines'!$L$3:$L$805,'Quote Lines'!$P$3:$P$805,$A216&amp;"|"&amp;H$6&amp;"|2"),0))</f>
        <v>59.98</v>
      </c>
      <c r="I216" s="76" t="n">
        <f aca="false">IF(COUNTIF('Quote Lines'!$P$3:$P$805,$A216&amp;"|"&amp;I$6&amp;"|1")=0,"—",SUMIFS('Quote Lines'!$O$3:$O$805,'Quote Lines'!$P$3:$P$805,$A216&amp;"|"&amp;I$6&amp;"|1")/SUMIFS('Quote Lines'!$L$3:$L$805,'Quote Lines'!$P$3:$P$805,$A216&amp;"|"&amp;I$6&amp;"|1"))</f>
        <v>35.06</v>
      </c>
      <c r="J216" s="76" t="n">
        <f aca="false">IF(COUNTIF('Quote Lines'!$P$3:$P$805,$A216&amp;"|"&amp;J$6&amp;"|1")=0,"—",SUMIFS('Quote Lines'!$O$3:$O$805,'Quote Lines'!$P$3:$P$805,$A216&amp;"|"&amp;J$6&amp;"|1")/SUMIFS('Quote Lines'!$L$3:$L$805,'Quote Lines'!$P$3:$P$805,$A216&amp;"|"&amp;J$6&amp;"|1"))</f>
        <v>58.13</v>
      </c>
      <c r="K216" s="14" t="n">
        <f aca="false">IF(ISNUMBER(G216),G216*$F216,"—")</f>
        <v>570.32</v>
      </c>
      <c r="L216" s="14" t="n">
        <f aca="false">IF(ISNUMBER(H216),H216*$F216,"—")</f>
        <v>479.84</v>
      </c>
      <c r="M216" s="14" t="n">
        <f aca="false">IF(ISNUMBER(I216),I216*$F216,"—")</f>
        <v>280.48</v>
      </c>
      <c r="N216" s="14" t="n">
        <f aca="false">IF(ISNUMBER(J216),J216*$F216,"—")</f>
        <v>465.04</v>
      </c>
      <c r="O216" s="77" t="n">
        <f aca="false">IF($S216=0,"—",MIN(G216:J216))</f>
        <v>35.06</v>
      </c>
      <c r="P216" s="42" t="str">
        <f aca="false">IF($S216=0,"—",IF(COUNTIF(G216:J216,O216)&gt;1,"Tie",INDEX($G$6:$J$6,MATCH(O216,G216:J216,0))))</f>
        <v>Mountainland</v>
      </c>
      <c r="Q216" s="48" t="n">
        <f aca="false">IF($S216&gt;=2,MAX(G216:J216)/MIN(G216:J216)-1,"—")</f>
        <v>1.03337136337707</v>
      </c>
      <c r="R216" s="78" t="n">
        <f aca="false">IF($S216&gt;=2,(MAX(G216:J216)-MIN(G216:J216))*$F216,"—")</f>
        <v>289.84</v>
      </c>
      <c r="S216" s="18" t="n">
        <f aca="false">COUNT(G216:J216)</f>
        <v>4</v>
      </c>
      <c r="T216" s="79" t="str">
        <f aca="false">IF($S216&lt;=1,IF($S216=1,"Single quote","—"),"Alt spec – verify")</f>
        <v>Alt spec – verify</v>
      </c>
      <c r="U216" s="79" t="str">
        <f aca="false">IF(COUNT(W216:Z216)&lt;2,"",IF(MAX(W216:Z216)=MIN(W216:Z216),"OK","Qty differs"))</f>
        <v>Qty differs</v>
      </c>
      <c r="V216" s="80" t="s">
        <v>587</v>
      </c>
      <c r="W216" s="81" t="n">
        <f aca="false">IF(COUNTIFS('Quote Lines'!$P$3:$P$805,$A216&amp;"|"&amp;G$6&amp;"|1",'Quote Lines'!$M$3:$M$805,"Y")=0,"",SUMIFS('Quote Lines'!$L$3:$L$805,'Quote Lines'!$P$3:$P$805,$A216&amp;"|"&amp;G$6&amp;"|1",'Quote Lines'!$M$3:$M$805,"Y"))</f>
        <v>8</v>
      </c>
      <c r="X216" s="81" t="n">
        <f aca="false">IF(COUNTIFS('Quote Lines'!$P$3:$P$805,$A216&amp;"|"&amp;H$6&amp;"|1",'Quote Lines'!$M$3:$M$805,"Y")=0,"",SUMIFS('Quote Lines'!$L$3:$L$805,'Quote Lines'!$P$3:$P$805,$A216&amp;"|"&amp;H$6&amp;"|1",'Quote Lines'!$M$3:$M$805,"Y"))</f>
        <v>7</v>
      </c>
      <c r="Y216" s="81" t="n">
        <f aca="false">IF(COUNTIFS('Quote Lines'!$P$3:$P$805,$A216&amp;"|"&amp;I$6&amp;"|1",'Quote Lines'!$M$3:$M$805,"Y")=0,"",SUMIFS('Quote Lines'!$L$3:$L$805,'Quote Lines'!$P$3:$P$805,$A216&amp;"|"&amp;I$6&amp;"|1",'Quote Lines'!$M$3:$M$805,"Y"))</f>
        <v>8</v>
      </c>
      <c r="Z216" s="81" t="n">
        <f aca="false">IF(COUNTIFS('Quote Lines'!$P$3:$P$805,$A216&amp;"|"&amp;J$6&amp;"|1",'Quote Lines'!$M$3:$M$805,"Y")=0,"",SUMIFS('Quote Lines'!$L$3:$L$805,'Quote Lines'!$P$3:$P$805,$A216&amp;"|"&amp;J$6&amp;"|1",'Quote Lines'!$M$3:$M$805,"Y"))</f>
        <v>22</v>
      </c>
      <c r="AA216" s="82" t="n">
        <f aca="false">IF(ISNUMBER(G216),1+SUMPRODUCT(ISNUMBER($G216:$J216)*($G216:$J216&lt;G216)),"")</f>
        <v>4</v>
      </c>
      <c r="AB216" s="82" t="n">
        <f aca="false">IF(ISNUMBER(H216),1+SUMPRODUCT(ISNUMBER($G216:$J216)*($G216:$J216&lt;H216)),"")</f>
        <v>3</v>
      </c>
      <c r="AC216" s="82" t="n">
        <f aca="false">IF(ISNUMBER(I216),1+SUMPRODUCT(ISNUMBER($G216:$J216)*($G216:$J216&lt;I216)),"")</f>
        <v>1</v>
      </c>
      <c r="AD216" s="82" t="n">
        <f aca="false">IF(ISNUMBER(J216),1+SUMPRODUCT(ISNUMBER($G216:$J216)*($G216:$J216&lt;J216)),"")</f>
        <v>2</v>
      </c>
      <c r="AE216" s="82" t="n">
        <f aca="false">IF(NOT(ISNUMBER(G216)),0,IF($S216&lt;2,5,IF(AA216=1,1,IF(G216=MAX($G216:$J216),4,IF(AA216=2,2,3)))))</f>
        <v>4</v>
      </c>
      <c r="AF216" s="82" t="n">
        <f aca="false">IF(NOT(ISNUMBER(H216)),0,IF($S216&lt;2,5,IF(AB216=1,1,IF(H216=MAX($G216:$J216),4,IF(AB216=2,2,3)))))</f>
        <v>3</v>
      </c>
      <c r="AG216" s="82" t="n">
        <f aca="false">IF(NOT(ISNUMBER(I216)),0,IF($S216&lt;2,5,IF(AC216=1,1,IF(I216=MAX($G216:$J216),4,IF(AC216=2,2,3)))))</f>
        <v>1</v>
      </c>
      <c r="AH216" s="82" t="n">
        <f aca="false">IF(NOT(ISNUMBER(J216)),0,IF($S216&lt;2,5,IF(AD216=1,1,IF(J216=MAX($G216:$J216),4,IF(AD216=2,2,3)))))</f>
        <v>2</v>
      </c>
      <c r="AI216" s="83" t="n">
        <f aca="false">IF($S216&gt;=2,IF(ISNUMBER(G216),G216*$F216,MIN($G216:$J216)*$F216),0)</f>
        <v>570.32</v>
      </c>
      <c r="AJ216" s="83" t="n">
        <f aca="false">IF($S216&gt;=2,IF(ISNUMBER(H216),H216*$F216,MIN($G216:$J216)*$F216),0)</f>
        <v>479.84</v>
      </c>
      <c r="AK216" s="83" t="n">
        <f aca="false">IF($S216&gt;=2,IF(ISNUMBER(I216),I216*$F216,MIN($G216:$J216)*$F216),0)</f>
        <v>280.48</v>
      </c>
      <c r="AL216" s="83" t="n">
        <f aca="false">IF($S216&gt;=2,IF(ISNUMBER(J216),J216*$F216,MIN($G216:$J216)*$F216),0)</f>
        <v>465.04</v>
      </c>
      <c r="AM216" s="84" t="n">
        <f aca="false">IF($S216&gt;=2,$R216+ROW()/1000000,"")</f>
        <v>289.840216</v>
      </c>
      <c r="AN216" s="83" t="n">
        <f aca="false">IF($S216&gt;=2,MAX(G216:J216),"")</f>
        <v>71.29</v>
      </c>
      <c r="AO216" s="82" t="str">
        <f aca="false">IF($S216&gt;=2,INDEX($G$6:$J$6,MATCH(MAX(G216:J216),G216:J216,0)),"")</f>
        <v>Ferguson</v>
      </c>
      <c r="AP216" s="83" t="n">
        <f aca="false">IF($S216&gt;=2,MIN(G216:J216)*$F216,0)</f>
        <v>280.48</v>
      </c>
      <c r="AQ216" s="82" t="str">
        <f aca="false">IF($S216&gt;=2,INDEX($G$6:$J$6,MATCH(MIN(G216:J216),G216:J216,0)),"")</f>
        <v>Mountainland</v>
      </c>
    </row>
    <row r="217" customFormat="false" ht="15" hidden="false" customHeight="true" outlineLevel="0" collapsed="false">
      <c r="A217" s="70" t="s">
        <v>588</v>
      </c>
      <c r="B217" s="71" t="s">
        <v>579</v>
      </c>
      <c r="C217" s="72" t="s">
        <v>308</v>
      </c>
      <c r="D217" s="73" t="s">
        <v>519</v>
      </c>
      <c r="E217" s="74" t="s">
        <v>310</v>
      </c>
      <c r="F217" s="75" t="n">
        <v>12</v>
      </c>
      <c r="G217" s="85" t="s">
        <v>138</v>
      </c>
      <c r="H217" s="85" t="s">
        <v>138</v>
      </c>
      <c r="I217" s="85" t="s">
        <v>138</v>
      </c>
      <c r="J217" s="76" t="n">
        <f aca="false">IF(COUNTIF('Quote Lines'!$P$3:$P$805,$A217&amp;"|"&amp;J$6&amp;"|1")=0,"—",SUMIFS('Quote Lines'!$O$3:$O$805,'Quote Lines'!$P$3:$P$805,$A217&amp;"|"&amp;J$6&amp;"|1")/SUMIFS('Quote Lines'!$L$3:$L$805,'Quote Lines'!$P$3:$P$805,$A217&amp;"|"&amp;J$6&amp;"|1"))</f>
        <v>32.68</v>
      </c>
      <c r="K217" s="14" t="str">
        <f aca="false">IF(ISNUMBER(G217),G217*$F217,"—")</f>
        <v>—</v>
      </c>
      <c r="L217" s="14" t="str">
        <f aca="false">IF(ISNUMBER(H217),H217*$F217,"—")</f>
        <v>—</v>
      </c>
      <c r="M217" s="14" t="str">
        <f aca="false">IF(ISNUMBER(I217),I217*$F217,"—")</f>
        <v>—</v>
      </c>
      <c r="N217" s="14" t="n">
        <f aca="false">IF(ISNUMBER(J217),J217*$F217,"—")</f>
        <v>392.16</v>
      </c>
      <c r="O217" s="77" t="n">
        <f aca="false">IF($S217=0,"—",MIN(G217:J217))</f>
        <v>32.68</v>
      </c>
      <c r="P217" s="42" t="str">
        <f aca="false">IF($S217=0,"—",IF(COUNTIF(G217:J217,O217)&gt;1,"Tie",INDEX($G$6:$J$6,MATCH(O217,G217:J217,0))))</f>
        <v>Scholzen</v>
      </c>
      <c r="Q217" s="48" t="str">
        <f aca="false">IF($S217&gt;=2,MAX(G217:J217)/MIN(G217:J217)-1,"—")</f>
        <v>—</v>
      </c>
      <c r="R217" s="78" t="str">
        <f aca="false">IF($S217&gt;=2,(MAX(G217:J217)-MIN(G217:J217))*$F217,"—")</f>
        <v>—</v>
      </c>
      <c r="S217" s="18" t="n">
        <f aca="false">COUNT(G217:J217)</f>
        <v>1</v>
      </c>
      <c r="T217" s="79" t="str">
        <f aca="false">IF($S217&lt;=1,IF($S217=1,"Single quote","—"),"Like-for-like")</f>
        <v>Single quote</v>
      </c>
      <c r="U217" s="79" t="str">
        <f aca="false">IF(COUNT(W217:Z217)&lt;2,"",IF(MAX(W217:Z217)=MIN(W217:Z217),"OK","Qty differs"))</f>
        <v/>
      </c>
      <c r="V217" s="80"/>
      <c r="W217" s="81"/>
      <c r="X217" s="81"/>
      <c r="Y217" s="81"/>
      <c r="Z217" s="81" t="n">
        <f aca="false">IF(COUNTIFS('Quote Lines'!$P$3:$P$805,$A217&amp;"|"&amp;J$6&amp;"|1",'Quote Lines'!$M$3:$M$805,"Y")=0,"",SUMIFS('Quote Lines'!$L$3:$L$805,'Quote Lines'!$P$3:$P$805,$A217&amp;"|"&amp;J$6&amp;"|1",'Quote Lines'!$M$3:$M$805,"Y"))</f>
        <v>12</v>
      </c>
      <c r="AA217" s="82" t="str">
        <f aca="false">IF(ISNUMBER(G217),1+SUMPRODUCT(ISNUMBER($G217:$J217)*($G217:$J217&lt;G217)),"")</f>
        <v/>
      </c>
      <c r="AB217" s="82" t="str">
        <f aca="false">IF(ISNUMBER(H217),1+SUMPRODUCT(ISNUMBER($G217:$J217)*($G217:$J217&lt;H217)),"")</f>
        <v/>
      </c>
      <c r="AC217" s="82" t="str">
        <f aca="false">IF(ISNUMBER(I217),1+SUMPRODUCT(ISNUMBER($G217:$J217)*($G217:$J217&lt;I217)),"")</f>
        <v/>
      </c>
      <c r="AD217" s="82" t="n">
        <f aca="false">IF(ISNUMBER(J217),1+SUMPRODUCT(ISNUMBER($G217:$J217)*($G217:$J217&lt;J217)),"")</f>
        <v>1</v>
      </c>
      <c r="AE217" s="82" t="n">
        <f aca="false">IF(NOT(ISNUMBER(G217)),0,IF($S217&lt;2,5,IF(AA217=1,1,IF(G217=MAX($G217:$J217),4,IF(AA217=2,2,3)))))</f>
        <v>0</v>
      </c>
      <c r="AF217" s="82" t="n">
        <f aca="false">IF(NOT(ISNUMBER(H217)),0,IF($S217&lt;2,5,IF(AB217=1,1,IF(H217=MAX($G217:$J217),4,IF(AB217=2,2,3)))))</f>
        <v>0</v>
      </c>
      <c r="AG217" s="82" t="n">
        <f aca="false">IF(NOT(ISNUMBER(I217)),0,IF($S217&lt;2,5,IF(AC217=1,1,IF(I217=MAX($G217:$J217),4,IF(AC217=2,2,3)))))</f>
        <v>0</v>
      </c>
      <c r="AH217" s="82" t="n">
        <f aca="false">IF(NOT(ISNUMBER(J217)),0,IF($S217&lt;2,5,IF(AD217=1,1,IF(J217=MAX($G217:$J217),4,IF(AD217=2,2,3)))))</f>
        <v>5</v>
      </c>
      <c r="AI217" s="83" t="n">
        <f aca="false">IF($S217&gt;=2,IF(ISNUMBER(G217),G217*$F217,MIN($G217:$J217)*$F217),0)</f>
        <v>0</v>
      </c>
      <c r="AJ217" s="83" t="n">
        <f aca="false">IF($S217&gt;=2,IF(ISNUMBER(H217),H217*$F217,MIN($G217:$J217)*$F217),0)</f>
        <v>0</v>
      </c>
      <c r="AK217" s="83" t="n">
        <f aca="false">IF($S217&gt;=2,IF(ISNUMBER(I217),I217*$F217,MIN($G217:$J217)*$F217),0)</f>
        <v>0</v>
      </c>
      <c r="AL217" s="83" t="n">
        <f aca="false">IF($S217&gt;=2,IF(ISNUMBER(J217),J217*$F217,MIN($G217:$J217)*$F217),0)</f>
        <v>0</v>
      </c>
      <c r="AM217" s="84" t="str">
        <f aca="false">IF($S217&gt;=2,$R217+ROW()/1000000,"")</f>
        <v/>
      </c>
      <c r="AN217" s="83" t="str">
        <f aca="false">IF($S217&gt;=2,MAX(G217:J217),"")</f>
        <v/>
      </c>
      <c r="AO217" s="82" t="str">
        <f aca="false">IF($S217&gt;=2,INDEX($G$6:$J$6,MATCH(MAX(G217:J217),G217:J217,0)),"")</f>
        <v/>
      </c>
      <c r="AP217" s="83" t="n">
        <f aca="false">IF($S217&gt;=2,MIN(G217:J217)*$F217,0)</f>
        <v>0</v>
      </c>
      <c r="AQ217" s="82" t="str">
        <f aca="false">IF($S217&gt;=2,INDEX($G$6:$J$6,MATCH(MIN(G217:J217),G217:J217,0)),"")</f>
        <v/>
      </c>
    </row>
    <row r="218" customFormat="false" ht="19.5" hidden="false" customHeight="true" outlineLevel="0" collapsed="false">
      <c r="A218" s="69"/>
      <c r="B218" s="9" t="s">
        <v>589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 customFormat="false" ht="15" hidden="false" customHeight="true" outlineLevel="0" collapsed="false">
      <c r="A219" s="70" t="s">
        <v>590</v>
      </c>
      <c r="B219" s="71" t="s">
        <v>591</v>
      </c>
      <c r="C219" s="72" t="s">
        <v>131</v>
      </c>
      <c r="D219" s="73" t="s">
        <v>592</v>
      </c>
      <c r="E219" s="74" t="s">
        <v>133</v>
      </c>
      <c r="F219" s="75" t="n">
        <v>2</v>
      </c>
      <c r="G219" s="76" t="n">
        <f aca="false">IF(COUNTIF('Quote Lines'!$P$3:$P$805,$A219&amp;"|"&amp;G$6&amp;"|1")=0,"—",SUMIFS('Quote Lines'!$O$3:$O$805,'Quote Lines'!$P$3:$P$805,$A219&amp;"|"&amp;G$6&amp;"|1")/SUMIFS('Quote Lines'!$L$3:$L$805,'Quote Lines'!$P$3:$P$805,$A219&amp;"|"&amp;G$6&amp;"|1"))</f>
        <v>2104.64</v>
      </c>
      <c r="H219" s="76" t="n">
        <f aca="false">IF(COUNTIF('Quote Lines'!$P$3:$P$805,$A219&amp;"|"&amp;H$6&amp;"|1")=0,"—",SUMIFS('Quote Lines'!$O$3:$O$805,'Quote Lines'!$P$3:$P$805,$A219&amp;"|"&amp;H$6&amp;"|1")/SUMIFS('Quote Lines'!$L$3:$L$805,'Quote Lines'!$P$3:$P$805,$A219&amp;"|"&amp;H$6&amp;"|1"))</f>
        <v>2198.98</v>
      </c>
      <c r="I219" s="76" t="n">
        <f aca="false">IF(COUNTIF('Quote Lines'!$P$3:$P$805,$A219&amp;"|"&amp;I$6&amp;"|1")=0,"—",SUMIFS('Quote Lines'!$O$3:$O$805,'Quote Lines'!$P$3:$P$805,$A219&amp;"|"&amp;I$6&amp;"|1")/SUMIFS('Quote Lines'!$L$3:$L$805,'Quote Lines'!$P$3:$P$805,$A219&amp;"|"&amp;I$6&amp;"|1"))</f>
        <v>2387.56</v>
      </c>
      <c r="J219" s="76" t="n">
        <f aca="false">IF(COUNTIF('Quote Lines'!$P$3:$P$805,$A219&amp;"|"&amp;J$6&amp;"|1")=0,"—",SUMIFS('Quote Lines'!$O$3:$O$805,'Quote Lines'!$P$3:$P$805,$A219&amp;"|"&amp;J$6&amp;"|1")/SUMIFS('Quote Lines'!$L$3:$L$805,'Quote Lines'!$P$3:$P$805,$A219&amp;"|"&amp;J$6&amp;"|1"))</f>
        <v>2342.83</v>
      </c>
      <c r="K219" s="14" t="n">
        <f aca="false">IF(ISNUMBER(G219),G219*$F219,"—")</f>
        <v>4209.28</v>
      </c>
      <c r="L219" s="14" t="n">
        <f aca="false">IF(ISNUMBER(H219),H219*$F219,"—")</f>
        <v>4397.96</v>
      </c>
      <c r="M219" s="14" t="n">
        <f aca="false">IF(ISNUMBER(I219),I219*$F219,"—")</f>
        <v>4775.12</v>
      </c>
      <c r="N219" s="14" t="n">
        <f aca="false">IF(ISNUMBER(J219),J219*$F219,"—")</f>
        <v>4685.66</v>
      </c>
      <c r="O219" s="77" t="n">
        <f aca="false">IF($S219=0,"—",MIN(G219:J219))</f>
        <v>2104.64</v>
      </c>
      <c r="P219" s="42" t="str">
        <f aca="false">IF($S219=0,"—",IF(COUNTIF(G219:J219,O219)&gt;1,"Tie",INDEX($G$6:$J$6,MATCH(O219,G219:J219,0))))</f>
        <v>Ferguson</v>
      </c>
      <c r="Q219" s="48" t="n">
        <f aca="false">IF($S219&gt;=2,MAX(G219:J219)/MIN(G219:J219)-1,"—")</f>
        <v>0.134426790329938</v>
      </c>
      <c r="R219" s="78" t="n">
        <f aca="false">IF($S219&gt;=2,(MAX(G219:J219)-MIN(G219:J219))*$F219,"—")</f>
        <v>565.84</v>
      </c>
      <c r="S219" s="18" t="n">
        <f aca="false">COUNT(G219:J219)</f>
        <v>4</v>
      </c>
      <c r="T219" s="79" t="str">
        <f aca="false">IF($S219&lt;=1,IF($S219=1,"Single quote","—"),"Like-for-like")</f>
        <v>Like-for-like</v>
      </c>
      <c r="U219" s="79" t="str">
        <f aca="false">IF(COUNT(W219:Z219)&lt;2,"",IF(MAX(W219:Z219)=MIN(W219:Z219),"OK","Qty differs"))</f>
        <v>Qty differs</v>
      </c>
      <c r="V219" s="80"/>
      <c r="W219" s="81" t="n">
        <f aca="false">IF(COUNTIFS('Quote Lines'!$P$3:$P$805,$A219&amp;"|"&amp;G$6&amp;"|1",'Quote Lines'!$M$3:$M$805,"Y")=0,"",SUMIFS('Quote Lines'!$L$3:$L$805,'Quote Lines'!$P$3:$P$805,$A219&amp;"|"&amp;G$6&amp;"|1",'Quote Lines'!$M$3:$M$805,"Y"))</f>
        <v>2</v>
      </c>
      <c r="X219" s="81" t="n">
        <f aca="false">IF(COUNTIFS('Quote Lines'!$P$3:$P$805,$A219&amp;"|"&amp;H$6&amp;"|1",'Quote Lines'!$M$3:$M$805,"Y")=0,"",SUMIFS('Quote Lines'!$L$3:$L$805,'Quote Lines'!$P$3:$P$805,$A219&amp;"|"&amp;H$6&amp;"|1",'Quote Lines'!$M$3:$M$805,"Y"))</f>
        <v>1</v>
      </c>
      <c r="Y219" s="81" t="n">
        <f aca="false">IF(COUNTIFS('Quote Lines'!$P$3:$P$805,$A219&amp;"|"&amp;I$6&amp;"|1",'Quote Lines'!$M$3:$M$805,"Y")=0,"",SUMIFS('Quote Lines'!$L$3:$L$805,'Quote Lines'!$P$3:$P$805,$A219&amp;"|"&amp;I$6&amp;"|1",'Quote Lines'!$M$3:$M$805,"Y"))</f>
        <v>2</v>
      </c>
      <c r="Z219" s="81" t="n">
        <f aca="false">IF(COUNTIFS('Quote Lines'!$P$3:$P$805,$A219&amp;"|"&amp;J$6&amp;"|1",'Quote Lines'!$M$3:$M$805,"Y")=0,"",SUMIFS('Quote Lines'!$L$3:$L$805,'Quote Lines'!$P$3:$P$805,$A219&amp;"|"&amp;J$6&amp;"|1",'Quote Lines'!$M$3:$M$805,"Y"))</f>
        <v>1</v>
      </c>
      <c r="AA219" s="82" t="n">
        <f aca="false">IF(ISNUMBER(G219),1+SUMPRODUCT(ISNUMBER($G219:$J219)*($G219:$J219&lt;G219)),"")</f>
        <v>1</v>
      </c>
      <c r="AB219" s="82" t="n">
        <f aca="false">IF(ISNUMBER(H219),1+SUMPRODUCT(ISNUMBER($G219:$J219)*($G219:$J219&lt;H219)),"")</f>
        <v>2</v>
      </c>
      <c r="AC219" s="82" t="n">
        <f aca="false">IF(ISNUMBER(I219),1+SUMPRODUCT(ISNUMBER($G219:$J219)*($G219:$J219&lt;I219)),"")</f>
        <v>4</v>
      </c>
      <c r="AD219" s="82" t="n">
        <f aca="false">IF(ISNUMBER(J219),1+SUMPRODUCT(ISNUMBER($G219:$J219)*($G219:$J219&lt;J219)),"")</f>
        <v>3</v>
      </c>
      <c r="AE219" s="82" t="n">
        <f aca="false">IF(NOT(ISNUMBER(G219)),0,IF($S219&lt;2,5,IF(AA219=1,1,IF(G219=MAX($G219:$J219),4,IF(AA219=2,2,3)))))</f>
        <v>1</v>
      </c>
      <c r="AF219" s="82" t="n">
        <f aca="false">IF(NOT(ISNUMBER(H219)),0,IF($S219&lt;2,5,IF(AB219=1,1,IF(H219=MAX($G219:$J219),4,IF(AB219=2,2,3)))))</f>
        <v>2</v>
      </c>
      <c r="AG219" s="82" t="n">
        <f aca="false">IF(NOT(ISNUMBER(I219)),0,IF($S219&lt;2,5,IF(AC219=1,1,IF(I219=MAX($G219:$J219),4,IF(AC219=2,2,3)))))</f>
        <v>4</v>
      </c>
      <c r="AH219" s="82" t="n">
        <f aca="false">IF(NOT(ISNUMBER(J219)),0,IF($S219&lt;2,5,IF(AD219=1,1,IF(J219=MAX($G219:$J219),4,IF(AD219=2,2,3)))))</f>
        <v>3</v>
      </c>
      <c r="AI219" s="83" t="n">
        <f aca="false">IF($S219&gt;=2,IF(ISNUMBER(G219),G219*$F219,MIN($G219:$J219)*$F219),0)</f>
        <v>4209.28</v>
      </c>
      <c r="AJ219" s="83" t="n">
        <f aca="false">IF($S219&gt;=2,IF(ISNUMBER(H219),H219*$F219,MIN($G219:$J219)*$F219),0)</f>
        <v>4397.96</v>
      </c>
      <c r="AK219" s="83" t="n">
        <f aca="false">IF($S219&gt;=2,IF(ISNUMBER(I219),I219*$F219,MIN($G219:$J219)*$F219),0)</f>
        <v>4775.12</v>
      </c>
      <c r="AL219" s="83" t="n">
        <f aca="false">IF($S219&gt;=2,IF(ISNUMBER(J219),J219*$F219,MIN($G219:$J219)*$F219),0)</f>
        <v>4685.66</v>
      </c>
      <c r="AM219" s="84" t="n">
        <f aca="false">IF($S219&gt;=2,$R219+ROW()/1000000,"")</f>
        <v>565.840219</v>
      </c>
      <c r="AN219" s="83" t="n">
        <f aca="false">IF($S219&gt;=2,MAX(G219:J219),"")</f>
        <v>2387.56</v>
      </c>
      <c r="AO219" s="82" t="str">
        <f aca="false">IF($S219&gt;=2,INDEX($G$6:$J$6,MATCH(MAX(G219:J219),G219:J219,0)),"")</f>
        <v>Mountainland</v>
      </c>
      <c r="AP219" s="83" t="n">
        <f aca="false">IF($S219&gt;=2,MIN(G219:J219)*$F219,0)</f>
        <v>4209.28</v>
      </c>
      <c r="AQ219" s="82" t="str">
        <f aca="false">IF($S219&gt;=2,INDEX($G$6:$J$6,MATCH(MIN(G219:J219),G219:J219,0)),"")</f>
        <v>Ferguson</v>
      </c>
    </row>
    <row r="220" customFormat="false" ht="15" hidden="false" customHeight="true" outlineLevel="0" collapsed="false">
      <c r="A220" s="70" t="s">
        <v>593</v>
      </c>
      <c r="B220" s="71" t="s">
        <v>591</v>
      </c>
      <c r="C220" s="72" t="s">
        <v>131</v>
      </c>
      <c r="D220" s="73" t="s">
        <v>594</v>
      </c>
      <c r="E220" s="74" t="s">
        <v>133</v>
      </c>
      <c r="F220" s="75" t="n">
        <v>1</v>
      </c>
      <c r="G220" s="85" t="s">
        <v>138</v>
      </c>
      <c r="H220" s="76" t="n">
        <f aca="false">IF(COUNTIF('Quote Lines'!$P$3:$P$805,$A220&amp;"|"&amp;H$6&amp;"|1")=0,"—",SUMIFS('Quote Lines'!$O$3:$O$805,'Quote Lines'!$P$3:$P$805,$A220&amp;"|"&amp;H$6&amp;"|1")/SUMIFS('Quote Lines'!$L$3:$L$805,'Quote Lines'!$P$3:$P$805,$A220&amp;"|"&amp;H$6&amp;"|1"))</f>
        <v>1144.3</v>
      </c>
      <c r="I220" s="85" t="s">
        <v>138</v>
      </c>
      <c r="J220" s="76" t="n">
        <f aca="false">IF(COUNTIF('Quote Lines'!$P$3:$P$805,$A220&amp;"|"&amp;J$6&amp;"|1")=0,"—",SUMIFS('Quote Lines'!$O$3:$O$805,'Quote Lines'!$P$3:$P$805,$A220&amp;"|"&amp;J$6&amp;"|1")/SUMIFS('Quote Lines'!$L$3:$L$805,'Quote Lines'!$P$3:$P$805,$A220&amp;"|"&amp;J$6&amp;"|1"))</f>
        <v>1219.16</v>
      </c>
      <c r="K220" s="14" t="str">
        <f aca="false">IF(ISNUMBER(G220),G220*$F220,"—")</f>
        <v>—</v>
      </c>
      <c r="L220" s="14" t="n">
        <f aca="false">IF(ISNUMBER(H220),H220*$F220,"—")</f>
        <v>1144.3</v>
      </c>
      <c r="M220" s="14" t="str">
        <f aca="false">IF(ISNUMBER(I220),I220*$F220,"—")</f>
        <v>—</v>
      </c>
      <c r="N220" s="14" t="n">
        <f aca="false">IF(ISNUMBER(J220),J220*$F220,"—")</f>
        <v>1219.16</v>
      </c>
      <c r="O220" s="77" t="n">
        <f aca="false">IF($S220=0,"—",MIN(G220:J220))</f>
        <v>1144.3</v>
      </c>
      <c r="P220" s="42" t="str">
        <f aca="false">IF($S220=0,"—",IF(COUNTIF(G220:J220,O220)&gt;1,"Tie",INDEX($G$6:$J$6,MATCH(O220,G220:J220,0))))</f>
        <v>HD Fowler</v>
      </c>
      <c r="Q220" s="48" t="n">
        <f aca="false">IF($S220&gt;=2,MAX(G220:J220)/MIN(G220:J220)-1,"—")</f>
        <v>0.0654199073669493</v>
      </c>
      <c r="R220" s="78" t="n">
        <f aca="false">IF($S220&gt;=2,(MAX(G220:J220)-MIN(G220:J220))*$F220,"—")</f>
        <v>74.8600000000001</v>
      </c>
      <c r="S220" s="18" t="n">
        <f aca="false">COUNT(G220:J220)</f>
        <v>2</v>
      </c>
      <c r="T220" s="79" t="str">
        <f aca="false">IF($S220&lt;=1,IF($S220=1,"Single quote","—"),"Like-for-like")</f>
        <v>Like-for-like</v>
      </c>
      <c r="U220" s="79" t="str">
        <f aca="false">IF(COUNT(W220:Z220)&lt;2,"",IF(MAX(W220:Z220)=MIN(W220:Z220),"OK","Qty differs"))</f>
        <v>OK</v>
      </c>
      <c r="V220" s="80"/>
      <c r="W220" s="81"/>
      <c r="X220" s="81" t="n">
        <f aca="false">IF(COUNTIFS('Quote Lines'!$P$3:$P$805,$A220&amp;"|"&amp;H$6&amp;"|1",'Quote Lines'!$M$3:$M$805,"Y")=0,"",SUMIFS('Quote Lines'!$L$3:$L$805,'Quote Lines'!$P$3:$P$805,$A220&amp;"|"&amp;H$6&amp;"|1",'Quote Lines'!$M$3:$M$805,"Y"))</f>
        <v>1</v>
      </c>
      <c r="Y220" s="81"/>
      <c r="Z220" s="81" t="n">
        <f aca="false">IF(COUNTIFS('Quote Lines'!$P$3:$P$805,$A220&amp;"|"&amp;J$6&amp;"|1",'Quote Lines'!$M$3:$M$805,"Y")=0,"",SUMIFS('Quote Lines'!$L$3:$L$805,'Quote Lines'!$P$3:$P$805,$A220&amp;"|"&amp;J$6&amp;"|1",'Quote Lines'!$M$3:$M$805,"Y"))</f>
        <v>1</v>
      </c>
      <c r="AA220" s="82" t="str">
        <f aca="false">IF(ISNUMBER(G220),1+SUMPRODUCT(ISNUMBER($G220:$J220)*($G220:$J220&lt;G220)),"")</f>
        <v/>
      </c>
      <c r="AB220" s="82" t="n">
        <f aca="false">IF(ISNUMBER(H220),1+SUMPRODUCT(ISNUMBER($G220:$J220)*($G220:$J220&lt;H220)),"")</f>
        <v>1</v>
      </c>
      <c r="AC220" s="82" t="str">
        <f aca="false">IF(ISNUMBER(I220),1+SUMPRODUCT(ISNUMBER($G220:$J220)*($G220:$J220&lt;I220)),"")</f>
        <v/>
      </c>
      <c r="AD220" s="82" t="n">
        <f aca="false">IF(ISNUMBER(J220),1+SUMPRODUCT(ISNUMBER($G220:$J220)*($G220:$J220&lt;J220)),"")</f>
        <v>2</v>
      </c>
      <c r="AE220" s="82" t="n">
        <f aca="false">IF(NOT(ISNUMBER(G220)),0,IF($S220&lt;2,5,IF(AA220=1,1,IF(G220=MAX($G220:$J220),4,IF(AA220=2,2,3)))))</f>
        <v>0</v>
      </c>
      <c r="AF220" s="82" t="n">
        <f aca="false">IF(NOT(ISNUMBER(H220)),0,IF($S220&lt;2,5,IF(AB220=1,1,IF(H220=MAX($G220:$J220),4,IF(AB220=2,2,3)))))</f>
        <v>1</v>
      </c>
      <c r="AG220" s="82" t="n">
        <f aca="false">IF(NOT(ISNUMBER(I220)),0,IF($S220&lt;2,5,IF(AC220=1,1,IF(I220=MAX($G220:$J220),4,IF(AC220=2,2,3)))))</f>
        <v>0</v>
      </c>
      <c r="AH220" s="82" t="n">
        <f aca="false">IF(NOT(ISNUMBER(J220)),0,IF($S220&lt;2,5,IF(AD220=1,1,IF(J220=MAX($G220:$J220),4,IF(AD220=2,2,3)))))</f>
        <v>4</v>
      </c>
      <c r="AI220" s="83" t="n">
        <f aca="false">IF($S220&gt;=2,IF(ISNUMBER(G220),G220*$F220,MIN($G220:$J220)*$F220),0)</f>
        <v>1144.3</v>
      </c>
      <c r="AJ220" s="83" t="n">
        <f aca="false">IF($S220&gt;=2,IF(ISNUMBER(H220),H220*$F220,MIN($G220:$J220)*$F220),0)</f>
        <v>1144.3</v>
      </c>
      <c r="AK220" s="83" t="n">
        <f aca="false">IF($S220&gt;=2,IF(ISNUMBER(I220),I220*$F220,MIN($G220:$J220)*$F220),0)</f>
        <v>1144.3</v>
      </c>
      <c r="AL220" s="83" t="n">
        <f aca="false">IF($S220&gt;=2,IF(ISNUMBER(J220),J220*$F220,MIN($G220:$J220)*$F220),0)</f>
        <v>1219.16</v>
      </c>
      <c r="AM220" s="84" t="n">
        <f aca="false">IF($S220&gt;=2,$R220+ROW()/1000000,"")</f>
        <v>74.8602200000001</v>
      </c>
      <c r="AN220" s="83" t="n">
        <f aca="false">IF($S220&gt;=2,MAX(G220:J220),"")</f>
        <v>1219.16</v>
      </c>
      <c r="AO220" s="82" t="str">
        <f aca="false">IF($S220&gt;=2,INDEX($G$6:$J$6,MATCH(MAX(G220:J220),G220:J220,0)),"")</f>
        <v>Scholzen</v>
      </c>
      <c r="AP220" s="83" t="n">
        <f aca="false">IF($S220&gt;=2,MIN(G220:J220)*$F220,0)</f>
        <v>1144.3</v>
      </c>
      <c r="AQ220" s="82" t="str">
        <f aca="false">IF($S220&gt;=2,INDEX($G$6:$J$6,MATCH(MIN(G220:J220),G220:J220,0)),"")</f>
        <v>HD Fowler</v>
      </c>
    </row>
    <row r="221" customFormat="false" ht="15" hidden="false" customHeight="true" outlineLevel="0" collapsed="false">
      <c r="A221" s="70" t="s">
        <v>595</v>
      </c>
      <c r="B221" s="71" t="s">
        <v>591</v>
      </c>
      <c r="C221" s="72" t="s">
        <v>131</v>
      </c>
      <c r="D221" s="73" t="s">
        <v>596</v>
      </c>
      <c r="E221" s="74" t="s">
        <v>133</v>
      </c>
      <c r="F221" s="75" t="n">
        <v>1</v>
      </c>
      <c r="G221" s="76" t="n">
        <f aca="false">IF(COUNTIF('Quote Lines'!$P$3:$P$805,$A221&amp;"|"&amp;G$6&amp;"|1")=0,"—",SUMIFS('Quote Lines'!$O$3:$O$805,'Quote Lines'!$P$3:$P$805,$A221&amp;"|"&amp;G$6&amp;"|1")/SUMIFS('Quote Lines'!$L$3:$L$805,'Quote Lines'!$P$3:$P$805,$A221&amp;"|"&amp;G$6&amp;"|1"))</f>
        <v>760.46</v>
      </c>
      <c r="H221" s="85" t="s">
        <v>138</v>
      </c>
      <c r="I221" s="76" t="n">
        <f aca="false">IF(COUNTIF('Quote Lines'!$P$3:$P$805,$A221&amp;"|"&amp;I$6&amp;"|1")=0,"—",SUMIFS('Quote Lines'!$O$3:$O$805,'Quote Lines'!$P$3:$P$805,$A221&amp;"|"&amp;I$6&amp;"|1")/SUMIFS('Quote Lines'!$L$3:$L$805,'Quote Lines'!$P$3:$P$805,$A221&amp;"|"&amp;I$6&amp;"|1"))</f>
        <v>862.68</v>
      </c>
      <c r="J221" s="85" t="s">
        <v>138</v>
      </c>
      <c r="K221" s="14" t="n">
        <f aca="false">IF(ISNUMBER(G221),G221*$F221,"—")</f>
        <v>760.46</v>
      </c>
      <c r="L221" s="14" t="str">
        <f aca="false">IF(ISNUMBER(H221),H221*$F221,"—")</f>
        <v>—</v>
      </c>
      <c r="M221" s="14" t="n">
        <f aca="false">IF(ISNUMBER(I221),I221*$F221,"—")</f>
        <v>862.68</v>
      </c>
      <c r="N221" s="14" t="str">
        <f aca="false">IF(ISNUMBER(J221),J221*$F221,"—")</f>
        <v>—</v>
      </c>
      <c r="O221" s="77" t="n">
        <f aca="false">IF($S221=0,"—",MIN(G221:J221))</f>
        <v>760.46</v>
      </c>
      <c r="P221" s="42" t="str">
        <f aca="false">IF($S221=0,"—",IF(COUNTIF(G221:J221,O221)&gt;1,"Tie",INDEX($G$6:$J$6,MATCH(O221,G221:J221,0))))</f>
        <v>Ferguson</v>
      </c>
      <c r="Q221" s="48" t="n">
        <f aca="false">IF($S221&gt;=2,MAX(G221:J221)/MIN(G221:J221)-1,"—")</f>
        <v>0.134418641348657</v>
      </c>
      <c r="R221" s="78" t="n">
        <f aca="false">IF($S221&gt;=2,(MAX(G221:J221)-MIN(G221:J221))*$F221,"—")</f>
        <v>102.22</v>
      </c>
      <c r="S221" s="18" t="n">
        <f aca="false">COUNT(G221:J221)</f>
        <v>2</v>
      </c>
      <c r="T221" s="79" t="str">
        <f aca="false">IF($S221&lt;=1,IF($S221=1,"Single quote","—"),"Like-for-like")</f>
        <v>Like-for-like</v>
      </c>
      <c r="U221" s="79" t="str">
        <f aca="false">IF(COUNT(W221:Z221)&lt;2,"",IF(MAX(W221:Z221)=MIN(W221:Z221),"OK","Qty differs"))</f>
        <v>OK</v>
      </c>
      <c r="V221" s="80"/>
      <c r="W221" s="81" t="n">
        <f aca="false">IF(COUNTIFS('Quote Lines'!$P$3:$P$805,$A221&amp;"|"&amp;G$6&amp;"|1",'Quote Lines'!$M$3:$M$805,"Y")=0,"",SUMIFS('Quote Lines'!$L$3:$L$805,'Quote Lines'!$P$3:$P$805,$A221&amp;"|"&amp;G$6&amp;"|1",'Quote Lines'!$M$3:$M$805,"Y"))</f>
        <v>1</v>
      </c>
      <c r="X221" s="81"/>
      <c r="Y221" s="81" t="n">
        <f aca="false">IF(COUNTIFS('Quote Lines'!$P$3:$P$805,$A221&amp;"|"&amp;I$6&amp;"|1",'Quote Lines'!$M$3:$M$805,"Y")=0,"",SUMIFS('Quote Lines'!$L$3:$L$805,'Quote Lines'!$P$3:$P$805,$A221&amp;"|"&amp;I$6&amp;"|1",'Quote Lines'!$M$3:$M$805,"Y"))</f>
        <v>1</v>
      </c>
      <c r="Z221" s="81"/>
      <c r="AA221" s="82" t="n">
        <f aca="false">IF(ISNUMBER(G221),1+SUMPRODUCT(ISNUMBER($G221:$J221)*($G221:$J221&lt;G221)),"")</f>
        <v>1</v>
      </c>
      <c r="AB221" s="82" t="str">
        <f aca="false">IF(ISNUMBER(H221),1+SUMPRODUCT(ISNUMBER($G221:$J221)*($G221:$J221&lt;H221)),"")</f>
        <v/>
      </c>
      <c r="AC221" s="82" t="n">
        <f aca="false">IF(ISNUMBER(I221),1+SUMPRODUCT(ISNUMBER($G221:$J221)*($G221:$J221&lt;I221)),"")</f>
        <v>2</v>
      </c>
      <c r="AD221" s="82" t="str">
        <f aca="false">IF(ISNUMBER(J221),1+SUMPRODUCT(ISNUMBER($G221:$J221)*($G221:$J221&lt;J221)),"")</f>
        <v/>
      </c>
      <c r="AE221" s="82" t="n">
        <f aca="false">IF(NOT(ISNUMBER(G221)),0,IF($S221&lt;2,5,IF(AA221=1,1,IF(G221=MAX($G221:$J221),4,IF(AA221=2,2,3)))))</f>
        <v>1</v>
      </c>
      <c r="AF221" s="82" t="n">
        <f aca="false">IF(NOT(ISNUMBER(H221)),0,IF($S221&lt;2,5,IF(AB221=1,1,IF(H221=MAX($G221:$J221),4,IF(AB221=2,2,3)))))</f>
        <v>0</v>
      </c>
      <c r="AG221" s="82" t="n">
        <f aca="false">IF(NOT(ISNUMBER(I221)),0,IF($S221&lt;2,5,IF(AC221=1,1,IF(I221=MAX($G221:$J221),4,IF(AC221=2,2,3)))))</f>
        <v>4</v>
      </c>
      <c r="AH221" s="82" t="n">
        <f aca="false">IF(NOT(ISNUMBER(J221)),0,IF($S221&lt;2,5,IF(AD221=1,1,IF(J221=MAX($G221:$J221),4,IF(AD221=2,2,3)))))</f>
        <v>0</v>
      </c>
      <c r="AI221" s="83" t="n">
        <f aca="false">IF($S221&gt;=2,IF(ISNUMBER(G221),G221*$F221,MIN($G221:$J221)*$F221),0)</f>
        <v>760.46</v>
      </c>
      <c r="AJ221" s="83" t="n">
        <f aca="false">IF($S221&gt;=2,IF(ISNUMBER(H221),H221*$F221,MIN($G221:$J221)*$F221),0)</f>
        <v>760.46</v>
      </c>
      <c r="AK221" s="83" t="n">
        <f aca="false">IF($S221&gt;=2,IF(ISNUMBER(I221),I221*$F221,MIN($G221:$J221)*$F221),0)</f>
        <v>862.68</v>
      </c>
      <c r="AL221" s="83" t="n">
        <f aca="false">IF($S221&gt;=2,IF(ISNUMBER(J221),J221*$F221,MIN($G221:$J221)*$F221),0)</f>
        <v>760.46</v>
      </c>
      <c r="AM221" s="84" t="n">
        <f aca="false">IF($S221&gt;=2,$R221+ROW()/1000000,"")</f>
        <v>102.220221</v>
      </c>
      <c r="AN221" s="83" t="n">
        <f aca="false">IF($S221&gt;=2,MAX(G221:J221),"")</f>
        <v>862.68</v>
      </c>
      <c r="AO221" s="82" t="str">
        <f aca="false">IF($S221&gt;=2,INDEX($G$6:$J$6,MATCH(MAX(G221:J221),G221:J221,0)),"")</f>
        <v>Mountainland</v>
      </c>
      <c r="AP221" s="83" t="n">
        <f aca="false">IF($S221&gt;=2,MIN(G221:J221)*$F221,0)</f>
        <v>760.46</v>
      </c>
      <c r="AQ221" s="82" t="str">
        <f aca="false">IF($S221&gt;=2,INDEX($G$6:$J$6,MATCH(MIN(G221:J221),G221:J221,0)),"")</f>
        <v>Ferguson</v>
      </c>
    </row>
    <row r="222" customFormat="false" ht="15" hidden="false" customHeight="true" outlineLevel="0" collapsed="false">
      <c r="A222" s="70" t="s">
        <v>597</v>
      </c>
      <c r="B222" s="71" t="s">
        <v>591</v>
      </c>
      <c r="C222" s="72" t="s">
        <v>294</v>
      </c>
      <c r="D222" s="73" t="s">
        <v>295</v>
      </c>
      <c r="E222" s="74" t="s">
        <v>133</v>
      </c>
      <c r="F222" s="75" t="n">
        <v>2</v>
      </c>
      <c r="G222" s="76" t="n">
        <f aca="false">IF(COUNTIF('Quote Lines'!$P$3:$P$805,$A222&amp;"|"&amp;G$6&amp;"|1")=0,"—",SUMIFS('Quote Lines'!$O$3:$O$805,'Quote Lines'!$P$3:$P$805,$A222&amp;"|"&amp;G$6&amp;"|1")/SUMIFS('Quote Lines'!$L$3:$L$805,'Quote Lines'!$P$3:$P$805,$A222&amp;"|"&amp;G$6&amp;"|1"))</f>
        <v>232.95</v>
      </c>
      <c r="H222" s="76" t="n">
        <f aca="false">IF(COUNTIF('Quote Lines'!$P$3:$P$805,$A222&amp;"|"&amp;H$6&amp;"|1")=0,"—",SUMIFS('Quote Lines'!$O$3:$O$805,'Quote Lines'!$P$3:$P$805,$A222&amp;"|"&amp;H$6&amp;"|1")/SUMIFS('Quote Lines'!$L$3:$L$805,'Quote Lines'!$P$3:$P$805,$A222&amp;"|"&amp;H$6&amp;"|1"))</f>
        <v>345.91</v>
      </c>
      <c r="I222" s="76" t="n">
        <f aca="false">IF(COUNTIF('Quote Lines'!$P$3:$P$805,$A222&amp;"|"&amp;I$6&amp;"|1")=0,"—",SUMIFS('Quote Lines'!$O$3:$O$805,'Quote Lines'!$P$3:$P$805,$A222&amp;"|"&amp;I$6&amp;"|1")/SUMIFS('Quote Lines'!$L$3:$L$805,'Quote Lines'!$P$3:$P$805,$A222&amp;"|"&amp;I$6&amp;"|1"))</f>
        <v>241.18</v>
      </c>
      <c r="J222" s="76" t="n">
        <f aca="false">IF(COUNTIF('Quote Lines'!$P$3:$P$805,$A222&amp;"|"&amp;J$6&amp;"|1")=0,"—",SUMIFS('Quote Lines'!$O$3:$O$805,'Quote Lines'!$P$3:$P$805,$A222&amp;"|"&amp;J$6&amp;"|1")/SUMIFS('Quote Lines'!$L$3:$L$805,'Quote Lines'!$P$3:$P$805,$A222&amp;"|"&amp;J$6&amp;"|1"))</f>
        <v>399.53</v>
      </c>
      <c r="K222" s="14" t="n">
        <f aca="false">IF(ISNUMBER(G222),G222*$F222,"—")</f>
        <v>465.9</v>
      </c>
      <c r="L222" s="14" t="n">
        <f aca="false">IF(ISNUMBER(H222),H222*$F222,"—")</f>
        <v>691.82</v>
      </c>
      <c r="M222" s="14" t="n">
        <f aca="false">IF(ISNUMBER(I222),I222*$F222,"—")</f>
        <v>482.36</v>
      </c>
      <c r="N222" s="14" t="n">
        <f aca="false">IF(ISNUMBER(J222),J222*$F222,"—")</f>
        <v>799.06</v>
      </c>
      <c r="O222" s="77" t="n">
        <f aca="false">IF($S222=0,"—",MIN(G222:J222))</f>
        <v>232.95</v>
      </c>
      <c r="P222" s="42" t="str">
        <f aca="false">IF($S222=0,"—",IF(COUNTIF(G222:J222,O222)&gt;1,"Tie",INDEX($G$6:$J$6,MATCH(O222,G222:J222,0))))</f>
        <v>Ferguson</v>
      </c>
      <c r="Q222" s="48" t="n">
        <f aca="false">IF($S222&gt;=2,MAX(G222:J222)/MIN(G222:J222)-1,"—")</f>
        <v>0.715089074908779</v>
      </c>
      <c r="R222" s="78" t="n">
        <f aca="false">IF($S222&gt;=2,(MAX(G222:J222)-MIN(G222:J222))*$F222,"—")</f>
        <v>333.16</v>
      </c>
      <c r="S222" s="18" t="n">
        <f aca="false">COUNT(G222:J222)</f>
        <v>4</v>
      </c>
      <c r="T222" s="79" t="str">
        <f aca="false">IF($S222&lt;=1,IF($S222=1,"Single quote","—"),"Like-for-like")</f>
        <v>Like-for-like</v>
      </c>
      <c r="U222" s="79" t="str">
        <f aca="false">IF(COUNT(W222:Z222)&lt;2,"",IF(MAX(W222:Z222)=MIN(W222:Z222),"OK","Qty differs"))</f>
        <v>Qty differs</v>
      </c>
      <c r="V222" s="80" t="s">
        <v>598</v>
      </c>
      <c r="W222" s="81" t="n">
        <f aca="false">IF(COUNTIFS('Quote Lines'!$P$3:$P$805,$A222&amp;"|"&amp;G$6&amp;"|1",'Quote Lines'!$M$3:$M$805,"Y")=0,"",SUMIFS('Quote Lines'!$L$3:$L$805,'Quote Lines'!$P$3:$P$805,$A222&amp;"|"&amp;G$6&amp;"|1",'Quote Lines'!$M$3:$M$805,"Y"))</f>
        <v>1</v>
      </c>
      <c r="X222" s="81" t="n">
        <f aca="false">IF(COUNTIFS('Quote Lines'!$P$3:$P$805,$A222&amp;"|"&amp;H$6&amp;"|1",'Quote Lines'!$M$3:$M$805,"Y")=0,"",SUMIFS('Quote Lines'!$L$3:$L$805,'Quote Lines'!$P$3:$P$805,$A222&amp;"|"&amp;H$6&amp;"|1",'Quote Lines'!$M$3:$M$805,"Y"))</f>
        <v>2</v>
      </c>
      <c r="Y222" s="81" t="n">
        <f aca="false">IF(COUNTIFS('Quote Lines'!$P$3:$P$805,$A222&amp;"|"&amp;I$6&amp;"|1",'Quote Lines'!$M$3:$M$805,"Y")=0,"",SUMIFS('Quote Lines'!$L$3:$L$805,'Quote Lines'!$P$3:$P$805,$A222&amp;"|"&amp;I$6&amp;"|1",'Quote Lines'!$M$3:$M$805,"Y"))</f>
        <v>1</v>
      </c>
      <c r="Z222" s="81" t="n">
        <f aca="false">IF(COUNTIFS('Quote Lines'!$P$3:$P$805,$A222&amp;"|"&amp;J$6&amp;"|1",'Quote Lines'!$M$3:$M$805,"Y")=0,"",SUMIFS('Quote Lines'!$L$3:$L$805,'Quote Lines'!$P$3:$P$805,$A222&amp;"|"&amp;J$6&amp;"|1",'Quote Lines'!$M$3:$M$805,"Y"))</f>
        <v>2</v>
      </c>
      <c r="AA222" s="82" t="n">
        <f aca="false">IF(ISNUMBER(G222),1+SUMPRODUCT(ISNUMBER($G222:$J222)*($G222:$J222&lt;G222)),"")</f>
        <v>1</v>
      </c>
      <c r="AB222" s="82" t="n">
        <f aca="false">IF(ISNUMBER(H222),1+SUMPRODUCT(ISNUMBER($G222:$J222)*($G222:$J222&lt;H222)),"")</f>
        <v>3</v>
      </c>
      <c r="AC222" s="82" t="n">
        <f aca="false">IF(ISNUMBER(I222),1+SUMPRODUCT(ISNUMBER($G222:$J222)*($G222:$J222&lt;I222)),"")</f>
        <v>2</v>
      </c>
      <c r="AD222" s="82" t="n">
        <f aca="false">IF(ISNUMBER(J222),1+SUMPRODUCT(ISNUMBER($G222:$J222)*($G222:$J222&lt;J222)),"")</f>
        <v>4</v>
      </c>
      <c r="AE222" s="82" t="n">
        <f aca="false">IF(NOT(ISNUMBER(G222)),0,IF($S222&lt;2,5,IF(AA222=1,1,IF(G222=MAX($G222:$J222),4,IF(AA222=2,2,3)))))</f>
        <v>1</v>
      </c>
      <c r="AF222" s="82" t="n">
        <f aca="false">IF(NOT(ISNUMBER(H222)),0,IF($S222&lt;2,5,IF(AB222=1,1,IF(H222=MAX($G222:$J222),4,IF(AB222=2,2,3)))))</f>
        <v>3</v>
      </c>
      <c r="AG222" s="82" t="n">
        <f aca="false">IF(NOT(ISNUMBER(I222)),0,IF($S222&lt;2,5,IF(AC222=1,1,IF(I222=MAX($G222:$J222),4,IF(AC222=2,2,3)))))</f>
        <v>2</v>
      </c>
      <c r="AH222" s="82" t="n">
        <f aca="false">IF(NOT(ISNUMBER(J222)),0,IF($S222&lt;2,5,IF(AD222=1,1,IF(J222=MAX($G222:$J222),4,IF(AD222=2,2,3)))))</f>
        <v>4</v>
      </c>
      <c r="AI222" s="83" t="n">
        <f aca="false">IF($S222&gt;=2,IF(ISNUMBER(G222),G222*$F222,MIN($G222:$J222)*$F222),0)</f>
        <v>465.9</v>
      </c>
      <c r="AJ222" s="83" t="n">
        <f aca="false">IF($S222&gt;=2,IF(ISNUMBER(H222),H222*$F222,MIN($G222:$J222)*$F222),0)</f>
        <v>691.82</v>
      </c>
      <c r="AK222" s="83" t="n">
        <f aca="false">IF($S222&gt;=2,IF(ISNUMBER(I222),I222*$F222,MIN($G222:$J222)*$F222),0)</f>
        <v>482.36</v>
      </c>
      <c r="AL222" s="83" t="n">
        <f aca="false">IF($S222&gt;=2,IF(ISNUMBER(J222),J222*$F222,MIN($G222:$J222)*$F222),0)</f>
        <v>799.06</v>
      </c>
      <c r="AM222" s="84" t="n">
        <f aca="false">IF($S222&gt;=2,$R222+ROW()/1000000,"")</f>
        <v>333.160222</v>
      </c>
      <c r="AN222" s="83" t="n">
        <f aca="false">IF($S222&gt;=2,MAX(G222:J222),"")</f>
        <v>399.53</v>
      </c>
      <c r="AO222" s="82" t="str">
        <f aca="false">IF($S222&gt;=2,INDEX($G$6:$J$6,MATCH(MAX(G222:J222),G222:J222,0)),"")</f>
        <v>Scholzen</v>
      </c>
      <c r="AP222" s="83" t="n">
        <f aca="false">IF($S222&gt;=2,MIN(G222:J222)*$F222,0)</f>
        <v>465.9</v>
      </c>
      <c r="AQ222" s="82" t="str">
        <f aca="false">IF($S222&gt;=2,INDEX($G$6:$J$6,MATCH(MIN(G222:J222),G222:J222,0)),"")</f>
        <v>Ferguson</v>
      </c>
    </row>
    <row r="223" customFormat="false" ht="15" hidden="false" customHeight="true" outlineLevel="0" collapsed="false">
      <c r="A223" s="70" t="s">
        <v>599</v>
      </c>
      <c r="B223" s="71" t="s">
        <v>591</v>
      </c>
      <c r="C223" s="72" t="s">
        <v>308</v>
      </c>
      <c r="D223" s="73" t="s">
        <v>309</v>
      </c>
      <c r="E223" s="74" t="s">
        <v>310</v>
      </c>
      <c r="F223" s="75" t="n">
        <v>1</v>
      </c>
      <c r="G223" s="76" t="n">
        <f aca="false">IF(COUNTIF('Quote Lines'!$P$3:$P$805,$A223&amp;"|"&amp;G$6&amp;"|1")=0,"—",SUMIFS('Quote Lines'!$O$3:$O$805,'Quote Lines'!$P$3:$P$805,$A223&amp;"|"&amp;G$6&amp;"|1")/SUMIFS('Quote Lines'!$L$3:$L$805,'Quote Lines'!$P$3:$P$805,$A223&amp;"|"&amp;G$6&amp;"|1")+IFERROR(SUMIFS('Quote Lines'!$O$3:$O$805,'Quote Lines'!$P$3:$P$805,$A223&amp;"|"&amp;G$6&amp;"|2")/SUMIFS('Quote Lines'!$L$3:$L$805,'Quote Lines'!$P$3:$P$805,$A223&amp;"|"&amp;G$6&amp;"|2"),0))</f>
        <v>138.15</v>
      </c>
      <c r="H223" s="85" t="s">
        <v>138</v>
      </c>
      <c r="I223" s="76" t="n">
        <f aca="false">IF(COUNTIF('Quote Lines'!$P$3:$P$805,$A223&amp;"|"&amp;I$6&amp;"|1")=0,"—",SUMIFS('Quote Lines'!$O$3:$O$805,'Quote Lines'!$P$3:$P$805,$A223&amp;"|"&amp;I$6&amp;"|1")/SUMIFS('Quote Lines'!$L$3:$L$805,'Quote Lines'!$P$3:$P$805,$A223&amp;"|"&amp;I$6&amp;"|1"))</f>
        <v>64.28</v>
      </c>
      <c r="J223" s="76" t="n">
        <f aca="false">IF(COUNTIF('Quote Lines'!$P$3:$P$805,$A223&amp;"|"&amp;J$6&amp;"|1")=0,"—",SUMIFS('Quote Lines'!$O$3:$O$805,'Quote Lines'!$P$3:$P$805,$A223&amp;"|"&amp;J$6&amp;"|1")/SUMIFS('Quote Lines'!$L$3:$L$805,'Quote Lines'!$P$3:$P$805,$A223&amp;"|"&amp;J$6&amp;"|1"))</f>
        <v>80.28</v>
      </c>
      <c r="K223" s="14" t="n">
        <f aca="false">IF(ISNUMBER(G223),G223*$F223,"—")</f>
        <v>138.15</v>
      </c>
      <c r="L223" s="14" t="str">
        <f aca="false">IF(ISNUMBER(H223),H223*$F223,"—")</f>
        <v>—</v>
      </c>
      <c r="M223" s="14" t="n">
        <f aca="false">IF(ISNUMBER(I223),I223*$F223,"—")</f>
        <v>64.28</v>
      </c>
      <c r="N223" s="14" t="n">
        <f aca="false">IF(ISNUMBER(J223),J223*$F223,"—")</f>
        <v>80.28</v>
      </c>
      <c r="O223" s="77" t="n">
        <f aca="false">IF($S223=0,"—",MIN(G223:J223))</f>
        <v>64.28</v>
      </c>
      <c r="P223" s="42" t="str">
        <f aca="false">IF($S223=0,"—",IF(COUNTIF(G223:J223,O223)&gt;1,"Tie",INDEX($G$6:$J$6,MATCH(O223,G223:J223,0))))</f>
        <v>Mountainland</v>
      </c>
      <c r="Q223" s="48" t="n">
        <f aca="false">IF($S223&gt;=2,MAX(G223:J223)/MIN(G223:J223)-1,"—")</f>
        <v>1.14919103920349</v>
      </c>
      <c r="R223" s="78" t="n">
        <f aca="false">IF($S223&gt;=2,(MAX(G223:J223)-MIN(G223:J223))*$F223,"—")</f>
        <v>73.87</v>
      </c>
      <c r="S223" s="18" t="n">
        <f aca="false">COUNT(G223:J223)</f>
        <v>3</v>
      </c>
      <c r="T223" s="79" t="str">
        <f aca="false">IF($S223&lt;=1,IF($S223=1,"Single quote","—"),"Alt spec – verify")</f>
        <v>Alt spec – verify</v>
      </c>
      <c r="U223" s="79" t="str">
        <f aca="false">IF(COUNT(W223:Z223)&lt;2,"",IF(MAX(W223:Z223)=MIN(W223:Z223),"OK","Qty differs"))</f>
        <v>Qty differs</v>
      </c>
      <c r="V223" s="80" t="s">
        <v>600</v>
      </c>
      <c r="W223" s="81" t="n">
        <f aca="false">IF(COUNTIFS('Quote Lines'!$P$3:$P$805,$A223&amp;"|"&amp;G$6&amp;"|1",'Quote Lines'!$M$3:$M$805,"Y")=0,"",SUMIFS('Quote Lines'!$L$3:$L$805,'Quote Lines'!$P$3:$P$805,$A223&amp;"|"&amp;G$6&amp;"|1",'Quote Lines'!$M$3:$M$805,"Y"))</f>
        <v>1</v>
      </c>
      <c r="X223" s="81"/>
      <c r="Y223" s="81" t="n">
        <f aca="false">IF(COUNTIFS('Quote Lines'!$P$3:$P$805,$A223&amp;"|"&amp;I$6&amp;"|1",'Quote Lines'!$M$3:$M$805,"Y")=0,"",SUMIFS('Quote Lines'!$L$3:$L$805,'Quote Lines'!$P$3:$P$805,$A223&amp;"|"&amp;I$6&amp;"|1",'Quote Lines'!$M$3:$M$805,"Y"))</f>
        <v>1</v>
      </c>
      <c r="Z223" s="81" t="n">
        <f aca="false">IF(COUNTIFS('Quote Lines'!$P$3:$P$805,$A223&amp;"|"&amp;J$6&amp;"|1",'Quote Lines'!$M$3:$M$805,"Y")=0,"",SUMIFS('Quote Lines'!$L$3:$L$805,'Quote Lines'!$P$3:$P$805,$A223&amp;"|"&amp;J$6&amp;"|1",'Quote Lines'!$M$3:$M$805,"Y"))</f>
        <v>2</v>
      </c>
      <c r="AA223" s="82" t="n">
        <f aca="false">IF(ISNUMBER(G223),1+SUMPRODUCT(ISNUMBER($G223:$J223)*($G223:$J223&lt;G223)),"")</f>
        <v>3</v>
      </c>
      <c r="AB223" s="82" t="str">
        <f aca="false">IF(ISNUMBER(H223),1+SUMPRODUCT(ISNUMBER($G223:$J223)*($G223:$J223&lt;H223)),"")</f>
        <v/>
      </c>
      <c r="AC223" s="82" t="n">
        <f aca="false">IF(ISNUMBER(I223),1+SUMPRODUCT(ISNUMBER($G223:$J223)*($G223:$J223&lt;I223)),"")</f>
        <v>1</v>
      </c>
      <c r="AD223" s="82" t="n">
        <f aca="false">IF(ISNUMBER(J223),1+SUMPRODUCT(ISNUMBER($G223:$J223)*($G223:$J223&lt;J223)),"")</f>
        <v>2</v>
      </c>
      <c r="AE223" s="82" t="n">
        <f aca="false">IF(NOT(ISNUMBER(G223)),0,IF($S223&lt;2,5,IF(AA223=1,1,IF(G223=MAX($G223:$J223),4,IF(AA223=2,2,3)))))</f>
        <v>4</v>
      </c>
      <c r="AF223" s="82" t="n">
        <f aca="false">IF(NOT(ISNUMBER(H223)),0,IF($S223&lt;2,5,IF(AB223=1,1,IF(H223=MAX($G223:$J223),4,IF(AB223=2,2,3)))))</f>
        <v>0</v>
      </c>
      <c r="AG223" s="82" t="n">
        <f aca="false">IF(NOT(ISNUMBER(I223)),0,IF($S223&lt;2,5,IF(AC223=1,1,IF(I223=MAX($G223:$J223),4,IF(AC223=2,2,3)))))</f>
        <v>1</v>
      </c>
      <c r="AH223" s="82" t="n">
        <f aca="false">IF(NOT(ISNUMBER(J223)),0,IF($S223&lt;2,5,IF(AD223=1,1,IF(J223=MAX($G223:$J223),4,IF(AD223=2,2,3)))))</f>
        <v>2</v>
      </c>
      <c r="AI223" s="83" t="n">
        <f aca="false">IF($S223&gt;=2,IF(ISNUMBER(G223),G223*$F223,MIN($G223:$J223)*$F223),0)</f>
        <v>138.15</v>
      </c>
      <c r="AJ223" s="83" t="n">
        <f aca="false">IF($S223&gt;=2,IF(ISNUMBER(H223),H223*$F223,MIN($G223:$J223)*$F223),0)</f>
        <v>64.28</v>
      </c>
      <c r="AK223" s="83" t="n">
        <f aca="false">IF($S223&gt;=2,IF(ISNUMBER(I223),I223*$F223,MIN($G223:$J223)*$F223),0)</f>
        <v>64.28</v>
      </c>
      <c r="AL223" s="83" t="n">
        <f aca="false">IF($S223&gt;=2,IF(ISNUMBER(J223),J223*$F223,MIN($G223:$J223)*$F223),0)</f>
        <v>80.28</v>
      </c>
      <c r="AM223" s="84" t="n">
        <f aca="false">IF($S223&gt;=2,$R223+ROW()/1000000,"")</f>
        <v>73.870223</v>
      </c>
      <c r="AN223" s="83" t="n">
        <f aca="false">IF($S223&gt;=2,MAX(G223:J223),"")</f>
        <v>138.15</v>
      </c>
      <c r="AO223" s="82" t="str">
        <f aca="false">IF($S223&gt;=2,INDEX($G$6:$J$6,MATCH(MAX(G223:J223),G223:J223,0)),"")</f>
        <v>Ferguson</v>
      </c>
      <c r="AP223" s="83" t="n">
        <f aca="false">IF($S223&gt;=2,MIN(G223:J223)*$F223,0)</f>
        <v>64.28</v>
      </c>
      <c r="AQ223" s="82" t="str">
        <f aca="false">IF($S223&gt;=2,INDEX($G$6:$J$6,MATCH(MIN(G223:J223),G223:J223,0)),"")</f>
        <v>Mountainland</v>
      </c>
    </row>
    <row r="224" customFormat="false" ht="15" hidden="false" customHeight="true" outlineLevel="0" collapsed="false">
      <c r="A224" s="70" t="s">
        <v>601</v>
      </c>
      <c r="B224" s="71" t="s">
        <v>591</v>
      </c>
      <c r="C224" s="72" t="s">
        <v>308</v>
      </c>
      <c r="D224" s="73" t="s">
        <v>519</v>
      </c>
      <c r="E224" s="74" t="s">
        <v>310</v>
      </c>
      <c r="F224" s="75" t="n">
        <v>2</v>
      </c>
      <c r="G224" s="85" t="s">
        <v>138</v>
      </c>
      <c r="H224" s="85" t="s">
        <v>138</v>
      </c>
      <c r="I224" s="85" t="s">
        <v>138</v>
      </c>
      <c r="J224" s="76" t="n">
        <f aca="false">IF(COUNTIF('Quote Lines'!$P$3:$P$805,$A224&amp;"|"&amp;J$6&amp;"|1")=0,"—",SUMIFS('Quote Lines'!$O$3:$O$805,'Quote Lines'!$P$3:$P$805,$A224&amp;"|"&amp;J$6&amp;"|1")/SUMIFS('Quote Lines'!$L$3:$L$805,'Quote Lines'!$P$3:$P$805,$A224&amp;"|"&amp;J$6&amp;"|1"))</f>
        <v>32.68</v>
      </c>
      <c r="K224" s="14" t="str">
        <f aca="false">IF(ISNUMBER(G224),G224*$F224,"—")</f>
        <v>—</v>
      </c>
      <c r="L224" s="14" t="str">
        <f aca="false">IF(ISNUMBER(H224),H224*$F224,"—")</f>
        <v>—</v>
      </c>
      <c r="M224" s="14" t="str">
        <f aca="false">IF(ISNUMBER(I224),I224*$F224,"—")</f>
        <v>—</v>
      </c>
      <c r="N224" s="14" t="n">
        <f aca="false">IF(ISNUMBER(J224),J224*$F224,"—")</f>
        <v>65.36</v>
      </c>
      <c r="O224" s="77" t="n">
        <f aca="false">IF($S224=0,"—",MIN(G224:J224))</f>
        <v>32.68</v>
      </c>
      <c r="P224" s="42" t="str">
        <f aca="false">IF($S224=0,"—",IF(COUNTIF(G224:J224,O224)&gt;1,"Tie",INDEX($G$6:$J$6,MATCH(O224,G224:J224,0))))</f>
        <v>Scholzen</v>
      </c>
      <c r="Q224" s="48" t="str">
        <f aca="false">IF($S224&gt;=2,MAX(G224:J224)/MIN(G224:J224)-1,"—")</f>
        <v>—</v>
      </c>
      <c r="R224" s="78" t="str">
        <f aca="false">IF($S224&gt;=2,(MAX(G224:J224)-MIN(G224:J224))*$F224,"—")</f>
        <v>—</v>
      </c>
      <c r="S224" s="18" t="n">
        <f aca="false">COUNT(G224:J224)</f>
        <v>1</v>
      </c>
      <c r="T224" s="79" t="str">
        <f aca="false">IF($S224&lt;=1,IF($S224=1,"Single quote","—"),"Like-for-like")</f>
        <v>Single quote</v>
      </c>
      <c r="U224" s="79" t="str">
        <f aca="false">IF(COUNT(W224:Z224)&lt;2,"",IF(MAX(W224:Z224)=MIN(W224:Z224),"OK","Qty differs"))</f>
        <v/>
      </c>
      <c r="V224" s="80"/>
      <c r="W224" s="81"/>
      <c r="X224" s="81"/>
      <c r="Y224" s="81"/>
      <c r="Z224" s="81" t="n">
        <f aca="false">IF(COUNTIFS('Quote Lines'!$P$3:$P$805,$A224&amp;"|"&amp;J$6&amp;"|1",'Quote Lines'!$M$3:$M$805,"Y")=0,"",SUMIFS('Quote Lines'!$L$3:$L$805,'Quote Lines'!$P$3:$P$805,$A224&amp;"|"&amp;J$6&amp;"|1",'Quote Lines'!$M$3:$M$805,"Y"))</f>
        <v>2</v>
      </c>
      <c r="AA224" s="82" t="str">
        <f aca="false">IF(ISNUMBER(G224),1+SUMPRODUCT(ISNUMBER($G224:$J224)*($G224:$J224&lt;G224)),"")</f>
        <v/>
      </c>
      <c r="AB224" s="82" t="str">
        <f aca="false">IF(ISNUMBER(H224),1+SUMPRODUCT(ISNUMBER($G224:$J224)*($G224:$J224&lt;H224)),"")</f>
        <v/>
      </c>
      <c r="AC224" s="82" t="str">
        <f aca="false">IF(ISNUMBER(I224),1+SUMPRODUCT(ISNUMBER($G224:$J224)*($G224:$J224&lt;I224)),"")</f>
        <v/>
      </c>
      <c r="AD224" s="82" t="n">
        <f aca="false">IF(ISNUMBER(J224),1+SUMPRODUCT(ISNUMBER($G224:$J224)*($G224:$J224&lt;J224)),"")</f>
        <v>1</v>
      </c>
      <c r="AE224" s="82" t="n">
        <f aca="false">IF(NOT(ISNUMBER(G224)),0,IF($S224&lt;2,5,IF(AA224=1,1,IF(G224=MAX($G224:$J224),4,IF(AA224=2,2,3)))))</f>
        <v>0</v>
      </c>
      <c r="AF224" s="82" t="n">
        <f aca="false">IF(NOT(ISNUMBER(H224)),0,IF($S224&lt;2,5,IF(AB224=1,1,IF(H224=MAX($G224:$J224),4,IF(AB224=2,2,3)))))</f>
        <v>0</v>
      </c>
      <c r="AG224" s="82" t="n">
        <f aca="false">IF(NOT(ISNUMBER(I224)),0,IF($S224&lt;2,5,IF(AC224=1,1,IF(I224=MAX($G224:$J224),4,IF(AC224=2,2,3)))))</f>
        <v>0</v>
      </c>
      <c r="AH224" s="82" t="n">
        <f aca="false">IF(NOT(ISNUMBER(J224)),0,IF($S224&lt;2,5,IF(AD224=1,1,IF(J224=MAX($G224:$J224),4,IF(AD224=2,2,3)))))</f>
        <v>5</v>
      </c>
      <c r="AI224" s="83" t="n">
        <f aca="false">IF($S224&gt;=2,IF(ISNUMBER(G224),G224*$F224,MIN($G224:$J224)*$F224),0)</f>
        <v>0</v>
      </c>
      <c r="AJ224" s="83" t="n">
        <f aca="false">IF($S224&gt;=2,IF(ISNUMBER(H224),H224*$F224,MIN($G224:$J224)*$F224),0)</f>
        <v>0</v>
      </c>
      <c r="AK224" s="83" t="n">
        <f aca="false">IF($S224&gt;=2,IF(ISNUMBER(I224),I224*$F224,MIN($G224:$J224)*$F224),0)</f>
        <v>0</v>
      </c>
      <c r="AL224" s="83" t="n">
        <f aca="false">IF($S224&gt;=2,IF(ISNUMBER(J224),J224*$F224,MIN($G224:$J224)*$F224),0)</f>
        <v>0</v>
      </c>
      <c r="AM224" s="84" t="str">
        <f aca="false">IF($S224&gt;=2,$R224+ROW()/1000000,"")</f>
        <v/>
      </c>
      <c r="AN224" s="83" t="str">
        <f aca="false">IF($S224&gt;=2,MAX(G224:J224),"")</f>
        <v/>
      </c>
      <c r="AO224" s="82" t="str">
        <f aca="false">IF($S224&gt;=2,INDEX($G$6:$J$6,MATCH(MAX(G224:J224),G224:J224,0)),"")</f>
        <v/>
      </c>
      <c r="AP224" s="83" t="n">
        <f aca="false">IF($S224&gt;=2,MIN(G224:J224)*$F224,0)</f>
        <v>0</v>
      </c>
      <c r="AQ224" s="82" t="str">
        <f aca="false">IF($S224&gt;=2,INDEX($G$6:$J$6,MATCH(MIN(G224:J224),G224:J224,0)),"")</f>
        <v/>
      </c>
    </row>
    <row r="225" customFormat="false" ht="19.5" hidden="false" customHeight="true" outlineLevel="0" collapsed="false">
      <c r="A225" s="69"/>
      <c r="B225" s="9" t="s">
        <v>602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</row>
    <row r="226" customFormat="false" ht="15" hidden="false" customHeight="true" outlineLevel="0" collapsed="false">
      <c r="A226" s="70" t="s">
        <v>603</v>
      </c>
      <c r="B226" s="71" t="s">
        <v>604</v>
      </c>
      <c r="C226" s="72" t="s">
        <v>131</v>
      </c>
      <c r="D226" s="73" t="s">
        <v>605</v>
      </c>
      <c r="E226" s="74" t="s">
        <v>133</v>
      </c>
      <c r="F226" s="75" t="n">
        <v>1</v>
      </c>
      <c r="G226" s="76" t="n">
        <f aca="false">IF(COUNTIF('Quote Lines'!$P$3:$P$805,$A226&amp;"|"&amp;G$6&amp;"|1")=0,"—",SUMIFS('Quote Lines'!$O$3:$O$805,'Quote Lines'!$P$3:$P$805,$A226&amp;"|"&amp;G$6&amp;"|1")/SUMIFS('Quote Lines'!$L$3:$L$805,'Quote Lines'!$P$3:$P$805,$A226&amp;"|"&amp;G$6&amp;"|1"))</f>
        <v>2275.56</v>
      </c>
      <c r="H226" s="76" t="n">
        <f aca="false">IF(COUNTIF('Quote Lines'!$P$3:$P$805,$A226&amp;"|"&amp;H$6&amp;"|1")=0,"—",SUMIFS('Quote Lines'!$O$3:$O$805,'Quote Lines'!$P$3:$P$805,$A226&amp;"|"&amp;H$6&amp;"|1")/SUMIFS('Quote Lines'!$L$3:$L$805,'Quote Lines'!$P$3:$P$805,$A226&amp;"|"&amp;H$6&amp;"|1"))</f>
        <v>2377.57</v>
      </c>
      <c r="I226" s="76" t="n">
        <f aca="false">IF(COUNTIF('Quote Lines'!$P$3:$P$805,$A226&amp;"|"&amp;I$6&amp;"|1")=0,"—",SUMIFS('Quote Lines'!$O$3:$O$805,'Quote Lines'!$P$3:$P$805,$A226&amp;"|"&amp;I$6&amp;"|1")/SUMIFS('Quote Lines'!$L$3:$L$805,'Quote Lines'!$P$3:$P$805,$A226&amp;"|"&amp;I$6&amp;"|1"))</f>
        <v>2581.46</v>
      </c>
      <c r="J226" s="76" t="n">
        <f aca="false">IF(COUNTIF('Quote Lines'!$P$3:$P$805,$A226&amp;"|"&amp;J$6&amp;"|1")=0,"—",SUMIFS('Quote Lines'!$O$3:$O$805,'Quote Lines'!$P$3:$P$805,$A226&amp;"|"&amp;J$6&amp;"|1")/SUMIFS('Quote Lines'!$L$3:$L$805,'Quote Lines'!$P$3:$P$805,$A226&amp;"|"&amp;J$6&amp;"|1"))</f>
        <v>2490.35</v>
      </c>
      <c r="K226" s="14" t="n">
        <f aca="false">IF(ISNUMBER(G226),G226*$F226,"—")</f>
        <v>2275.56</v>
      </c>
      <c r="L226" s="14" t="n">
        <f aca="false">IF(ISNUMBER(H226),H226*$F226,"—")</f>
        <v>2377.57</v>
      </c>
      <c r="M226" s="14" t="n">
        <f aca="false">IF(ISNUMBER(I226),I226*$F226,"—")</f>
        <v>2581.46</v>
      </c>
      <c r="N226" s="14" t="n">
        <f aca="false">IF(ISNUMBER(J226),J226*$F226,"—")</f>
        <v>2490.35</v>
      </c>
      <c r="O226" s="77" t="n">
        <f aca="false">IF($S226=0,"—",MIN(G226:J226))</f>
        <v>2275.56</v>
      </c>
      <c r="P226" s="42" t="str">
        <f aca="false">IF($S226=0,"—",IF(COUNTIF(G226:J226,O226)&gt;1,"Tie",INDEX($G$6:$J$6,MATCH(O226,G226:J226,0))))</f>
        <v>Ferguson</v>
      </c>
      <c r="Q226" s="48" t="n">
        <f aca="false">IF($S226&gt;=2,MAX(G226:J226)/MIN(G226:J226)-1,"—")</f>
        <v>0.134428448381937</v>
      </c>
      <c r="R226" s="78" t="n">
        <f aca="false">IF($S226&gt;=2,(MAX(G226:J226)-MIN(G226:J226))*$F226,"—")</f>
        <v>305.9</v>
      </c>
      <c r="S226" s="18" t="n">
        <f aca="false">COUNT(G226:J226)</f>
        <v>4</v>
      </c>
      <c r="T226" s="79" t="str">
        <f aca="false">IF($S226&lt;=1,IF($S226=1,"Single quote","—"),"Like-for-like")</f>
        <v>Like-for-like</v>
      </c>
      <c r="U226" s="79" t="str">
        <f aca="false">IF(COUNT(W226:Z226)&lt;2,"",IF(MAX(W226:Z226)=MIN(W226:Z226),"OK","Qty differs"))</f>
        <v>OK</v>
      </c>
      <c r="V226" s="80"/>
      <c r="W226" s="81" t="n">
        <f aca="false">IF(COUNTIFS('Quote Lines'!$P$3:$P$805,$A226&amp;"|"&amp;G$6&amp;"|1",'Quote Lines'!$M$3:$M$805,"Y")=0,"",SUMIFS('Quote Lines'!$L$3:$L$805,'Quote Lines'!$P$3:$P$805,$A226&amp;"|"&amp;G$6&amp;"|1",'Quote Lines'!$M$3:$M$805,"Y"))</f>
        <v>1</v>
      </c>
      <c r="X226" s="81" t="n">
        <f aca="false">IF(COUNTIFS('Quote Lines'!$P$3:$P$805,$A226&amp;"|"&amp;H$6&amp;"|1",'Quote Lines'!$M$3:$M$805,"Y")=0,"",SUMIFS('Quote Lines'!$L$3:$L$805,'Quote Lines'!$P$3:$P$805,$A226&amp;"|"&amp;H$6&amp;"|1",'Quote Lines'!$M$3:$M$805,"Y"))</f>
        <v>1</v>
      </c>
      <c r="Y226" s="81" t="n">
        <f aca="false">IF(COUNTIFS('Quote Lines'!$P$3:$P$805,$A226&amp;"|"&amp;I$6&amp;"|1",'Quote Lines'!$M$3:$M$805,"Y")=0,"",SUMIFS('Quote Lines'!$L$3:$L$805,'Quote Lines'!$P$3:$P$805,$A226&amp;"|"&amp;I$6&amp;"|1",'Quote Lines'!$M$3:$M$805,"Y"))</f>
        <v>1</v>
      </c>
      <c r="Z226" s="81" t="n">
        <f aca="false">IF(COUNTIFS('Quote Lines'!$P$3:$P$805,$A226&amp;"|"&amp;J$6&amp;"|1",'Quote Lines'!$M$3:$M$805,"Y")=0,"",SUMIFS('Quote Lines'!$L$3:$L$805,'Quote Lines'!$P$3:$P$805,$A226&amp;"|"&amp;J$6&amp;"|1",'Quote Lines'!$M$3:$M$805,"Y"))</f>
        <v>1</v>
      </c>
      <c r="AA226" s="82" t="n">
        <f aca="false">IF(ISNUMBER(G226),1+SUMPRODUCT(ISNUMBER($G226:$J226)*($G226:$J226&lt;G226)),"")</f>
        <v>1</v>
      </c>
      <c r="AB226" s="82" t="n">
        <f aca="false">IF(ISNUMBER(H226),1+SUMPRODUCT(ISNUMBER($G226:$J226)*($G226:$J226&lt;H226)),"")</f>
        <v>2</v>
      </c>
      <c r="AC226" s="82" t="n">
        <f aca="false">IF(ISNUMBER(I226),1+SUMPRODUCT(ISNUMBER($G226:$J226)*($G226:$J226&lt;I226)),"")</f>
        <v>4</v>
      </c>
      <c r="AD226" s="82" t="n">
        <f aca="false">IF(ISNUMBER(J226),1+SUMPRODUCT(ISNUMBER($G226:$J226)*($G226:$J226&lt;J226)),"")</f>
        <v>3</v>
      </c>
      <c r="AE226" s="82" t="n">
        <f aca="false">IF(NOT(ISNUMBER(G226)),0,IF($S226&lt;2,5,IF(AA226=1,1,IF(G226=MAX($G226:$J226),4,IF(AA226=2,2,3)))))</f>
        <v>1</v>
      </c>
      <c r="AF226" s="82" t="n">
        <f aca="false">IF(NOT(ISNUMBER(H226)),0,IF($S226&lt;2,5,IF(AB226=1,1,IF(H226=MAX($G226:$J226),4,IF(AB226=2,2,3)))))</f>
        <v>2</v>
      </c>
      <c r="AG226" s="82" t="n">
        <f aca="false">IF(NOT(ISNUMBER(I226)),0,IF($S226&lt;2,5,IF(AC226=1,1,IF(I226=MAX($G226:$J226),4,IF(AC226=2,2,3)))))</f>
        <v>4</v>
      </c>
      <c r="AH226" s="82" t="n">
        <f aca="false">IF(NOT(ISNUMBER(J226)),0,IF($S226&lt;2,5,IF(AD226=1,1,IF(J226=MAX($G226:$J226),4,IF(AD226=2,2,3)))))</f>
        <v>3</v>
      </c>
      <c r="AI226" s="83" t="n">
        <f aca="false">IF($S226&gt;=2,IF(ISNUMBER(G226),G226*$F226,MIN($G226:$J226)*$F226),0)</f>
        <v>2275.56</v>
      </c>
      <c r="AJ226" s="83" t="n">
        <f aca="false">IF($S226&gt;=2,IF(ISNUMBER(H226),H226*$F226,MIN($G226:$J226)*$F226),0)</f>
        <v>2377.57</v>
      </c>
      <c r="AK226" s="83" t="n">
        <f aca="false">IF($S226&gt;=2,IF(ISNUMBER(I226),I226*$F226,MIN($G226:$J226)*$F226),0)</f>
        <v>2581.46</v>
      </c>
      <c r="AL226" s="83" t="n">
        <f aca="false">IF($S226&gt;=2,IF(ISNUMBER(J226),J226*$F226,MIN($G226:$J226)*$F226),0)</f>
        <v>2490.35</v>
      </c>
      <c r="AM226" s="84" t="n">
        <f aca="false">IF($S226&gt;=2,$R226+ROW()/1000000,"")</f>
        <v>305.900226</v>
      </c>
      <c r="AN226" s="83" t="n">
        <f aca="false">IF($S226&gt;=2,MAX(G226:J226),"")</f>
        <v>2581.46</v>
      </c>
      <c r="AO226" s="82" t="str">
        <f aca="false">IF($S226&gt;=2,INDEX($G$6:$J$6,MATCH(MAX(G226:J226),G226:J226,0)),"")</f>
        <v>Mountainland</v>
      </c>
      <c r="AP226" s="83" t="n">
        <f aca="false">IF($S226&gt;=2,MIN(G226:J226)*$F226,0)</f>
        <v>2275.56</v>
      </c>
      <c r="AQ226" s="82" t="str">
        <f aca="false">IF($S226&gt;=2,INDEX($G$6:$J$6,MATCH(MIN(G226:J226),G226:J226,0)),"")</f>
        <v>Ferguson</v>
      </c>
    </row>
    <row r="227" customFormat="false" ht="15" hidden="false" customHeight="true" outlineLevel="0" collapsed="false">
      <c r="A227" s="70" t="s">
        <v>606</v>
      </c>
      <c r="B227" s="71" t="s">
        <v>604</v>
      </c>
      <c r="C227" s="72" t="s">
        <v>131</v>
      </c>
      <c r="D227" s="73" t="s">
        <v>607</v>
      </c>
      <c r="E227" s="74" t="s">
        <v>133</v>
      </c>
      <c r="F227" s="75" t="n">
        <v>1</v>
      </c>
      <c r="G227" s="76" t="n">
        <f aca="false">IF(COUNTIF('Quote Lines'!$P$3:$P$805,$A227&amp;"|"&amp;G$6&amp;"|1")=0,"—",SUMIFS('Quote Lines'!$O$3:$O$805,'Quote Lines'!$P$3:$P$805,$A227&amp;"|"&amp;G$6&amp;"|1")/SUMIFS('Quote Lines'!$L$3:$L$805,'Quote Lines'!$P$3:$P$805,$A227&amp;"|"&amp;G$6&amp;"|1"))</f>
        <v>704.98</v>
      </c>
      <c r="H227" s="76" t="n">
        <f aca="false">IF(COUNTIF('Quote Lines'!$P$3:$P$805,$A227&amp;"|"&amp;H$6&amp;"|1")=0,"—",SUMIFS('Quote Lines'!$O$3:$O$805,'Quote Lines'!$P$3:$P$805,$A227&amp;"|"&amp;H$6&amp;"|1")/SUMIFS('Quote Lines'!$L$3:$L$805,'Quote Lines'!$P$3:$P$805,$A227&amp;"|"&amp;H$6&amp;"|1"))</f>
        <v>736.59</v>
      </c>
      <c r="I227" s="76" t="n">
        <f aca="false">IF(COUNTIF('Quote Lines'!$P$3:$P$805,$A227&amp;"|"&amp;I$6&amp;"|1")=0,"—",SUMIFS('Quote Lines'!$O$3:$O$805,'Quote Lines'!$P$3:$P$805,$A227&amp;"|"&amp;I$6&amp;"|1")/SUMIFS('Quote Lines'!$L$3:$L$805,'Quote Lines'!$P$3:$P$805,$A227&amp;"|"&amp;I$6&amp;"|1"))</f>
        <v>799.76</v>
      </c>
      <c r="J227" s="76" t="n">
        <f aca="false">IF(COUNTIF('Quote Lines'!$P$3:$P$805,$A227&amp;"|"&amp;J$6&amp;"|1")=0,"—",SUMIFS('Quote Lines'!$O$3:$O$805,'Quote Lines'!$P$3:$P$805,$A227&amp;"|"&amp;J$6&amp;"|1")/SUMIFS('Quote Lines'!$L$3:$L$805,'Quote Lines'!$P$3:$P$805,$A227&amp;"|"&amp;J$6&amp;"|1"))</f>
        <v>784.77</v>
      </c>
      <c r="K227" s="14" t="n">
        <f aca="false">IF(ISNUMBER(G227),G227*$F227,"—")</f>
        <v>704.98</v>
      </c>
      <c r="L227" s="14" t="n">
        <f aca="false">IF(ISNUMBER(H227),H227*$F227,"—")</f>
        <v>736.59</v>
      </c>
      <c r="M227" s="14" t="n">
        <f aca="false">IF(ISNUMBER(I227),I227*$F227,"—")</f>
        <v>799.76</v>
      </c>
      <c r="N227" s="14" t="n">
        <f aca="false">IF(ISNUMBER(J227),J227*$F227,"—")</f>
        <v>784.77</v>
      </c>
      <c r="O227" s="77" t="n">
        <f aca="false">IF($S227=0,"—",MIN(G227:J227))</f>
        <v>704.98</v>
      </c>
      <c r="P227" s="42" t="str">
        <f aca="false">IF($S227=0,"—",IF(COUNTIF(G227:J227,O227)&gt;1,"Tie",INDEX($G$6:$J$6,MATCH(O227,G227:J227,0))))</f>
        <v>Ferguson</v>
      </c>
      <c r="Q227" s="48" t="n">
        <f aca="false">IF($S227&gt;=2,MAX(G227:J227)/MIN(G227:J227)-1,"—")</f>
        <v>0.134443530312917</v>
      </c>
      <c r="R227" s="78" t="n">
        <f aca="false">IF($S227&gt;=2,(MAX(G227:J227)-MIN(G227:J227))*$F227,"—")</f>
        <v>94.78</v>
      </c>
      <c r="S227" s="18" t="n">
        <f aca="false">COUNT(G227:J227)</f>
        <v>4</v>
      </c>
      <c r="T227" s="79" t="str">
        <f aca="false">IF($S227&lt;=1,IF($S227=1,"Single quote","—"),"Like-for-like")</f>
        <v>Like-for-like</v>
      </c>
      <c r="U227" s="79" t="str">
        <f aca="false">IF(COUNT(W227:Z227)&lt;2,"",IF(MAX(W227:Z227)=MIN(W227:Z227),"OK","Qty differs"))</f>
        <v>OK</v>
      </c>
      <c r="V227" s="80" t="s">
        <v>608</v>
      </c>
      <c r="W227" s="81" t="n">
        <f aca="false">IF(COUNTIFS('Quote Lines'!$P$3:$P$805,$A227&amp;"|"&amp;G$6&amp;"|1",'Quote Lines'!$M$3:$M$805,"Y")=0,"",SUMIFS('Quote Lines'!$L$3:$L$805,'Quote Lines'!$P$3:$P$805,$A227&amp;"|"&amp;G$6&amp;"|1",'Quote Lines'!$M$3:$M$805,"Y"))</f>
        <v>1</v>
      </c>
      <c r="X227" s="81" t="n">
        <f aca="false">IF(COUNTIFS('Quote Lines'!$P$3:$P$805,$A227&amp;"|"&amp;H$6&amp;"|1",'Quote Lines'!$M$3:$M$805,"Y")=0,"",SUMIFS('Quote Lines'!$L$3:$L$805,'Quote Lines'!$P$3:$P$805,$A227&amp;"|"&amp;H$6&amp;"|1",'Quote Lines'!$M$3:$M$805,"Y"))</f>
        <v>1</v>
      </c>
      <c r="Y227" s="81" t="n">
        <f aca="false">IF(COUNTIFS('Quote Lines'!$P$3:$P$805,$A227&amp;"|"&amp;I$6&amp;"|1",'Quote Lines'!$M$3:$M$805,"Y")=0,"",SUMIFS('Quote Lines'!$L$3:$L$805,'Quote Lines'!$P$3:$P$805,$A227&amp;"|"&amp;I$6&amp;"|1",'Quote Lines'!$M$3:$M$805,"Y"))</f>
        <v>1</v>
      </c>
      <c r="Z227" s="81" t="n">
        <f aca="false">IF(COUNTIFS('Quote Lines'!$P$3:$P$805,$A227&amp;"|"&amp;J$6&amp;"|1",'Quote Lines'!$M$3:$M$805,"Y")=0,"",SUMIFS('Quote Lines'!$L$3:$L$805,'Quote Lines'!$P$3:$P$805,$A227&amp;"|"&amp;J$6&amp;"|1",'Quote Lines'!$M$3:$M$805,"Y"))</f>
        <v>1</v>
      </c>
      <c r="AA227" s="82" t="n">
        <f aca="false">IF(ISNUMBER(G227),1+SUMPRODUCT(ISNUMBER($G227:$J227)*($G227:$J227&lt;G227)),"")</f>
        <v>1</v>
      </c>
      <c r="AB227" s="82" t="n">
        <f aca="false">IF(ISNUMBER(H227),1+SUMPRODUCT(ISNUMBER($G227:$J227)*($G227:$J227&lt;H227)),"")</f>
        <v>2</v>
      </c>
      <c r="AC227" s="82" t="n">
        <f aca="false">IF(ISNUMBER(I227),1+SUMPRODUCT(ISNUMBER($G227:$J227)*($G227:$J227&lt;I227)),"")</f>
        <v>4</v>
      </c>
      <c r="AD227" s="82" t="n">
        <f aca="false">IF(ISNUMBER(J227),1+SUMPRODUCT(ISNUMBER($G227:$J227)*($G227:$J227&lt;J227)),"")</f>
        <v>3</v>
      </c>
      <c r="AE227" s="82" t="n">
        <f aca="false">IF(NOT(ISNUMBER(G227)),0,IF($S227&lt;2,5,IF(AA227=1,1,IF(G227=MAX($G227:$J227),4,IF(AA227=2,2,3)))))</f>
        <v>1</v>
      </c>
      <c r="AF227" s="82" t="n">
        <f aca="false">IF(NOT(ISNUMBER(H227)),0,IF($S227&lt;2,5,IF(AB227=1,1,IF(H227=MAX($G227:$J227),4,IF(AB227=2,2,3)))))</f>
        <v>2</v>
      </c>
      <c r="AG227" s="82" t="n">
        <f aca="false">IF(NOT(ISNUMBER(I227)),0,IF($S227&lt;2,5,IF(AC227=1,1,IF(I227=MAX($G227:$J227),4,IF(AC227=2,2,3)))))</f>
        <v>4</v>
      </c>
      <c r="AH227" s="82" t="n">
        <f aca="false">IF(NOT(ISNUMBER(J227)),0,IF($S227&lt;2,5,IF(AD227=1,1,IF(J227=MAX($G227:$J227),4,IF(AD227=2,2,3)))))</f>
        <v>3</v>
      </c>
      <c r="AI227" s="83" t="n">
        <f aca="false">IF($S227&gt;=2,IF(ISNUMBER(G227),G227*$F227,MIN($G227:$J227)*$F227),0)</f>
        <v>704.98</v>
      </c>
      <c r="AJ227" s="83" t="n">
        <f aca="false">IF($S227&gt;=2,IF(ISNUMBER(H227),H227*$F227,MIN($G227:$J227)*$F227),0)</f>
        <v>736.59</v>
      </c>
      <c r="AK227" s="83" t="n">
        <f aca="false">IF($S227&gt;=2,IF(ISNUMBER(I227),I227*$F227,MIN($G227:$J227)*$F227),0)</f>
        <v>799.76</v>
      </c>
      <c r="AL227" s="83" t="n">
        <f aca="false">IF($S227&gt;=2,IF(ISNUMBER(J227),J227*$F227,MIN($G227:$J227)*$F227),0)</f>
        <v>784.77</v>
      </c>
      <c r="AM227" s="84" t="n">
        <f aca="false">IF($S227&gt;=2,$R227+ROW()/1000000,"")</f>
        <v>94.780227</v>
      </c>
      <c r="AN227" s="83" t="n">
        <f aca="false">IF($S227&gt;=2,MAX(G227:J227),"")</f>
        <v>799.76</v>
      </c>
      <c r="AO227" s="82" t="str">
        <f aca="false">IF($S227&gt;=2,INDEX($G$6:$J$6,MATCH(MAX(G227:J227),G227:J227,0)),"")</f>
        <v>Mountainland</v>
      </c>
      <c r="AP227" s="83" t="n">
        <f aca="false">IF($S227&gt;=2,MIN(G227:J227)*$F227,0)</f>
        <v>704.98</v>
      </c>
      <c r="AQ227" s="82" t="str">
        <f aca="false">IF($S227&gt;=2,INDEX($G$6:$J$6,MATCH(MIN(G227:J227),G227:J227,0)),"")</f>
        <v>Ferguson</v>
      </c>
    </row>
    <row r="228" customFormat="false" ht="15" hidden="false" customHeight="true" outlineLevel="0" collapsed="false">
      <c r="A228" s="70" t="s">
        <v>609</v>
      </c>
      <c r="B228" s="71" t="s">
        <v>604</v>
      </c>
      <c r="C228" s="72" t="s">
        <v>294</v>
      </c>
      <c r="D228" s="73" t="s">
        <v>295</v>
      </c>
      <c r="E228" s="74" t="s">
        <v>133</v>
      </c>
      <c r="F228" s="75" t="n">
        <v>2</v>
      </c>
      <c r="G228" s="76" t="n">
        <f aca="false">IF(COUNTIF('Quote Lines'!$P$3:$P$805,$A228&amp;"|"&amp;G$6&amp;"|1")=0,"—",SUMIFS('Quote Lines'!$O$3:$O$805,'Quote Lines'!$P$3:$P$805,$A228&amp;"|"&amp;G$6&amp;"|1")/SUMIFS('Quote Lines'!$L$3:$L$805,'Quote Lines'!$P$3:$P$805,$A228&amp;"|"&amp;G$6&amp;"|1"))</f>
        <v>232.95</v>
      </c>
      <c r="H228" s="76" t="n">
        <f aca="false">IF(COUNTIF('Quote Lines'!$P$3:$P$805,$A228&amp;"|"&amp;H$6&amp;"|1")=0,"—",SUMIFS('Quote Lines'!$O$3:$O$805,'Quote Lines'!$P$3:$P$805,$A228&amp;"|"&amp;H$6&amp;"|1")/SUMIFS('Quote Lines'!$L$3:$L$805,'Quote Lines'!$P$3:$P$805,$A228&amp;"|"&amp;H$6&amp;"|1"))</f>
        <v>345.91</v>
      </c>
      <c r="I228" s="76" t="n">
        <f aca="false">IF(COUNTIF('Quote Lines'!$P$3:$P$805,$A228&amp;"|"&amp;I$6&amp;"|1")=0,"—",SUMIFS('Quote Lines'!$O$3:$O$805,'Quote Lines'!$P$3:$P$805,$A228&amp;"|"&amp;I$6&amp;"|1")/SUMIFS('Quote Lines'!$L$3:$L$805,'Quote Lines'!$P$3:$P$805,$A228&amp;"|"&amp;I$6&amp;"|1"))</f>
        <v>241.175</v>
      </c>
      <c r="J228" s="76" t="n">
        <f aca="false">IF(COUNTIF('Quote Lines'!$P$3:$P$805,$A228&amp;"|"&amp;J$6&amp;"|1")=0,"—",SUMIFS('Quote Lines'!$O$3:$O$805,'Quote Lines'!$P$3:$P$805,$A228&amp;"|"&amp;J$6&amp;"|1")/SUMIFS('Quote Lines'!$L$3:$L$805,'Quote Lines'!$P$3:$P$805,$A228&amp;"|"&amp;J$6&amp;"|1"))</f>
        <v>399.53</v>
      </c>
      <c r="K228" s="14" t="n">
        <f aca="false">IF(ISNUMBER(G228),G228*$F228,"—")</f>
        <v>465.9</v>
      </c>
      <c r="L228" s="14" t="n">
        <f aca="false">IF(ISNUMBER(H228),H228*$F228,"—")</f>
        <v>691.82</v>
      </c>
      <c r="M228" s="14" t="n">
        <f aca="false">IF(ISNUMBER(I228),I228*$F228,"—")</f>
        <v>482.35</v>
      </c>
      <c r="N228" s="14" t="n">
        <f aca="false">IF(ISNUMBER(J228),J228*$F228,"—")</f>
        <v>799.06</v>
      </c>
      <c r="O228" s="77" t="n">
        <f aca="false">IF($S228=0,"—",MIN(G228:J228))</f>
        <v>232.95</v>
      </c>
      <c r="P228" s="42" t="str">
        <f aca="false">IF($S228=0,"—",IF(COUNTIF(G228:J228,O228)&gt;1,"Tie",INDEX($G$6:$J$6,MATCH(O228,G228:J228,0))))</f>
        <v>Ferguson</v>
      </c>
      <c r="Q228" s="48" t="n">
        <f aca="false">IF($S228&gt;=2,MAX(G228:J228)/MIN(G228:J228)-1,"—")</f>
        <v>0.715089074908779</v>
      </c>
      <c r="R228" s="78" t="n">
        <f aca="false">IF($S228&gt;=2,(MAX(G228:J228)-MIN(G228:J228))*$F228,"—")</f>
        <v>333.16</v>
      </c>
      <c r="S228" s="18" t="n">
        <f aca="false">COUNT(G228:J228)</f>
        <v>4</v>
      </c>
      <c r="T228" s="79" t="str">
        <f aca="false">IF($S228&lt;=1,IF($S228=1,"Single quote","—"),"Like-for-like")</f>
        <v>Like-for-like</v>
      </c>
      <c r="U228" s="79" t="str">
        <f aca="false">IF(COUNT(W228:Z228)&lt;2,"",IF(MAX(W228:Z228)=MIN(W228:Z228),"OK","Qty differs"))</f>
        <v>Qty differs</v>
      </c>
      <c r="V228" s="80" t="s">
        <v>610</v>
      </c>
      <c r="W228" s="81" t="n">
        <f aca="false">IF(COUNTIFS('Quote Lines'!$P$3:$P$805,$A228&amp;"|"&amp;G$6&amp;"|1",'Quote Lines'!$M$3:$M$805,"Y")=0,"",SUMIFS('Quote Lines'!$L$3:$L$805,'Quote Lines'!$P$3:$P$805,$A228&amp;"|"&amp;G$6&amp;"|1",'Quote Lines'!$M$3:$M$805,"Y"))</f>
        <v>2</v>
      </c>
      <c r="X228" s="81" t="n">
        <f aca="false">IF(COUNTIFS('Quote Lines'!$P$3:$P$805,$A228&amp;"|"&amp;H$6&amp;"|1",'Quote Lines'!$M$3:$M$805,"Y")=0,"",SUMIFS('Quote Lines'!$L$3:$L$805,'Quote Lines'!$P$3:$P$805,$A228&amp;"|"&amp;H$6&amp;"|1",'Quote Lines'!$M$3:$M$805,"Y"))</f>
        <v>3</v>
      </c>
      <c r="Y228" s="81" t="n">
        <f aca="false">IF(COUNTIFS('Quote Lines'!$P$3:$P$805,$A228&amp;"|"&amp;I$6&amp;"|1",'Quote Lines'!$M$3:$M$805,"Y")=0,"",SUMIFS('Quote Lines'!$L$3:$L$805,'Quote Lines'!$P$3:$P$805,$A228&amp;"|"&amp;I$6&amp;"|1",'Quote Lines'!$M$3:$M$805,"Y"))</f>
        <v>2</v>
      </c>
      <c r="Z228" s="81" t="n">
        <f aca="false">IF(COUNTIFS('Quote Lines'!$P$3:$P$805,$A228&amp;"|"&amp;J$6&amp;"|1",'Quote Lines'!$M$3:$M$805,"Y")=0,"",SUMIFS('Quote Lines'!$L$3:$L$805,'Quote Lines'!$P$3:$P$805,$A228&amp;"|"&amp;J$6&amp;"|1",'Quote Lines'!$M$3:$M$805,"Y"))</f>
        <v>2</v>
      </c>
      <c r="AA228" s="82" t="n">
        <f aca="false">IF(ISNUMBER(G228),1+SUMPRODUCT(ISNUMBER($G228:$J228)*($G228:$J228&lt;G228)),"")</f>
        <v>1</v>
      </c>
      <c r="AB228" s="82" t="n">
        <f aca="false">IF(ISNUMBER(H228),1+SUMPRODUCT(ISNUMBER($G228:$J228)*($G228:$J228&lt;H228)),"")</f>
        <v>3</v>
      </c>
      <c r="AC228" s="82" t="n">
        <f aca="false">IF(ISNUMBER(I228),1+SUMPRODUCT(ISNUMBER($G228:$J228)*($G228:$J228&lt;I228)),"")</f>
        <v>2</v>
      </c>
      <c r="AD228" s="82" t="n">
        <f aca="false">IF(ISNUMBER(J228),1+SUMPRODUCT(ISNUMBER($G228:$J228)*($G228:$J228&lt;J228)),"")</f>
        <v>4</v>
      </c>
      <c r="AE228" s="82" t="n">
        <f aca="false">IF(NOT(ISNUMBER(G228)),0,IF($S228&lt;2,5,IF(AA228=1,1,IF(G228=MAX($G228:$J228),4,IF(AA228=2,2,3)))))</f>
        <v>1</v>
      </c>
      <c r="AF228" s="82" t="n">
        <f aca="false">IF(NOT(ISNUMBER(H228)),0,IF($S228&lt;2,5,IF(AB228=1,1,IF(H228=MAX($G228:$J228),4,IF(AB228=2,2,3)))))</f>
        <v>3</v>
      </c>
      <c r="AG228" s="82" t="n">
        <f aca="false">IF(NOT(ISNUMBER(I228)),0,IF($S228&lt;2,5,IF(AC228=1,1,IF(I228=MAX($G228:$J228),4,IF(AC228=2,2,3)))))</f>
        <v>2</v>
      </c>
      <c r="AH228" s="82" t="n">
        <f aca="false">IF(NOT(ISNUMBER(J228)),0,IF($S228&lt;2,5,IF(AD228=1,1,IF(J228=MAX($G228:$J228),4,IF(AD228=2,2,3)))))</f>
        <v>4</v>
      </c>
      <c r="AI228" s="83" t="n">
        <f aca="false">IF($S228&gt;=2,IF(ISNUMBER(G228),G228*$F228,MIN($G228:$J228)*$F228),0)</f>
        <v>465.9</v>
      </c>
      <c r="AJ228" s="83" t="n">
        <f aca="false">IF($S228&gt;=2,IF(ISNUMBER(H228),H228*$F228,MIN($G228:$J228)*$F228),0)</f>
        <v>691.82</v>
      </c>
      <c r="AK228" s="83" t="n">
        <f aca="false">IF($S228&gt;=2,IF(ISNUMBER(I228),I228*$F228,MIN($G228:$J228)*$F228),0)</f>
        <v>482.35</v>
      </c>
      <c r="AL228" s="83" t="n">
        <f aca="false">IF($S228&gt;=2,IF(ISNUMBER(J228),J228*$F228,MIN($G228:$J228)*$F228),0)</f>
        <v>799.06</v>
      </c>
      <c r="AM228" s="84" t="n">
        <f aca="false">IF($S228&gt;=2,$R228+ROW()/1000000,"")</f>
        <v>333.160228</v>
      </c>
      <c r="AN228" s="83" t="n">
        <f aca="false">IF($S228&gt;=2,MAX(G228:J228),"")</f>
        <v>399.53</v>
      </c>
      <c r="AO228" s="82" t="str">
        <f aca="false">IF($S228&gt;=2,INDEX($G$6:$J$6,MATCH(MAX(G228:J228),G228:J228,0)),"")</f>
        <v>Scholzen</v>
      </c>
      <c r="AP228" s="83" t="n">
        <f aca="false">IF($S228&gt;=2,MIN(G228:J228)*$F228,0)</f>
        <v>465.9</v>
      </c>
      <c r="AQ228" s="82" t="str">
        <f aca="false">IF($S228&gt;=2,INDEX($G$6:$J$6,MATCH(MIN(G228:J228),G228:J228,0)),"")</f>
        <v>Ferguson</v>
      </c>
    </row>
    <row r="229" customFormat="false" ht="15" hidden="false" customHeight="true" outlineLevel="0" collapsed="false">
      <c r="A229" s="70" t="s">
        <v>611</v>
      </c>
      <c r="B229" s="71" t="s">
        <v>604</v>
      </c>
      <c r="C229" s="72" t="s">
        <v>308</v>
      </c>
      <c r="D229" s="73" t="s">
        <v>309</v>
      </c>
      <c r="E229" s="74" t="s">
        <v>310</v>
      </c>
      <c r="F229" s="75" t="n">
        <v>2</v>
      </c>
      <c r="G229" s="85" t="s">
        <v>138</v>
      </c>
      <c r="H229" s="85" t="s">
        <v>138</v>
      </c>
      <c r="I229" s="85" t="s">
        <v>138</v>
      </c>
      <c r="J229" s="76" t="n">
        <f aca="false">IF(COUNTIF('Quote Lines'!$P$3:$P$805,$A229&amp;"|"&amp;J$6&amp;"|1")=0,"—",SUMIFS('Quote Lines'!$O$3:$O$805,'Quote Lines'!$P$3:$P$805,$A229&amp;"|"&amp;J$6&amp;"|1")/SUMIFS('Quote Lines'!$L$3:$L$805,'Quote Lines'!$P$3:$P$805,$A229&amp;"|"&amp;J$6&amp;"|1"))</f>
        <v>80.28</v>
      </c>
      <c r="K229" s="14" t="str">
        <f aca="false">IF(ISNUMBER(G229),G229*$F229,"—")</f>
        <v>—</v>
      </c>
      <c r="L229" s="14" t="str">
        <f aca="false">IF(ISNUMBER(H229),H229*$F229,"—")</f>
        <v>—</v>
      </c>
      <c r="M229" s="14" t="str">
        <f aca="false">IF(ISNUMBER(I229),I229*$F229,"—")</f>
        <v>—</v>
      </c>
      <c r="N229" s="14" t="n">
        <f aca="false">IF(ISNUMBER(J229),J229*$F229,"—")</f>
        <v>160.56</v>
      </c>
      <c r="O229" s="77" t="n">
        <f aca="false">IF($S229=0,"—",MIN(G229:J229))</f>
        <v>80.28</v>
      </c>
      <c r="P229" s="42" t="str">
        <f aca="false">IF($S229=0,"—",IF(COUNTIF(G229:J229,O229)&gt;1,"Tie",INDEX($G$6:$J$6,MATCH(O229,G229:J229,0))))</f>
        <v>Scholzen</v>
      </c>
      <c r="Q229" s="48" t="str">
        <f aca="false">IF($S229&gt;=2,MAX(G229:J229)/MIN(G229:J229)-1,"—")</f>
        <v>—</v>
      </c>
      <c r="R229" s="78" t="str">
        <f aca="false">IF($S229&gt;=2,(MAX(G229:J229)-MIN(G229:J229))*$F229,"—")</f>
        <v>—</v>
      </c>
      <c r="S229" s="18" t="n">
        <f aca="false">COUNT(G229:J229)</f>
        <v>1</v>
      </c>
      <c r="T229" s="79" t="str">
        <f aca="false">IF($S229&lt;=1,IF($S229=1,"Single quote","—"),"Like-for-like")</f>
        <v>Single quote</v>
      </c>
      <c r="U229" s="79" t="str">
        <f aca="false">IF(COUNT(W229:Z229)&lt;2,"",IF(MAX(W229:Z229)=MIN(W229:Z229),"OK","Qty differs"))</f>
        <v/>
      </c>
      <c r="V229" s="80" t="s">
        <v>612</v>
      </c>
      <c r="W229" s="81"/>
      <c r="X229" s="81"/>
      <c r="Y229" s="81"/>
      <c r="Z229" s="81" t="n">
        <f aca="false">IF(COUNTIFS('Quote Lines'!$P$3:$P$805,$A229&amp;"|"&amp;J$6&amp;"|1",'Quote Lines'!$M$3:$M$805,"Y")=0,"",SUMIFS('Quote Lines'!$L$3:$L$805,'Quote Lines'!$P$3:$P$805,$A229&amp;"|"&amp;J$6&amp;"|1",'Quote Lines'!$M$3:$M$805,"Y"))</f>
        <v>2</v>
      </c>
      <c r="AA229" s="82" t="str">
        <f aca="false">IF(ISNUMBER(G229),1+SUMPRODUCT(ISNUMBER($G229:$J229)*($G229:$J229&lt;G229)),"")</f>
        <v/>
      </c>
      <c r="AB229" s="82" t="str">
        <f aca="false">IF(ISNUMBER(H229),1+SUMPRODUCT(ISNUMBER($G229:$J229)*($G229:$J229&lt;H229)),"")</f>
        <v/>
      </c>
      <c r="AC229" s="82" t="str">
        <f aca="false">IF(ISNUMBER(I229),1+SUMPRODUCT(ISNUMBER($G229:$J229)*($G229:$J229&lt;I229)),"")</f>
        <v/>
      </c>
      <c r="AD229" s="82" t="n">
        <f aca="false">IF(ISNUMBER(J229),1+SUMPRODUCT(ISNUMBER($G229:$J229)*($G229:$J229&lt;J229)),"")</f>
        <v>1</v>
      </c>
      <c r="AE229" s="82" t="n">
        <f aca="false">IF(NOT(ISNUMBER(G229)),0,IF($S229&lt;2,5,IF(AA229=1,1,IF(G229=MAX($G229:$J229),4,IF(AA229=2,2,3)))))</f>
        <v>0</v>
      </c>
      <c r="AF229" s="82" t="n">
        <f aca="false">IF(NOT(ISNUMBER(H229)),0,IF($S229&lt;2,5,IF(AB229=1,1,IF(H229=MAX($G229:$J229),4,IF(AB229=2,2,3)))))</f>
        <v>0</v>
      </c>
      <c r="AG229" s="82" t="n">
        <f aca="false">IF(NOT(ISNUMBER(I229)),0,IF($S229&lt;2,5,IF(AC229=1,1,IF(I229=MAX($G229:$J229),4,IF(AC229=2,2,3)))))</f>
        <v>0</v>
      </c>
      <c r="AH229" s="82" t="n">
        <f aca="false">IF(NOT(ISNUMBER(J229)),0,IF($S229&lt;2,5,IF(AD229=1,1,IF(J229=MAX($G229:$J229),4,IF(AD229=2,2,3)))))</f>
        <v>5</v>
      </c>
      <c r="AI229" s="83" t="n">
        <f aca="false">IF($S229&gt;=2,IF(ISNUMBER(G229),G229*$F229,MIN($G229:$J229)*$F229),0)</f>
        <v>0</v>
      </c>
      <c r="AJ229" s="83" t="n">
        <f aca="false">IF($S229&gt;=2,IF(ISNUMBER(H229),H229*$F229,MIN($G229:$J229)*$F229),0)</f>
        <v>0</v>
      </c>
      <c r="AK229" s="83" t="n">
        <f aca="false">IF($S229&gt;=2,IF(ISNUMBER(I229),I229*$F229,MIN($G229:$J229)*$F229),0)</f>
        <v>0</v>
      </c>
      <c r="AL229" s="83" t="n">
        <f aca="false">IF($S229&gt;=2,IF(ISNUMBER(J229),J229*$F229,MIN($G229:$J229)*$F229),0)</f>
        <v>0</v>
      </c>
      <c r="AM229" s="84" t="str">
        <f aca="false">IF($S229&gt;=2,$R229+ROW()/1000000,"")</f>
        <v/>
      </c>
      <c r="AN229" s="83" t="str">
        <f aca="false">IF($S229&gt;=2,MAX(G229:J229),"")</f>
        <v/>
      </c>
      <c r="AO229" s="82" t="str">
        <f aca="false">IF($S229&gt;=2,INDEX($G$6:$J$6,MATCH(MAX(G229:J229),G229:J229,0)),"")</f>
        <v/>
      </c>
      <c r="AP229" s="83" t="n">
        <f aca="false">IF($S229&gt;=2,MIN(G229:J229)*$F229,0)</f>
        <v>0</v>
      </c>
      <c r="AQ229" s="82" t="str">
        <f aca="false">IF($S229&gt;=2,INDEX($G$6:$J$6,MATCH(MIN(G229:J229),G229:J229,0)),"")</f>
        <v/>
      </c>
    </row>
    <row r="230" customFormat="false" ht="15" hidden="false" customHeight="true" outlineLevel="0" collapsed="false">
      <c r="A230" s="70" t="s">
        <v>613</v>
      </c>
      <c r="B230" s="71" t="s">
        <v>604</v>
      </c>
      <c r="C230" s="72" t="s">
        <v>308</v>
      </c>
      <c r="D230" s="73" t="s">
        <v>313</v>
      </c>
      <c r="E230" s="74" t="s">
        <v>310</v>
      </c>
      <c r="F230" s="75" t="n">
        <v>1</v>
      </c>
      <c r="G230" s="85" t="s">
        <v>138</v>
      </c>
      <c r="H230" s="85" t="s">
        <v>138</v>
      </c>
      <c r="I230" s="85" t="s">
        <v>138</v>
      </c>
      <c r="J230" s="76" t="n">
        <f aca="false">IF(COUNTIF('Quote Lines'!$P$3:$P$805,$A230&amp;"|"&amp;J$6&amp;"|1")=0,"—",SUMIFS('Quote Lines'!$O$3:$O$805,'Quote Lines'!$P$3:$P$805,$A230&amp;"|"&amp;J$6&amp;"|1")/SUMIFS('Quote Lines'!$L$3:$L$805,'Quote Lines'!$P$3:$P$805,$A230&amp;"|"&amp;J$6&amp;"|1"))</f>
        <v>58.13</v>
      </c>
      <c r="K230" s="14" t="str">
        <f aca="false">IF(ISNUMBER(G230),G230*$F230,"—")</f>
        <v>—</v>
      </c>
      <c r="L230" s="14" t="str">
        <f aca="false">IF(ISNUMBER(H230),H230*$F230,"—")</f>
        <v>—</v>
      </c>
      <c r="M230" s="14" t="str">
        <f aca="false">IF(ISNUMBER(I230),I230*$F230,"—")</f>
        <v>—</v>
      </c>
      <c r="N230" s="14" t="n">
        <f aca="false">IF(ISNUMBER(J230),J230*$F230,"—")</f>
        <v>58.13</v>
      </c>
      <c r="O230" s="77" t="n">
        <f aca="false">IF($S230=0,"—",MIN(G230:J230))</f>
        <v>58.13</v>
      </c>
      <c r="P230" s="42" t="str">
        <f aca="false">IF($S230=0,"—",IF(COUNTIF(G230:J230,O230)&gt;1,"Tie",INDEX($G$6:$J$6,MATCH(O230,G230:J230,0))))</f>
        <v>Scholzen</v>
      </c>
      <c r="Q230" s="48" t="str">
        <f aca="false">IF($S230&gt;=2,MAX(G230:J230)/MIN(G230:J230)-1,"—")</f>
        <v>—</v>
      </c>
      <c r="R230" s="78" t="str">
        <f aca="false">IF($S230&gt;=2,(MAX(G230:J230)-MIN(G230:J230))*$F230,"—")</f>
        <v>—</v>
      </c>
      <c r="S230" s="18" t="n">
        <f aca="false">COUNT(G230:J230)</f>
        <v>1</v>
      </c>
      <c r="T230" s="79" t="str">
        <f aca="false">IF($S230&lt;=1,IF($S230=1,"Single quote","—"),"Like-for-like")</f>
        <v>Single quote</v>
      </c>
      <c r="U230" s="79" t="str">
        <f aca="false">IF(COUNT(W230:Z230)&lt;2,"",IF(MAX(W230:Z230)=MIN(W230:Z230),"OK","Qty differs"))</f>
        <v/>
      </c>
      <c r="V230" s="80"/>
      <c r="W230" s="81"/>
      <c r="X230" s="81"/>
      <c r="Y230" s="81"/>
      <c r="Z230" s="81" t="n">
        <f aca="false">IF(COUNTIFS('Quote Lines'!$P$3:$P$805,$A230&amp;"|"&amp;J$6&amp;"|1",'Quote Lines'!$M$3:$M$805,"Y")=0,"",SUMIFS('Quote Lines'!$L$3:$L$805,'Quote Lines'!$P$3:$P$805,$A230&amp;"|"&amp;J$6&amp;"|1",'Quote Lines'!$M$3:$M$805,"Y"))</f>
        <v>1</v>
      </c>
      <c r="AA230" s="82" t="str">
        <f aca="false">IF(ISNUMBER(G230),1+SUMPRODUCT(ISNUMBER($G230:$J230)*($G230:$J230&lt;G230)),"")</f>
        <v/>
      </c>
      <c r="AB230" s="82" t="str">
        <f aca="false">IF(ISNUMBER(H230),1+SUMPRODUCT(ISNUMBER($G230:$J230)*($G230:$J230&lt;H230)),"")</f>
        <v/>
      </c>
      <c r="AC230" s="82" t="str">
        <f aca="false">IF(ISNUMBER(I230),1+SUMPRODUCT(ISNUMBER($G230:$J230)*($G230:$J230&lt;I230)),"")</f>
        <v/>
      </c>
      <c r="AD230" s="82" t="n">
        <f aca="false">IF(ISNUMBER(J230),1+SUMPRODUCT(ISNUMBER($G230:$J230)*($G230:$J230&lt;J230)),"")</f>
        <v>1</v>
      </c>
      <c r="AE230" s="82" t="n">
        <f aca="false">IF(NOT(ISNUMBER(G230)),0,IF($S230&lt;2,5,IF(AA230=1,1,IF(G230=MAX($G230:$J230),4,IF(AA230=2,2,3)))))</f>
        <v>0</v>
      </c>
      <c r="AF230" s="82" t="n">
        <f aca="false">IF(NOT(ISNUMBER(H230)),0,IF($S230&lt;2,5,IF(AB230=1,1,IF(H230=MAX($G230:$J230),4,IF(AB230=2,2,3)))))</f>
        <v>0</v>
      </c>
      <c r="AG230" s="82" t="n">
        <f aca="false">IF(NOT(ISNUMBER(I230)),0,IF($S230&lt;2,5,IF(AC230=1,1,IF(I230=MAX($G230:$J230),4,IF(AC230=2,2,3)))))</f>
        <v>0</v>
      </c>
      <c r="AH230" s="82" t="n">
        <f aca="false">IF(NOT(ISNUMBER(J230)),0,IF($S230&lt;2,5,IF(AD230=1,1,IF(J230=MAX($G230:$J230),4,IF(AD230=2,2,3)))))</f>
        <v>5</v>
      </c>
      <c r="AI230" s="83" t="n">
        <f aca="false">IF($S230&gt;=2,IF(ISNUMBER(G230),G230*$F230,MIN($G230:$J230)*$F230),0)</f>
        <v>0</v>
      </c>
      <c r="AJ230" s="83" t="n">
        <f aca="false">IF($S230&gt;=2,IF(ISNUMBER(H230),H230*$F230,MIN($G230:$J230)*$F230),0)</f>
        <v>0</v>
      </c>
      <c r="AK230" s="83" t="n">
        <f aca="false">IF($S230&gt;=2,IF(ISNUMBER(I230),I230*$F230,MIN($G230:$J230)*$F230),0)</f>
        <v>0</v>
      </c>
      <c r="AL230" s="83" t="n">
        <f aca="false">IF($S230&gt;=2,IF(ISNUMBER(J230),J230*$F230,MIN($G230:$J230)*$F230),0)</f>
        <v>0</v>
      </c>
      <c r="AM230" s="84" t="str">
        <f aca="false">IF($S230&gt;=2,$R230+ROW()/1000000,"")</f>
        <v/>
      </c>
      <c r="AN230" s="83" t="str">
        <f aca="false">IF($S230&gt;=2,MAX(G230:J230),"")</f>
        <v/>
      </c>
      <c r="AO230" s="82" t="str">
        <f aca="false">IF($S230&gt;=2,INDEX($G$6:$J$6,MATCH(MAX(G230:J230),G230:J230,0)),"")</f>
        <v/>
      </c>
      <c r="AP230" s="83" t="n">
        <f aca="false">IF($S230&gt;=2,MIN(G230:J230)*$F230,0)</f>
        <v>0</v>
      </c>
      <c r="AQ230" s="82" t="str">
        <f aca="false">IF($S230&gt;=2,INDEX($G$6:$J$6,MATCH(MIN(G230:J230),G230:J230,0)),"")</f>
        <v/>
      </c>
    </row>
    <row r="231" customFormat="false" ht="19.5" hidden="false" customHeight="true" outlineLevel="0" collapsed="false">
      <c r="A231" s="69"/>
      <c r="B231" s="9" t="s">
        <v>614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 customFormat="false" ht="15" hidden="false" customHeight="true" outlineLevel="0" collapsed="false">
      <c r="A232" s="70" t="s">
        <v>615</v>
      </c>
      <c r="B232" s="71" t="s">
        <v>616</v>
      </c>
      <c r="C232" s="72" t="s">
        <v>131</v>
      </c>
      <c r="D232" s="73" t="s">
        <v>617</v>
      </c>
      <c r="E232" s="74" t="s">
        <v>133</v>
      </c>
      <c r="F232" s="75" t="n">
        <v>1</v>
      </c>
      <c r="G232" s="76" t="n">
        <f aca="false">IF(COUNTIF('Quote Lines'!$P$3:$P$805,$A232&amp;"|"&amp;G$6&amp;"|1")=0,"—",SUMIFS('Quote Lines'!$O$3:$O$805,'Quote Lines'!$P$3:$P$805,$A232&amp;"|"&amp;G$6&amp;"|1")/SUMIFS('Quote Lines'!$L$3:$L$805,'Quote Lines'!$P$3:$P$805,$A232&amp;"|"&amp;G$6&amp;"|1"))</f>
        <v>17395.7</v>
      </c>
      <c r="H232" s="76" t="n">
        <f aca="false">IF(COUNTIF('Quote Lines'!$P$3:$P$805,$A232&amp;"|"&amp;H$6&amp;"|1")=0,"—",SUMIFS('Quote Lines'!$O$3:$O$805,'Quote Lines'!$P$3:$P$805,$A232&amp;"|"&amp;H$6&amp;"|1")/SUMIFS('Quote Lines'!$L$3:$L$805,'Quote Lines'!$P$3:$P$805,$A232&amp;"|"&amp;H$6&amp;"|1"))</f>
        <v>16747.41</v>
      </c>
      <c r="I232" s="76" t="n">
        <f aca="false">IF(COUNTIF('Quote Lines'!$P$3:$P$805,$A232&amp;"|"&amp;I$6&amp;"|1")=0,"—",SUMIFS('Quote Lines'!$O$3:$O$805,'Quote Lines'!$P$3:$P$805,$A232&amp;"|"&amp;I$6&amp;"|1")/SUMIFS('Quote Lines'!$L$3:$L$805,'Quote Lines'!$P$3:$P$805,$A232&amp;"|"&amp;I$6&amp;"|1"))</f>
        <v>18638.25</v>
      </c>
      <c r="J232" s="76" t="n">
        <f aca="false">IF(COUNTIF('Quote Lines'!$P$3:$P$805,$A232&amp;"|"&amp;J$6&amp;"|1")=0,"—",SUMIFS('Quote Lines'!$O$3:$O$805,'Quote Lines'!$P$3:$P$805,$A232&amp;"|"&amp;J$6&amp;"|1")/SUMIFS('Quote Lines'!$L$3:$L$805,'Quote Lines'!$P$3:$P$805,$A232&amp;"|"&amp;J$6&amp;"|1"))</f>
        <v>16567.35</v>
      </c>
      <c r="K232" s="14" t="n">
        <f aca="false">IF(ISNUMBER(G232),G232*$F232,"—")</f>
        <v>17395.7</v>
      </c>
      <c r="L232" s="14" t="n">
        <f aca="false">IF(ISNUMBER(H232),H232*$F232,"—")</f>
        <v>16747.41</v>
      </c>
      <c r="M232" s="14" t="n">
        <f aca="false">IF(ISNUMBER(I232),I232*$F232,"—")</f>
        <v>18638.25</v>
      </c>
      <c r="N232" s="14" t="n">
        <f aca="false">IF(ISNUMBER(J232),J232*$F232,"—")</f>
        <v>16567.35</v>
      </c>
      <c r="O232" s="77" t="n">
        <f aca="false">IF($S232=0,"—",MIN(G232:J232))</f>
        <v>16567.35</v>
      </c>
      <c r="P232" s="42" t="str">
        <f aca="false">IF($S232=0,"—",IF(COUNTIF(G232:J232,O232)&gt;1,"Tie",INDEX($G$6:$J$6,MATCH(O232,G232:J232,0))))</f>
        <v>Scholzen</v>
      </c>
      <c r="Q232" s="48" t="n">
        <f aca="false">IF($S232&gt;=2,MAX(G232:J232)/MIN(G232:J232)-1,"—")</f>
        <v>0.124998868255937</v>
      </c>
      <c r="R232" s="78" t="n">
        <f aca="false">IF($S232&gt;=2,(MAX(G232:J232)-MIN(G232:J232))*$F232,"—")</f>
        <v>2070.9</v>
      </c>
      <c r="S232" s="18" t="n">
        <f aca="false">COUNT(G232:J232)</f>
        <v>4</v>
      </c>
      <c r="T232" s="79" t="str">
        <f aca="false">IF($S232&lt;=1,IF($S232=1,"Single quote","—"),"Like-for-like")</f>
        <v>Like-for-like</v>
      </c>
      <c r="U232" s="79" t="str">
        <f aca="false">IF(COUNT(W232:Z232)&lt;2,"",IF(MAX(W232:Z232)=MIN(W232:Z232),"OK","Qty differs"))</f>
        <v>OK</v>
      </c>
      <c r="V232" s="80"/>
      <c r="W232" s="81" t="n">
        <f aca="false">IF(COUNTIFS('Quote Lines'!$P$3:$P$805,$A232&amp;"|"&amp;G$6&amp;"|1",'Quote Lines'!$M$3:$M$805,"Y")=0,"",SUMIFS('Quote Lines'!$L$3:$L$805,'Quote Lines'!$P$3:$P$805,$A232&amp;"|"&amp;G$6&amp;"|1",'Quote Lines'!$M$3:$M$805,"Y"))</f>
        <v>1</v>
      </c>
      <c r="X232" s="81" t="n">
        <f aca="false">IF(COUNTIFS('Quote Lines'!$P$3:$P$805,$A232&amp;"|"&amp;H$6&amp;"|1",'Quote Lines'!$M$3:$M$805,"Y")=0,"",SUMIFS('Quote Lines'!$L$3:$L$805,'Quote Lines'!$P$3:$P$805,$A232&amp;"|"&amp;H$6&amp;"|1",'Quote Lines'!$M$3:$M$805,"Y"))</f>
        <v>1</v>
      </c>
      <c r="Y232" s="81" t="n">
        <f aca="false">IF(COUNTIFS('Quote Lines'!$P$3:$P$805,$A232&amp;"|"&amp;I$6&amp;"|1",'Quote Lines'!$M$3:$M$805,"Y")=0,"",SUMIFS('Quote Lines'!$L$3:$L$805,'Quote Lines'!$P$3:$P$805,$A232&amp;"|"&amp;I$6&amp;"|1",'Quote Lines'!$M$3:$M$805,"Y"))</f>
        <v>1</v>
      </c>
      <c r="Z232" s="81" t="n">
        <f aca="false">IF(COUNTIFS('Quote Lines'!$P$3:$P$805,$A232&amp;"|"&amp;J$6&amp;"|1",'Quote Lines'!$M$3:$M$805,"Y")=0,"",SUMIFS('Quote Lines'!$L$3:$L$805,'Quote Lines'!$P$3:$P$805,$A232&amp;"|"&amp;J$6&amp;"|1",'Quote Lines'!$M$3:$M$805,"Y"))</f>
        <v>1</v>
      </c>
      <c r="AA232" s="82" t="n">
        <f aca="false">IF(ISNUMBER(G232),1+SUMPRODUCT(ISNUMBER($G232:$J232)*($G232:$J232&lt;G232)),"")</f>
        <v>3</v>
      </c>
      <c r="AB232" s="82" t="n">
        <f aca="false">IF(ISNUMBER(H232),1+SUMPRODUCT(ISNUMBER($G232:$J232)*($G232:$J232&lt;H232)),"")</f>
        <v>2</v>
      </c>
      <c r="AC232" s="82" t="n">
        <f aca="false">IF(ISNUMBER(I232),1+SUMPRODUCT(ISNUMBER($G232:$J232)*($G232:$J232&lt;I232)),"")</f>
        <v>4</v>
      </c>
      <c r="AD232" s="82" t="n">
        <f aca="false">IF(ISNUMBER(J232),1+SUMPRODUCT(ISNUMBER($G232:$J232)*($G232:$J232&lt;J232)),"")</f>
        <v>1</v>
      </c>
      <c r="AE232" s="82" t="n">
        <f aca="false">IF(NOT(ISNUMBER(G232)),0,IF($S232&lt;2,5,IF(AA232=1,1,IF(G232=MAX($G232:$J232),4,IF(AA232=2,2,3)))))</f>
        <v>3</v>
      </c>
      <c r="AF232" s="82" t="n">
        <f aca="false">IF(NOT(ISNUMBER(H232)),0,IF($S232&lt;2,5,IF(AB232=1,1,IF(H232=MAX($G232:$J232),4,IF(AB232=2,2,3)))))</f>
        <v>2</v>
      </c>
      <c r="AG232" s="82" t="n">
        <f aca="false">IF(NOT(ISNUMBER(I232)),0,IF($S232&lt;2,5,IF(AC232=1,1,IF(I232=MAX($G232:$J232),4,IF(AC232=2,2,3)))))</f>
        <v>4</v>
      </c>
      <c r="AH232" s="82" t="n">
        <f aca="false">IF(NOT(ISNUMBER(J232)),0,IF($S232&lt;2,5,IF(AD232=1,1,IF(J232=MAX($G232:$J232),4,IF(AD232=2,2,3)))))</f>
        <v>1</v>
      </c>
      <c r="AI232" s="83" t="n">
        <f aca="false">IF($S232&gt;=2,IF(ISNUMBER(G232),G232*$F232,MIN($G232:$J232)*$F232),0)</f>
        <v>17395.7</v>
      </c>
      <c r="AJ232" s="83" t="n">
        <f aca="false">IF($S232&gt;=2,IF(ISNUMBER(H232),H232*$F232,MIN($G232:$J232)*$F232),0)</f>
        <v>16747.41</v>
      </c>
      <c r="AK232" s="83" t="n">
        <f aca="false">IF($S232&gt;=2,IF(ISNUMBER(I232),I232*$F232,MIN($G232:$J232)*$F232),0)</f>
        <v>18638.25</v>
      </c>
      <c r="AL232" s="83" t="n">
        <f aca="false">IF($S232&gt;=2,IF(ISNUMBER(J232),J232*$F232,MIN($G232:$J232)*$F232),0)</f>
        <v>16567.35</v>
      </c>
      <c r="AM232" s="84" t="n">
        <f aca="false">IF($S232&gt;=2,$R232+ROW()/1000000,"")</f>
        <v>2070.900232</v>
      </c>
      <c r="AN232" s="83" t="n">
        <f aca="false">IF($S232&gt;=2,MAX(G232:J232),"")</f>
        <v>18638.25</v>
      </c>
      <c r="AO232" s="82" t="str">
        <f aca="false">IF($S232&gt;=2,INDEX($G$6:$J$6,MATCH(MAX(G232:J232),G232:J232,0)),"")</f>
        <v>Mountainland</v>
      </c>
      <c r="AP232" s="83" t="n">
        <f aca="false">IF($S232&gt;=2,MIN(G232:J232)*$F232,0)</f>
        <v>16567.35</v>
      </c>
      <c r="AQ232" s="82" t="str">
        <f aca="false">IF($S232&gt;=2,INDEX($G$6:$J$6,MATCH(MIN(G232:J232),G232:J232,0)),"")</f>
        <v>Scholzen</v>
      </c>
    </row>
    <row r="233" customFormat="false" ht="15" hidden="false" customHeight="true" outlineLevel="0" collapsed="false">
      <c r="A233" s="70" t="s">
        <v>618</v>
      </c>
      <c r="B233" s="71" t="s">
        <v>616</v>
      </c>
      <c r="C233" s="72" t="s">
        <v>131</v>
      </c>
      <c r="D233" s="73" t="s">
        <v>619</v>
      </c>
      <c r="E233" s="74" t="s">
        <v>133</v>
      </c>
      <c r="F233" s="75" t="n">
        <v>1</v>
      </c>
      <c r="G233" s="76" t="n">
        <f aca="false">IF(COUNTIF('Quote Lines'!$P$3:$P$805,$A233&amp;"|"&amp;G$6&amp;"|1")=0,"—",SUMIFS('Quote Lines'!$O$3:$O$805,'Quote Lines'!$P$3:$P$805,$A233&amp;"|"&amp;G$6&amp;"|1")/SUMIFS('Quote Lines'!$L$3:$L$805,'Quote Lines'!$P$3:$P$805,$A233&amp;"|"&amp;G$6&amp;"|1"))</f>
        <v>4336.98</v>
      </c>
      <c r="H233" s="76" t="n">
        <f aca="false">IF(COUNTIF('Quote Lines'!$P$3:$P$805,$A233&amp;"|"&amp;H$6&amp;"|1")=0,"—",SUMIFS('Quote Lines'!$O$3:$O$805,'Quote Lines'!$P$3:$P$805,$A233&amp;"|"&amp;H$6&amp;"|1")/SUMIFS('Quote Lines'!$L$3:$L$805,'Quote Lines'!$P$3:$P$805,$A233&amp;"|"&amp;H$6&amp;"|1"))</f>
        <v>4531.39</v>
      </c>
      <c r="I233" s="76" t="n">
        <f aca="false">IF(COUNTIF('Quote Lines'!$P$3:$P$805,$A233&amp;"|"&amp;I$6&amp;"|1")=0,"—",SUMIFS('Quote Lines'!$O$3:$O$805,'Quote Lines'!$P$3:$P$805,$A233&amp;"|"&amp;I$6&amp;"|1")/SUMIFS('Quote Lines'!$L$3:$L$805,'Quote Lines'!$P$3:$P$805,$A233&amp;"|"&amp;I$6&amp;"|1"))</f>
        <v>4919.51</v>
      </c>
      <c r="J233" s="76" t="n">
        <f aca="false">IF(COUNTIF('Quote Lines'!$P$3:$P$805,$A233&amp;"|"&amp;J$6&amp;"|1")=0,"—",SUMIFS('Quote Lines'!$O$3:$O$805,'Quote Lines'!$P$3:$P$805,$A233&amp;"|"&amp;J$6&amp;"|1")/SUMIFS('Quote Lines'!$L$3:$L$805,'Quote Lines'!$P$3:$P$805,$A233&amp;"|"&amp;J$6&amp;"|1"))</f>
        <v>4482.66</v>
      </c>
      <c r="K233" s="14" t="n">
        <f aca="false">IF(ISNUMBER(G233),G233*$F233,"—")</f>
        <v>4336.98</v>
      </c>
      <c r="L233" s="14" t="n">
        <f aca="false">IF(ISNUMBER(H233),H233*$F233,"—")</f>
        <v>4531.39</v>
      </c>
      <c r="M233" s="14" t="n">
        <f aca="false">IF(ISNUMBER(I233),I233*$F233,"—")</f>
        <v>4919.51</v>
      </c>
      <c r="N233" s="14" t="n">
        <f aca="false">IF(ISNUMBER(J233),J233*$F233,"—")</f>
        <v>4482.66</v>
      </c>
      <c r="O233" s="77" t="n">
        <f aca="false">IF($S233=0,"—",MIN(G233:J233))</f>
        <v>4336.98</v>
      </c>
      <c r="P233" s="42" t="str">
        <f aca="false">IF($S233=0,"—",IF(COUNTIF(G233:J233,O233)&gt;1,"Tie",INDEX($G$6:$J$6,MATCH(O233,G233:J233,0))))</f>
        <v>Ferguson</v>
      </c>
      <c r="Q233" s="48" t="n">
        <f aca="false">IF($S233&gt;=2,MAX(G233:J233)/MIN(G233:J233)-1,"—")</f>
        <v>0.134316967106143</v>
      </c>
      <c r="R233" s="78" t="n">
        <f aca="false">IF($S233&gt;=2,(MAX(G233:J233)-MIN(G233:J233))*$F233,"—")</f>
        <v>582.530000000001</v>
      </c>
      <c r="S233" s="18" t="n">
        <f aca="false">COUNT(G233:J233)</f>
        <v>4</v>
      </c>
      <c r="T233" s="79" t="str">
        <f aca="false">IF($S233&lt;=1,IF($S233=1,"Single quote","—"),"Like-for-like")</f>
        <v>Like-for-like</v>
      </c>
      <c r="U233" s="79" t="str">
        <f aca="false">IF(COUNT(W233:Z233)&lt;2,"",IF(MAX(W233:Z233)=MIN(W233:Z233),"OK","Qty differs"))</f>
        <v>OK</v>
      </c>
      <c r="V233" s="80"/>
      <c r="W233" s="81" t="n">
        <f aca="false">IF(COUNTIFS('Quote Lines'!$P$3:$P$805,$A233&amp;"|"&amp;G$6&amp;"|1",'Quote Lines'!$M$3:$M$805,"Y")=0,"",SUMIFS('Quote Lines'!$L$3:$L$805,'Quote Lines'!$P$3:$P$805,$A233&amp;"|"&amp;G$6&amp;"|1",'Quote Lines'!$M$3:$M$805,"Y"))</f>
        <v>1</v>
      </c>
      <c r="X233" s="81" t="n">
        <f aca="false">IF(COUNTIFS('Quote Lines'!$P$3:$P$805,$A233&amp;"|"&amp;H$6&amp;"|1",'Quote Lines'!$M$3:$M$805,"Y")=0,"",SUMIFS('Quote Lines'!$L$3:$L$805,'Quote Lines'!$P$3:$P$805,$A233&amp;"|"&amp;H$6&amp;"|1",'Quote Lines'!$M$3:$M$805,"Y"))</f>
        <v>1</v>
      </c>
      <c r="Y233" s="81" t="n">
        <f aca="false">IF(COUNTIFS('Quote Lines'!$P$3:$P$805,$A233&amp;"|"&amp;I$6&amp;"|1",'Quote Lines'!$M$3:$M$805,"Y")=0,"",SUMIFS('Quote Lines'!$L$3:$L$805,'Quote Lines'!$P$3:$P$805,$A233&amp;"|"&amp;I$6&amp;"|1",'Quote Lines'!$M$3:$M$805,"Y"))</f>
        <v>1</v>
      </c>
      <c r="Z233" s="81" t="n">
        <f aca="false">IF(COUNTIFS('Quote Lines'!$P$3:$P$805,$A233&amp;"|"&amp;J$6&amp;"|1",'Quote Lines'!$M$3:$M$805,"Y")=0,"",SUMIFS('Quote Lines'!$L$3:$L$805,'Quote Lines'!$P$3:$P$805,$A233&amp;"|"&amp;J$6&amp;"|1",'Quote Lines'!$M$3:$M$805,"Y"))</f>
        <v>1</v>
      </c>
      <c r="AA233" s="82" t="n">
        <f aca="false">IF(ISNUMBER(G233),1+SUMPRODUCT(ISNUMBER($G233:$J233)*($G233:$J233&lt;G233)),"")</f>
        <v>1</v>
      </c>
      <c r="AB233" s="82" t="n">
        <f aca="false">IF(ISNUMBER(H233),1+SUMPRODUCT(ISNUMBER($G233:$J233)*($G233:$J233&lt;H233)),"")</f>
        <v>3</v>
      </c>
      <c r="AC233" s="82" t="n">
        <f aca="false">IF(ISNUMBER(I233),1+SUMPRODUCT(ISNUMBER($G233:$J233)*($G233:$J233&lt;I233)),"")</f>
        <v>4</v>
      </c>
      <c r="AD233" s="82" t="n">
        <f aca="false">IF(ISNUMBER(J233),1+SUMPRODUCT(ISNUMBER($G233:$J233)*($G233:$J233&lt;J233)),"")</f>
        <v>2</v>
      </c>
      <c r="AE233" s="82" t="n">
        <f aca="false">IF(NOT(ISNUMBER(G233)),0,IF($S233&lt;2,5,IF(AA233=1,1,IF(G233=MAX($G233:$J233),4,IF(AA233=2,2,3)))))</f>
        <v>1</v>
      </c>
      <c r="AF233" s="82" t="n">
        <f aca="false">IF(NOT(ISNUMBER(H233)),0,IF($S233&lt;2,5,IF(AB233=1,1,IF(H233=MAX($G233:$J233),4,IF(AB233=2,2,3)))))</f>
        <v>3</v>
      </c>
      <c r="AG233" s="82" t="n">
        <f aca="false">IF(NOT(ISNUMBER(I233)),0,IF($S233&lt;2,5,IF(AC233=1,1,IF(I233=MAX($G233:$J233),4,IF(AC233=2,2,3)))))</f>
        <v>4</v>
      </c>
      <c r="AH233" s="82" t="n">
        <f aca="false">IF(NOT(ISNUMBER(J233)),0,IF($S233&lt;2,5,IF(AD233=1,1,IF(J233=MAX($G233:$J233),4,IF(AD233=2,2,3)))))</f>
        <v>2</v>
      </c>
      <c r="AI233" s="83" t="n">
        <f aca="false">IF($S233&gt;=2,IF(ISNUMBER(G233),G233*$F233,MIN($G233:$J233)*$F233),0)</f>
        <v>4336.98</v>
      </c>
      <c r="AJ233" s="83" t="n">
        <f aca="false">IF($S233&gt;=2,IF(ISNUMBER(H233),H233*$F233,MIN($G233:$J233)*$F233),0)</f>
        <v>4531.39</v>
      </c>
      <c r="AK233" s="83" t="n">
        <f aca="false">IF($S233&gt;=2,IF(ISNUMBER(I233),I233*$F233,MIN($G233:$J233)*$F233),0)</f>
        <v>4919.51</v>
      </c>
      <c r="AL233" s="83" t="n">
        <f aca="false">IF($S233&gt;=2,IF(ISNUMBER(J233),J233*$F233,MIN($G233:$J233)*$F233),0)</f>
        <v>4482.66</v>
      </c>
      <c r="AM233" s="84" t="n">
        <f aca="false">IF($S233&gt;=2,$R233+ROW()/1000000,"")</f>
        <v>582.530233000001</v>
      </c>
      <c r="AN233" s="83" t="n">
        <f aca="false">IF($S233&gt;=2,MAX(G233:J233),"")</f>
        <v>4919.51</v>
      </c>
      <c r="AO233" s="82" t="str">
        <f aca="false">IF($S233&gt;=2,INDEX($G$6:$J$6,MATCH(MAX(G233:J233),G233:J233,0)),"")</f>
        <v>Mountainland</v>
      </c>
      <c r="AP233" s="83" t="n">
        <f aca="false">IF($S233&gt;=2,MIN(G233:J233)*$F233,0)</f>
        <v>4336.98</v>
      </c>
      <c r="AQ233" s="82" t="str">
        <f aca="false">IF($S233&gt;=2,INDEX($G$6:$J$6,MATCH(MIN(G233:J233),G233:J233,0)),"")</f>
        <v>Ferguson</v>
      </c>
    </row>
    <row r="234" customFormat="false" ht="15" hidden="false" customHeight="true" outlineLevel="0" collapsed="false">
      <c r="A234" s="70" t="s">
        <v>620</v>
      </c>
      <c r="B234" s="71" t="s">
        <v>616</v>
      </c>
      <c r="C234" s="72" t="s">
        <v>294</v>
      </c>
      <c r="D234" s="73" t="s">
        <v>621</v>
      </c>
      <c r="E234" s="74" t="s">
        <v>133</v>
      </c>
      <c r="F234" s="75" t="n">
        <v>4</v>
      </c>
      <c r="G234" s="76" t="n">
        <f aca="false">IF(COUNTIF('Quote Lines'!$P$3:$P$805,$A234&amp;"|"&amp;G$6&amp;"|1")=0,"—",SUMIFS('Quote Lines'!$O$3:$O$805,'Quote Lines'!$P$3:$P$805,$A234&amp;"|"&amp;G$6&amp;"|1")/SUMIFS('Quote Lines'!$L$3:$L$805,'Quote Lines'!$P$3:$P$805,$A234&amp;"|"&amp;G$6&amp;"|1"))</f>
        <v>1028.27</v>
      </c>
      <c r="H234" s="76" t="n">
        <f aca="false">IF(COUNTIF('Quote Lines'!$P$3:$P$805,$A234&amp;"|"&amp;H$6&amp;"|1")=0,"—",SUMIFS('Quote Lines'!$O$3:$O$805,'Quote Lines'!$P$3:$P$805,$A234&amp;"|"&amp;H$6&amp;"|1")/SUMIFS('Quote Lines'!$L$3:$L$805,'Quote Lines'!$P$3:$P$805,$A234&amp;"|"&amp;H$6&amp;"|1"))</f>
        <v>2064.13</v>
      </c>
      <c r="I234" s="76" t="n">
        <f aca="false">IF(COUNTIF('Quote Lines'!$P$3:$P$805,$A234&amp;"|"&amp;I$6&amp;"|1")=0,"—",SUMIFS('Quote Lines'!$O$3:$O$805,'Quote Lines'!$P$3:$P$805,$A234&amp;"|"&amp;I$6&amp;"|1")/SUMIFS('Quote Lines'!$L$3:$L$805,'Quote Lines'!$P$3:$P$805,$A234&amp;"|"&amp;I$6&amp;"|1"))</f>
        <v>1064.565</v>
      </c>
      <c r="J234" s="76" t="n">
        <f aca="false">IF(COUNTIF('Quote Lines'!$P$3:$P$805,$A234&amp;"|"&amp;J$6&amp;"|1")=0,"—",SUMIFS('Quote Lines'!$O$3:$O$805,'Quote Lines'!$P$3:$P$805,$A234&amp;"|"&amp;J$6&amp;"|1")/SUMIFS('Quote Lines'!$L$3:$L$805,'Quote Lines'!$P$3:$P$805,$A234&amp;"|"&amp;J$6&amp;"|1"))</f>
        <v>1899</v>
      </c>
      <c r="K234" s="14" t="n">
        <f aca="false">IF(ISNUMBER(G234),G234*$F234,"—")</f>
        <v>4113.08</v>
      </c>
      <c r="L234" s="14" t="n">
        <f aca="false">IF(ISNUMBER(H234),H234*$F234,"—")</f>
        <v>8256.52</v>
      </c>
      <c r="M234" s="14" t="n">
        <f aca="false">IF(ISNUMBER(I234),I234*$F234,"—")</f>
        <v>4258.26</v>
      </c>
      <c r="N234" s="14" t="n">
        <f aca="false">IF(ISNUMBER(J234),J234*$F234,"—")</f>
        <v>7596</v>
      </c>
      <c r="O234" s="77" t="n">
        <f aca="false">IF($S234=0,"—",MIN(G234:J234))</f>
        <v>1028.27</v>
      </c>
      <c r="P234" s="42" t="str">
        <f aca="false">IF($S234=0,"—",IF(COUNTIF(G234:J234,O234)&gt;1,"Tie",INDEX($G$6:$J$6,MATCH(O234,G234:J234,0))))</f>
        <v>Ferguson</v>
      </c>
      <c r="Q234" s="48" t="n">
        <f aca="false">IF($S234&gt;=2,MAX(G234:J234)/MIN(G234:J234)-1,"—")</f>
        <v>1.00738132980637</v>
      </c>
      <c r="R234" s="78" t="n">
        <f aca="false">IF($S234&gt;=2,(MAX(G234:J234)-MIN(G234:J234))*$F234,"—")</f>
        <v>4143.44</v>
      </c>
      <c r="S234" s="18" t="n">
        <f aca="false">COUNT(G234:J234)</f>
        <v>4</v>
      </c>
      <c r="T234" s="79" t="str">
        <f aca="false">IF($S234&lt;=1,IF($S234=1,"Single quote","—"),"Alt spec – verify")</f>
        <v>Alt spec – verify</v>
      </c>
      <c r="U234" s="79" t="str">
        <f aca="false">IF(COUNT(W234:Z234)&lt;2,"",IF(MAX(W234:Z234)=MIN(W234:Z234),"OK","Qty differs"))</f>
        <v>OK</v>
      </c>
      <c r="V234" s="80" t="s">
        <v>622</v>
      </c>
      <c r="W234" s="81" t="n">
        <f aca="false">IF(COUNTIFS('Quote Lines'!$P$3:$P$805,$A234&amp;"|"&amp;G$6&amp;"|1",'Quote Lines'!$M$3:$M$805,"Y")=0,"",SUMIFS('Quote Lines'!$L$3:$L$805,'Quote Lines'!$P$3:$P$805,$A234&amp;"|"&amp;G$6&amp;"|1",'Quote Lines'!$M$3:$M$805,"Y"))</f>
        <v>4</v>
      </c>
      <c r="X234" s="81" t="n">
        <f aca="false">IF(COUNTIFS('Quote Lines'!$P$3:$P$805,$A234&amp;"|"&amp;H$6&amp;"|1",'Quote Lines'!$M$3:$M$805,"Y")=0,"",SUMIFS('Quote Lines'!$L$3:$L$805,'Quote Lines'!$P$3:$P$805,$A234&amp;"|"&amp;H$6&amp;"|1",'Quote Lines'!$M$3:$M$805,"Y"))</f>
        <v>4</v>
      </c>
      <c r="Y234" s="81" t="n">
        <f aca="false">IF(COUNTIFS('Quote Lines'!$P$3:$P$805,$A234&amp;"|"&amp;I$6&amp;"|1",'Quote Lines'!$M$3:$M$805,"Y")=0,"",SUMIFS('Quote Lines'!$L$3:$L$805,'Quote Lines'!$P$3:$P$805,$A234&amp;"|"&amp;I$6&amp;"|1",'Quote Lines'!$M$3:$M$805,"Y"))</f>
        <v>4</v>
      </c>
      <c r="Z234" s="81" t="n">
        <f aca="false">IF(COUNTIFS('Quote Lines'!$P$3:$P$805,$A234&amp;"|"&amp;J$6&amp;"|1",'Quote Lines'!$M$3:$M$805,"Y")=0,"",SUMIFS('Quote Lines'!$L$3:$L$805,'Quote Lines'!$P$3:$P$805,$A234&amp;"|"&amp;J$6&amp;"|1",'Quote Lines'!$M$3:$M$805,"Y"))</f>
        <v>4</v>
      </c>
      <c r="AA234" s="82" t="n">
        <f aca="false">IF(ISNUMBER(G234),1+SUMPRODUCT(ISNUMBER($G234:$J234)*($G234:$J234&lt;G234)),"")</f>
        <v>1</v>
      </c>
      <c r="AB234" s="82" t="n">
        <f aca="false">IF(ISNUMBER(H234),1+SUMPRODUCT(ISNUMBER($G234:$J234)*($G234:$J234&lt;H234)),"")</f>
        <v>4</v>
      </c>
      <c r="AC234" s="82" t="n">
        <f aca="false">IF(ISNUMBER(I234),1+SUMPRODUCT(ISNUMBER($G234:$J234)*($G234:$J234&lt;I234)),"")</f>
        <v>2</v>
      </c>
      <c r="AD234" s="82" t="n">
        <f aca="false">IF(ISNUMBER(J234),1+SUMPRODUCT(ISNUMBER($G234:$J234)*($G234:$J234&lt;J234)),"")</f>
        <v>3</v>
      </c>
      <c r="AE234" s="82" t="n">
        <f aca="false">IF(NOT(ISNUMBER(G234)),0,IF($S234&lt;2,5,IF(AA234=1,1,IF(G234=MAX($G234:$J234),4,IF(AA234=2,2,3)))))</f>
        <v>1</v>
      </c>
      <c r="AF234" s="82" t="n">
        <f aca="false">IF(NOT(ISNUMBER(H234)),0,IF($S234&lt;2,5,IF(AB234=1,1,IF(H234=MAX($G234:$J234),4,IF(AB234=2,2,3)))))</f>
        <v>4</v>
      </c>
      <c r="AG234" s="82" t="n">
        <f aca="false">IF(NOT(ISNUMBER(I234)),0,IF($S234&lt;2,5,IF(AC234=1,1,IF(I234=MAX($G234:$J234),4,IF(AC234=2,2,3)))))</f>
        <v>2</v>
      </c>
      <c r="AH234" s="82" t="n">
        <f aca="false">IF(NOT(ISNUMBER(J234)),0,IF($S234&lt;2,5,IF(AD234=1,1,IF(J234=MAX($G234:$J234),4,IF(AD234=2,2,3)))))</f>
        <v>3</v>
      </c>
      <c r="AI234" s="83" t="n">
        <f aca="false">IF($S234&gt;=2,IF(ISNUMBER(G234),G234*$F234,MIN($G234:$J234)*$F234),0)</f>
        <v>4113.08</v>
      </c>
      <c r="AJ234" s="83" t="n">
        <f aca="false">IF($S234&gt;=2,IF(ISNUMBER(H234),H234*$F234,MIN($G234:$J234)*$F234),0)</f>
        <v>8256.52</v>
      </c>
      <c r="AK234" s="83" t="n">
        <f aca="false">IF($S234&gt;=2,IF(ISNUMBER(I234),I234*$F234,MIN($G234:$J234)*$F234),0)</f>
        <v>4258.26</v>
      </c>
      <c r="AL234" s="83" t="n">
        <f aca="false">IF($S234&gt;=2,IF(ISNUMBER(J234),J234*$F234,MIN($G234:$J234)*$F234),0)</f>
        <v>7596</v>
      </c>
      <c r="AM234" s="84" t="n">
        <f aca="false">IF($S234&gt;=2,$R234+ROW()/1000000,"")</f>
        <v>4143.440234</v>
      </c>
      <c r="AN234" s="83" t="n">
        <f aca="false">IF($S234&gt;=2,MAX(G234:J234),"")</f>
        <v>2064.13</v>
      </c>
      <c r="AO234" s="82" t="str">
        <f aca="false">IF($S234&gt;=2,INDEX($G$6:$J$6,MATCH(MAX(G234:J234),G234:J234,0)),"")</f>
        <v>HD Fowler</v>
      </c>
      <c r="AP234" s="83" t="n">
        <f aca="false">IF($S234&gt;=2,MIN(G234:J234)*$F234,0)</f>
        <v>4113.08</v>
      </c>
      <c r="AQ234" s="82" t="str">
        <f aca="false">IF($S234&gt;=2,INDEX($G$6:$J$6,MATCH(MIN(G234:J234),G234:J234,0)),"")</f>
        <v>Ferguson</v>
      </c>
    </row>
    <row r="235" customFormat="false" ht="15" hidden="false" customHeight="true" outlineLevel="0" collapsed="false">
      <c r="A235" s="70" t="s">
        <v>623</v>
      </c>
      <c r="B235" s="71" t="s">
        <v>616</v>
      </c>
      <c r="C235" s="72" t="s">
        <v>176</v>
      </c>
      <c r="D235" s="73" t="s">
        <v>624</v>
      </c>
      <c r="E235" s="74" t="s">
        <v>178</v>
      </c>
      <c r="F235" s="86" t="n">
        <v>18.25</v>
      </c>
      <c r="G235" s="85" t="s">
        <v>138</v>
      </c>
      <c r="H235" s="76" t="n">
        <f aca="false">IF(COUNTIF('Quote Lines'!$P$3:$P$805,$A235&amp;"|"&amp;H$6&amp;"|1")=0,"—",SUMIFS('Quote Lines'!$O$3:$O$805,'Quote Lines'!$P$3:$P$805,$A235&amp;"|"&amp;H$6&amp;"|1")/SUMIFS('Quote Lines'!$L$3:$L$805,'Quote Lines'!$P$3:$P$805,$A235&amp;"|"&amp;H$6&amp;"|1"))</f>
        <v>332.020273972603</v>
      </c>
      <c r="I235" s="85" t="s">
        <v>138</v>
      </c>
      <c r="J235" s="85" t="s">
        <v>138</v>
      </c>
      <c r="K235" s="14" t="str">
        <f aca="false">IF(ISNUMBER(G235),G235*$F235,"—")</f>
        <v>—</v>
      </c>
      <c r="L235" s="14" t="n">
        <f aca="false">IF(ISNUMBER(H235),H235*$F235,"—")</f>
        <v>6059.37</v>
      </c>
      <c r="M235" s="14" t="str">
        <f aca="false">IF(ISNUMBER(I235),I235*$F235,"—")</f>
        <v>—</v>
      </c>
      <c r="N235" s="14" t="str">
        <f aca="false">IF(ISNUMBER(J235),J235*$F235,"—")</f>
        <v>—</v>
      </c>
      <c r="O235" s="77" t="n">
        <f aca="false">IF($S235=0,"—",MIN(G235:J235))</f>
        <v>332.020273972603</v>
      </c>
      <c r="P235" s="42" t="str">
        <f aca="false">IF($S235=0,"—",IF(COUNTIF(G235:J235,O235)&gt;1,"Tie",INDEX($G$6:$J$6,MATCH(O235,G235:J235,0))))</f>
        <v>HD Fowler</v>
      </c>
      <c r="Q235" s="48" t="str">
        <f aca="false">IF($S235&gt;=2,MAX(G235:J235)/MIN(G235:J235)-1,"—")</f>
        <v>—</v>
      </c>
      <c r="R235" s="78" t="str">
        <f aca="false">IF($S235&gt;=2,(MAX(G235:J235)-MIN(G235:J235))*$F235,"—")</f>
        <v>—</v>
      </c>
      <c r="S235" s="18" t="n">
        <f aca="false">COUNT(G235:J235)</f>
        <v>1</v>
      </c>
      <c r="T235" s="79" t="str">
        <f aca="false">IF($S235&lt;=1,IF($S235=1,"Single quote","—"),"Like-for-like")</f>
        <v>Single quote</v>
      </c>
      <c r="U235" s="79" t="str">
        <f aca="false">IF(COUNT(W235:Z235)&lt;2,"",IF(MAX(W235:Z235)=MIN(W235:Z235),"OK","Qty differs"))</f>
        <v/>
      </c>
      <c r="V235" s="80"/>
      <c r="W235" s="81"/>
      <c r="X235" s="81" t="n">
        <f aca="false">IF(COUNTIFS('Quote Lines'!$P$3:$P$805,$A235&amp;"|"&amp;H$6&amp;"|1",'Quote Lines'!$M$3:$M$805,"Y")=0,"",SUMIFS('Quote Lines'!$L$3:$L$805,'Quote Lines'!$P$3:$P$805,$A235&amp;"|"&amp;H$6&amp;"|1",'Quote Lines'!$M$3:$M$805,"Y"))</f>
        <v>18.25</v>
      </c>
      <c r="Y235" s="81"/>
      <c r="Z235" s="81"/>
      <c r="AA235" s="82" t="str">
        <f aca="false">IF(ISNUMBER(G235),1+SUMPRODUCT(ISNUMBER($G235:$J235)*($G235:$J235&lt;G235)),"")</f>
        <v/>
      </c>
      <c r="AB235" s="82" t="n">
        <f aca="false">IF(ISNUMBER(H235),1+SUMPRODUCT(ISNUMBER($G235:$J235)*($G235:$J235&lt;H235)),"")</f>
        <v>1</v>
      </c>
      <c r="AC235" s="82" t="str">
        <f aca="false">IF(ISNUMBER(I235),1+SUMPRODUCT(ISNUMBER($G235:$J235)*($G235:$J235&lt;I235)),"")</f>
        <v/>
      </c>
      <c r="AD235" s="82" t="str">
        <f aca="false">IF(ISNUMBER(J235),1+SUMPRODUCT(ISNUMBER($G235:$J235)*($G235:$J235&lt;J235)),"")</f>
        <v/>
      </c>
      <c r="AE235" s="82" t="n">
        <f aca="false">IF(NOT(ISNUMBER(G235)),0,IF($S235&lt;2,5,IF(AA235=1,1,IF(G235=MAX($G235:$J235),4,IF(AA235=2,2,3)))))</f>
        <v>0</v>
      </c>
      <c r="AF235" s="82" t="n">
        <f aca="false">IF(NOT(ISNUMBER(H235)),0,IF($S235&lt;2,5,IF(AB235=1,1,IF(H235=MAX($G235:$J235),4,IF(AB235=2,2,3)))))</f>
        <v>5</v>
      </c>
      <c r="AG235" s="82" t="n">
        <f aca="false">IF(NOT(ISNUMBER(I235)),0,IF($S235&lt;2,5,IF(AC235=1,1,IF(I235=MAX($G235:$J235),4,IF(AC235=2,2,3)))))</f>
        <v>0</v>
      </c>
      <c r="AH235" s="82" t="n">
        <f aca="false">IF(NOT(ISNUMBER(J235)),0,IF($S235&lt;2,5,IF(AD235=1,1,IF(J235=MAX($G235:$J235),4,IF(AD235=2,2,3)))))</f>
        <v>0</v>
      </c>
      <c r="AI235" s="83" t="n">
        <f aca="false">IF($S235&gt;=2,IF(ISNUMBER(G235),G235*$F235,MIN($G235:$J235)*$F235),0)</f>
        <v>0</v>
      </c>
      <c r="AJ235" s="83" t="n">
        <f aca="false">IF($S235&gt;=2,IF(ISNUMBER(H235),H235*$F235,MIN($G235:$J235)*$F235),0)</f>
        <v>0</v>
      </c>
      <c r="AK235" s="83" t="n">
        <f aca="false">IF($S235&gt;=2,IF(ISNUMBER(I235),I235*$F235,MIN($G235:$J235)*$F235),0)</f>
        <v>0</v>
      </c>
      <c r="AL235" s="83" t="n">
        <f aca="false">IF($S235&gt;=2,IF(ISNUMBER(J235),J235*$F235,MIN($G235:$J235)*$F235),0)</f>
        <v>0</v>
      </c>
      <c r="AM235" s="84" t="str">
        <f aca="false">IF($S235&gt;=2,$R235+ROW()/1000000,"")</f>
        <v/>
      </c>
      <c r="AN235" s="83" t="str">
        <f aca="false">IF($S235&gt;=2,MAX(G235:J235),"")</f>
        <v/>
      </c>
      <c r="AO235" s="82" t="str">
        <f aca="false">IF($S235&gt;=2,INDEX($G$6:$J$6,MATCH(MAX(G235:J235),G235:J235,0)),"")</f>
        <v/>
      </c>
      <c r="AP235" s="83" t="n">
        <f aca="false">IF($S235&gt;=2,MIN(G235:J235)*$F235,0)</f>
        <v>0</v>
      </c>
      <c r="AQ235" s="82" t="str">
        <f aca="false">IF($S235&gt;=2,INDEX($G$6:$J$6,MATCH(MIN(G235:J235),G235:J235,0)),"")</f>
        <v/>
      </c>
    </row>
    <row r="236" customFormat="false" ht="15" hidden="false" customHeight="true" outlineLevel="0" collapsed="false">
      <c r="A236" s="70" t="s">
        <v>625</v>
      </c>
      <c r="B236" s="71" t="s">
        <v>616</v>
      </c>
      <c r="C236" s="72" t="s">
        <v>308</v>
      </c>
      <c r="D236" s="73" t="s">
        <v>626</v>
      </c>
      <c r="E236" s="74" t="s">
        <v>310</v>
      </c>
      <c r="F236" s="75" t="n">
        <v>1</v>
      </c>
      <c r="G236" s="85" t="s">
        <v>138</v>
      </c>
      <c r="H236" s="85" t="s">
        <v>138</v>
      </c>
      <c r="I236" s="85" t="s">
        <v>138</v>
      </c>
      <c r="J236" s="76" t="n">
        <f aca="false">IF(COUNTIF('Quote Lines'!$P$3:$P$805,$A236&amp;"|"&amp;J$6&amp;"|1")=0,"—",SUMIFS('Quote Lines'!$O$3:$O$805,'Quote Lines'!$P$3:$P$805,$A236&amp;"|"&amp;J$6&amp;"|1")/SUMIFS('Quote Lines'!$L$3:$L$805,'Quote Lines'!$P$3:$P$805,$A236&amp;"|"&amp;J$6&amp;"|1"))</f>
        <v>200</v>
      </c>
      <c r="K236" s="14" t="str">
        <f aca="false">IF(ISNUMBER(G236),G236*$F236,"—")</f>
        <v>—</v>
      </c>
      <c r="L236" s="14" t="str">
        <f aca="false">IF(ISNUMBER(H236),H236*$F236,"—")</f>
        <v>—</v>
      </c>
      <c r="M236" s="14" t="str">
        <f aca="false">IF(ISNUMBER(I236),I236*$F236,"—")</f>
        <v>—</v>
      </c>
      <c r="N236" s="14" t="n">
        <f aca="false">IF(ISNUMBER(J236),J236*$F236,"—")</f>
        <v>200</v>
      </c>
      <c r="O236" s="77" t="n">
        <f aca="false">IF($S236=0,"—",MIN(G236:J236))</f>
        <v>200</v>
      </c>
      <c r="P236" s="42" t="str">
        <f aca="false">IF($S236=0,"—",IF(COUNTIF(G236:J236,O236)&gt;1,"Tie",INDEX($G$6:$J$6,MATCH(O236,G236:J236,0))))</f>
        <v>Scholzen</v>
      </c>
      <c r="Q236" s="48" t="str">
        <f aca="false">IF($S236&gt;=2,MAX(G236:J236)/MIN(G236:J236)-1,"—")</f>
        <v>—</v>
      </c>
      <c r="R236" s="78" t="str">
        <f aca="false">IF($S236&gt;=2,(MAX(G236:J236)-MIN(G236:J236))*$F236,"—")</f>
        <v>—</v>
      </c>
      <c r="S236" s="18" t="n">
        <f aca="false">COUNT(G236:J236)</f>
        <v>1</v>
      </c>
      <c r="T236" s="79" t="str">
        <f aca="false">IF($S236&lt;=1,IF($S236=1,"Single quote","—"),"Like-for-like")</f>
        <v>Single quote</v>
      </c>
      <c r="U236" s="79" t="str">
        <f aca="false">IF(COUNT(W236:Z236)&lt;2,"",IF(MAX(W236:Z236)=MIN(W236:Z236),"OK","Qty differs"))</f>
        <v/>
      </c>
      <c r="V236" s="80"/>
      <c r="W236" s="81"/>
      <c r="X236" s="81"/>
      <c r="Y236" s="81"/>
      <c r="Z236" s="81" t="n">
        <f aca="false">IF(COUNTIFS('Quote Lines'!$P$3:$P$805,$A236&amp;"|"&amp;J$6&amp;"|1",'Quote Lines'!$M$3:$M$805,"Y")=0,"",SUMIFS('Quote Lines'!$L$3:$L$805,'Quote Lines'!$P$3:$P$805,$A236&amp;"|"&amp;J$6&amp;"|1",'Quote Lines'!$M$3:$M$805,"Y"))</f>
        <v>1</v>
      </c>
      <c r="AA236" s="82" t="str">
        <f aca="false">IF(ISNUMBER(G236),1+SUMPRODUCT(ISNUMBER($G236:$J236)*($G236:$J236&lt;G236)),"")</f>
        <v/>
      </c>
      <c r="AB236" s="82" t="str">
        <f aca="false">IF(ISNUMBER(H236),1+SUMPRODUCT(ISNUMBER($G236:$J236)*($G236:$J236&lt;H236)),"")</f>
        <v/>
      </c>
      <c r="AC236" s="82" t="str">
        <f aca="false">IF(ISNUMBER(I236),1+SUMPRODUCT(ISNUMBER($G236:$J236)*($G236:$J236&lt;I236)),"")</f>
        <v/>
      </c>
      <c r="AD236" s="82" t="n">
        <f aca="false">IF(ISNUMBER(J236),1+SUMPRODUCT(ISNUMBER($G236:$J236)*($G236:$J236&lt;J236)),"")</f>
        <v>1</v>
      </c>
      <c r="AE236" s="82" t="n">
        <f aca="false">IF(NOT(ISNUMBER(G236)),0,IF($S236&lt;2,5,IF(AA236=1,1,IF(G236=MAX($G236:$J236),4,IF(AA236=2,2,3)))))</f>
        <v>0</v>
      </c>
      <c r="AF236" s="82" t="n">
        <f aca="false">IF(NOT(ISNUMBER(H236)),0,IF($S236&lt;2,5,IF(AB236=1,1,IF(H236=MAX($G236:$J236),4,IF(AB236=2,2,3)))))</f>
        <v>0</v>
      </c>
      <c r="AG236" s="82" t="n">
        <f aca="false">IF(NOT(ISNUMBER(I236)),0,IF($S236&lt;2,5,IF(AC236=1,1,IF(I236=MAX($G236:$J236),4,IF(AC236=2,2,3)))))</f>
        <v>0</v>
      </c>
      <c r="AH236" s="82" t="n">
        <f aca="false">IF(NOT(ISNUMBER(J236)),0,IF($S236&lt;2,5,IF(AD236=1,1,IF(J236=MAX($G236:$J236),4,IF(AD236=2,2,3)))))</f>
        <v>5</v>
      </c>
      <c r="AI236" s="83" t="n">
        <f aca="false">IF($S236&gt;=2,IF(ISNUMBER(G236),G236*$F236,MIN($G236:$J236)*$F236),0)</f>
        <v>0</v>
      </c>
      <c r="AJ236" s="83" t="n">
        <f aca="false">IF($S236&gt;=2,IF(ISNUMBER(H236),H236*$F236,MIN($G236:$J236)*$F236),0)</f>
        <v>0</v>
      </c>
      <c r="AK236" s="83" t="n">
        <f aca="false">IF($S236&gt;=2,IF(ISNUMBER(I236),I236*$F236,MIN($G236:$J236)*$F236),0)</f>
        <v>0</v>
      </c>
      <c r="AL236" s="83" t="n">
        <f aca="false">IF($S236&gt;=2,IF(ISNUMBER(J236),J236*$F236,MIN($G236:$J236)*$F236),0)</f>
        <v>0</v>
      </c>
      <c r="AM236" s="84" t="str">
        <f aca="false">IF($S236&gt;=2,$R236+ROW()/1000000,"")</f>
        <v/>
      </c>
      <c r="AN236" s="83" t="str">
        <f aca="false">IF($S236&gt;=2,MAX(G236:J236),"")</f>
        <v/>
      </c>
      <c r="AO236" s="82" t="str">
        <f aca="false">IF($S236&gt;=2,INDEX($G$6:$J$6,MATCH(MAX(G236:J236),G236:J236,0)),"")</f>
        <v/>
      </c>
      <c r="AP236" s="83" t="n">
        <f aca="false">IF($S236&gt;=2,MIN(G236:J236)*$F236,0)</f>
        <v>0</v>
      </c>
      <c r="AQ236" s="82" t="str">
        <f aca="false">IF($S236&gt;=2,INDEX($G$6:$J$6,MATCH(MIN(G236:J236),G236:J236,0)),"")</f>
        <v/>
      </c>
    </row>
    <row r="237" customFormat="false" ht="19.5" hidden="false" customHeight="true" outlineLevel="0" collapsed="false">
      <c r="A237" s="69"/>
      <c r="B237" s="9" t="s">
        <v>627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 customFormat="false" ht="15" hidden="false" customHeight="true" outlineLevel="0" collapsed="false">
      <c r="A238" s="70" t="s">
        <v>628</v>
      </c>
      <c r="B238" s="71" t="s">
        <v>629</v>
      </c>
      <c r="C238" s="72" t="s">
        <v>131</v>
      </c>
      <c r="D238" s="73" t="s">
        <v>630</v>
      </c>
      <c r="E238" s="74" t="s">
        <v>133</v>
      </c>
      <c r="F238" s="75" t="n">
        <v>3</v>
      </c>
      <c r="G238" s="76" t="n">
        <f aca="false">IF(COUNTIF('Quote Lines'!$P$3:$P$805,$A238&amp;"|"&amp;G$6&amp;"|1")=0,"—",SUMIFS('Quote Lines'!$O$3:$O$805,'Quote Lines'!$P$3:$P$805,$A238&amp;"|"&amp;G$6&amp;"|1")/SUMIFS('Quote Lines'!$L$3:$L$805,'Quote Lines'!$P$3:$P$805,$A238&amp;"|"&amp;G$6&amp;"|1"))</f>
        <v>3239.83</v>
      </c>
      <c r="H238" s="76" t="n">
        <f aca="false">IF(COUNTIF('Quote Lines'!$P$3:$P$805,$A238&amp;"|"&amp;H$6&amp;"|1")=0,"—",SUMIFS('Quote Lines'!$O$3:$O$805,'Quote Lines'!$P$3:$P$805,$A238&amp;"|"&amp;H$6&amp;"|1")/SUMIFS('Quote Lines'!$L$3:$L$805,'Quote Lines'!$P$3:$P$805,$A238&amp;"|"&amp;H$6&amp;"|1"))</f>
        <v>3385.07</v>
      </c>
      <c r="I238" s="76" t="n">
        <f aca="false">IF(COUNTIF('Quote Lines'!$P$3:$P$805,$A238&amp;"|"&amp;I$6&amp;"|1")=0,"—",SUMIFS('Quote Lines'!$O$3:$O$805,'Quote Lines'!$P$3:$P$805,$A238&amp;"|"&amp;I$6&amp;"|1")/SUMIFS('Quote Lines'!$L$3:$L$805,'Quote Lines'!$P$3:$P$805,$A238&amp;"|"&amp;I$6&amp;"|1"))</f>
        <v>3675.36666666667</v>
      </c>
      <c r="J238" s="76" t="n">
        <f aca="false">IF(COUNTIF('Quote Lines'!$P$3:$P$805,$A238&amp;"|"&amp;J$6&amp;"|1")=0,"—",SUMIFS('Quote Lines'!$O$3:$O$805,'Quote Lines'!$P$3:$P$805,$A238&amp;"|"&amp;J$6&amp;"|1")/SUMIFS('Quote Lines'!$L$3:$L$805,'Quote Lines'!$P$3:$P$805,$A238&amp;"|"&amp;J$6&amp;"|1"))</f>
        <v>3545.64</v>
      </c>
      <c r="K238" s="14" t="n">
        <f aca="false">IF(ISNUMBER(G238),G238*$F238,"—")</f>
        <v>9719.49</v>
      </c>
      <c r="L238" s="14" t="n">
        <f aca="false">IF(ISNUMBER(H238),H238*$F238,"—")</f>
        <v>10155.21</v>
      </c>
      <c r="M238" s="14" t="n">
        <f aca="false">IF(ISNUMBER(I238),I238*$F238,"—")</f>
        <v>11026.1</v>
      </c>
      <c r="N238" s="14" t="n">
        <f aca="false">IF(ISNUMBER(J238),J238*$F238,"—")</f>
        <v>10636.92</v>
      </c>
      <c r="O238" s="77" t="n">
        <f aca="false">IF($S238=0,"—",MIN(G238:J238))</f>
        <v>3239.83</v>
      </c>
      <c r="P238" s="42" t="str">
        <f aca="false">IF($S238=0,"—",IF(COUNTIF(G238:J238,O238)&gt;1,"Tie",INDEX($G$6:$J$6,MATCH(O238,G238:J238,0))))</f>
        <v>Ferguson</v>
      </c>
      <c r="Q238" s="48" t="n">
        <f aca="false">IF($S238&gt;=2,MAX(G238:J238)/MIN(G238:J238)-1,"—")</f>
        <v>0.134431950647616</v>
      </c>
      <c r="R238" s="78" t="n">
        <f aca="false">IF($S238&gt;=2,(MAX(G238:J238)-MIN(G238:J238))*$F238,"—")</f>
        <v>1306.61</v>
      </c>
      <c r="S238" s="18" t="n">
        <f aca="false">COUNT(G238:J238)</f>
        <v>4</v>
      </c>
      <c r="T238" s="79" t="str">
        <f aca="false">IF($S238&lt;=1,IF($S238=1,"Single quote","—"),"Like-for-like")</f>
        <v>Like-for-like</v>
      </c>
      <c r="U238" s="79" t="str">
        <f aca="false">IF(COUNT(W238:Z238)&lt;2,"",IF(MAX(W238:Z238)=MIN(W238:Z238),"OK","Qty differs"))</f>
        <v>OK</v>
      </c>
      <c r="V238" s="80"/>
      <c r="W238" s="81" t="n">
        <f aca="false">IF(COUNTIFS('Quote Lines'!$P$3:$P$805,$A238&amp;"|"&amp;G$6&amp;"|1",'Quote Lines'!$M$3:$M$805,"Y")=0,"",SUMIFS('Quote Lines'!$L$3:$L$805,'Quote Lines'!$P$3:$P$805,$A238&amp;"|"&amp;G$6&amp;"|1",'Quote Lines'!$M$3:$M$805,"Y"))</f>
        <v>3</v>
      </c>
      <c r="X238" s="81" t="n">
        <f aca="false">IF(COUNTIFS('Quote Lines'!$P$3:$P$805,$A238&amp;"|"&amp;H$6&amp;"|1",'Quote Lines'!$M$3:$M$805,"Y")=0,"",SUMIFS('Quote Lines'!$L$3:$L$805,'Quote Lines'!$P$3:$P$805,$A238&amp;"|"&amp;H$6&amp;"|1",'Quote Lines'!$M$3:$M$805,"Y"))</f>
        <v>3</v>
      </c>
      <c r="Y238" s="81" t="n">
        <f aca="false">IF(COUNTIFS('Quote Lines'!$P$3:$P$805,$A238&amp;"|"&amp;I$6&amp;"|1",'Quote Lines'!$M$3:$M$805,"Y")=0,"",SUMIFS('Quote Lines'!$L$3:$L$805,'Quote Lines'!$P$3:$P$805,$A238&amp;"|"&amp;I$6&amp;"|1",'Quote Lines'!$M$3:$M$805,"Y"))</f>
        <v>3</v>
      </c>
      <c r="Z238" s="81" t="n">
        <f aca="false">IF(COUNTIFS('Quote Lines'!$P$3:$P$805,$A238&amp;"|"&amp;J$6&amp;"|1",'Quote Lines'!$M$3:$M$805,"Y")=0,"",SUMIFS('Quote Lines'!$L$3:$L$805,'Quote Lines'!$P$3:$P$805,$A238&amp;"|"&amp;J$6&amp;"|1",'Quote Lines'!$M$3:$M$805,"Y"))</f>
        <v>3</v>
      </c>
      <c r="AA238" s="82" t="n">
        <f aca="false">IF(ISNUMBER(G238),1+SUMPRODUCT(ISNUMBER($G238:$J238)*($G238:$J238&lt;G238)),"")</f>
        <v>1</v>
      </c>
      <c r="AB238" s="82" t="n">
        <f aca="false">IF(ISNUMBER(H238),1+SUMPRODUCT(ISNUMBER($G238:$J238)*($G238:$J238&lt;H238)),"")</f>
        <v>2</v>
      </c>
      <c r="AC238" s="82" t="n">
        <f aca="false">IF(ISNUMBER(I238),1+SUMPRODUCT(ISNUMBER($G238:$J238)*($G238:$J238&lt;I238)),"")</f>
        <v>4</v>
      </c>
      <c r="AD238" s="82" t="n">
        <f aca="false">IF(ISNUMBER(J238),1+SUMPRODUCT(ISNUMBER($G238:$J238)*($G238:$J238&lt;J238)),"")</f>
        <v>3</v>
      </c>
      <c r="AE238" s="82" t="n">
        <f aca="false">IF(NOT(ISNUMBER(G238)),0,IF($S238&lt;2,5,IF(AA238=1,1,IF(G238=MAX($G238:$J238),4,IF(AA238=2,2,3)))))</f>
        <v>1</v>
      </c>
      <c r="AF238" s="82" t="n">
        <f aca="false">IF(NOT(ISNUMBER(H238)),0,IF($S238&lt;2,5,IF(AB238=1,1,IF(H238=MAX($G238:$J238),4,IF(AB238=2,2,3)))))</f>
        <v>2</v>
      </c>
      <c r="AG238" s="82" t="n">
        <f aca="false">IF(NOT(ISNUMBER(I238)),0,IF($S238&lt;2,5,IF(AC238=1,1,IF(I238=MAX($G238:$J238),4,IF(AC238=2,2,3)))))</f>
        <v>4</v>
      </c>
      <c r="AH238" s="82" t="n">
        <f aca="false">IF(NOT(ISNUMBER(J238)),0,IF($S238&lt;2,5,IF(AD238=1,1,IF(J238=MAX($G238:$J238),4,IF(AD238=2,2,3)))))</f>
        <v>3</v>
      </c>
      <c r="AI238" s="83" t="n">
        <f aca="false">IF($S238&gt;=2,IF(ISNUMBER(G238),G238*$F238,MIN($G238:$J238)*$F238),0)</f>
        <v>9719.49</v>
      </c>
      <c r="AJ238" s="83" t="n">
        <f aca="false">IF($S238&gt;=2,IF(ISNUMBER(H238),H238*$F238,MIN($G238:$J238)*$F238),0)</f>
        <v>10155.21</v>
      </c>
      <c r="AK238" s="83" t="n">
        <f aca="false">IF($S238&gt;=2,IF(ISNUMBER(I238),I238*$F238,MIN($G238:$J238)*$F238),0)</f>
        <v>11026.1</v>
      </c>
      <c r="AL238" s="83" t="n">
        <f aca="false">IF($S238&gt;=2,IF(ISNUMBER(J238),J238*$F238,MIN($G238:$J238)*$F238),0)</f>
        <v>10636.92</v>
      </c>
      <c r="AM238" s="84" t="n">
        <f aca="false">IF($S238&gt;=2,$R238+ROW()/1000000,"")</f>
        <v>1306.610238</v>
      </c>
      <c r="AN238" s="83" t="n">
        <f aca="false">IF($S238&gt;=2,MAX(G238:J238),"")</f>
        <v>3675.36666666667</v>
      </c>
      <c r="AO238" s="82" t="str">
        <f aca="false">IF($S238&gt;=2,INDEX($G$6:$J$6,MATCH(MAX(G238:J238),G238:J238,0)),"")</f>
        <v>Mountainland</v>
      </c>
      <c r="AP238" s="83" t="n">
        <f aca="false">IF($S238&gt;=2,MIN(G238:J238)*$F238,0)</f>
        <v>9719.49</v>
      </c>
      <c r="AQ238" s="82" t="str">
        <f aca="false">IF($S238&gt;=2,INDEX($G$6:$J$6,MATCH(MIN(G238:J238),G238:J238,0)),"")</f>
        <v>Ferguson</v>
      </c>
    </row>
    <row r="239" customFormat="false" ht="15" hidden="false" customHeight="true" outlineLevel="0" collapsed="false">
      <c r="A239" s="70" t="s">
        <v>631</v>
      </c>
      <c r="B239" s="71" t="s">
        <v>629</v>
      </c>
      <c r="C239" s="72" t="s">
        <v>308</v>
      </c>
      <c r="D239" s="73" t="s">
        <v>632</v>
      </c>
      <c r="E239" s="74" t="s">
        <v>310</v>
      </c>
      <c r="F239" s="75" t="n">
        <v>6</v>
      </c>
      <c r="G239" s="85" t="s">
        <v>138</v>
      </c>
      <c r="H239" s="85" t="s">
        <v>138</v>
      </c>
      <c r="I239" s="85" t="s">
        <v>138</v>
      </c>
      <c r="J239" s="76" t="n">
        <f aca="false">IF(COUNTIF('Quote Lines'!$P$3:$P$805,$A239&amp;"|"&amp;J$6&amp;"|1")=0,"—",SUMIFS('Quote Lines'!$O$3:$O$805,'Quote Lines'!$P$3:$P$805,$A239&amp;"|"&amp;J$6&amp;"|1")/SUMIFS('Quote Lines'!$L$3:$L$805,'Quote Lines'!$P$3:$P$805,$A239&amp;"|"&amp;J$6&amp;"|1"))</f>
        <v>80.28</v>
      </c>
      <c r="K239" s="14" t="str">
        <f aca="false">IF(ISNUMBER(G239),G239*$F239,"—")</f>
        <v>—</v>
      </c>
      <c r="L239" s="14" t="str">
        <f aca="false">IF(ISNUMBER(H239),H239*$F239,"—")</f>
        <v>—</v>
      </c>
      <c r="M239" s="14" t="str">
        <f aca="false">IF(ISNUMBER(I239),I239*$F239,"—")</f>
        <v>—</v>
      </c>
      <c r="N239" s="14" t="n">
        <f aca="false">IF(ISNUMBER(J239),J239*$F239,"—")</f>
        <v>481.68</v>
      </c>
      <c r="O239" s="77" t="n">
        <f aca="false">IF($S239=0,"—",MIN(G239:J239))</f>
        <v>80.28</v>
      </c>
      <c r="P239" s="42" t="str">
        <f aca="false">IF($S239=0,"—",IF(COUNTIF(G239:J239,O239)&gt;1,"Tie",INDEX($G$6:$J$6,MATCH(O239,G239:J239,0))))</f>
        <v>Scholzen</v>
      </c>
      <c r="Q239" s="48" t="str">
        <f aca="false">IF($S239&gt;=2,MAX(G239:J239)/MIN(G239:J239)-1,"—")</f>
        <v>—</v>
      </c>
      <c r="R239" s="78" t="str">
        <f aca="false">IF($S239&gt;=2,(MAX(G239:J239)-MIN(G239:J239))*$F239,"—")</f>
        <v>—</v>
      </c>
      <c r="S239" s="18" t="n">
        <f aca="false">COUNT(G239:J239)</f>
        <v>1</v>
      </c>
      <c r="T239" s="79" t="str">
        <f aca="false">IF($S239&lt;=1,IF($S239=1,"Single quote","—"),"Like-for-like")</f>
        <v>Single quote</v>
      </c>
      <c r="U239" s="79" t="str">
        <f aca="false">IF(COUNT(W239:Z239)&lt;2,"",IF(MAX(W239:Z239)=MIN(W239:Z239),"OK","Qty differs"))</f>
        <v/>
      </c>
      <c r="V239" s="80"/>
      <c r="W239" s="81"/>
      <c r="X239" s="81"/>
      <c r="Y239" s="81"/>
      <c r="Z239" s="81" t="n">
        <f aca="false">IF(COUNTIFS('Quote Lines'!$P$3:$P$805,$A239&amp;"|"&amp;J$6&amp;"|1",'Quote Lines'!$M$3:$M$805,"Y")=0,"",SUMIFS('Quote Lines'!$L$3:$L$805,'Quote Lines'!$P$3:$P$805,$A239&amp;"|"&amp;J$6&amp;"|1",'Quote Lines'!$M$3:$M$805,"Y"))</f>
        <v>6</v>
      </c>
      <c r="AA239" s="82" t="str">
        <f aca="false">IF(ISNUMBER(G239),1+SUMPRODUCT(ISNUMBER($G239:$J239)*($G239:$J239&lt;G239)),"")</f>
        <v/>
      </c>
      <c r="AB239" s="82" t="str">
        <f aca="false">IF(ISNUMBER(H239),1+SUMPRODUCT(ISNUMBER($G239:$J239)*($G239:$J239&lt;H239)),"")</f>
        <v/>
      </c>
      <c r="AC239" s="82" t="str">
        <f aca="false">IF(ISNUMBER(I239),1+SUMPRODUCT(ISNUMBER($G239:$J239)*($G239:$J239&lt;I239)),"")</f>
        <v/>
      </c>
      <c r="AD239" s="82" t="n">
        <f aca="false">IF(ISNUMBER(J239),1+SUMPRODUCT(ISNUMBER($G239:$J239)*($G239:$J239&lt;J239)),"")</f>
        <v>1</v>
      </c>
      <c r="AE239" s="82" t="n">
        <f aca="false">IF(NOT(ISNUMBER(G239)),0,IF($S239&lt;2,5,IF(AA239=1,1,IF(G239=MAX($G239:$J239),4,IF(AA239=2,2,3)))))</f>
        <v>0</v>
      </c>
      <c r="AF239" s="82" t="n">
        <f aca="false">IF(NOT(ISNUMBER(H239)),0,IF($S239&lt;2,5,IF(AB239=1,1,IF(H239=MAX($G239:$J239),4,IF(AB239=2,2,3)))))</f>
        <v>0</v>
      </c>
      <c r="AG239" s="82" t="n">
        <f aca="false">IF(NOT(ISNUMBER(I239)),0,IF($S239&lt;2,5,IF(AC239=1,1,IF(I239=MAX($G239:$J239),4,IF(AC239=2,2,3)))))</f>
        <v>0</v>
      </c>
      <c r="AH239" s="82" t="n">
        <f aca="false">IF(NOT(ISNUMBER(J239)),0,IF($S239&lt;2,5,IF(AD239=1,1,IF(J239=MAX($G239:$J239),4,IF(AD239=2,2,3)))))</f>
        <v>5</v>
      </c>
      <c r="AI239" s="83" t="n">
        <f aca="false">IF($S239&gt;=2,IF(ISNUMBER(G239),G239*$F239,MIN($G239:$J239)*$F239),0)</f>
        <v>0</v>
      </c>
      <c r="AJ239" s="83" t="n">
        <f aca="false">IF($S239&gt;=2,IF(ISNUMBER(H239),H239*$F239,MIN($G239:$J239)*$F239),0)</f>
        <v>0</v>
      </c>
      <c r="AK239" s="83" t="n">
        <f aca="false">IF($S239&gt;=2,IF(ISNUMBER(I239),I239*$F239,MIN($G239:$J239)*$F239),0)</f>
        <v>0</v>
      </c>
      <c r="AL239" s="83" t="n">
        <f aca="false">IF($S239&gt;=2,IF(ISNUMBER(J239),J239*$F239,MIN($G239:$J239)*$F239),0)</f>
        <v>0</v>
      </c>
      <c r="AM239" s="84" t="str">
        <f aca="false">IF($S239&gt;=2,$R239+ROW()/1000000,"")</f>
        <v/>
      </c>
      <c r="AN239" s="83" t="str">
        <f aca="false">IF($S239&gt;=2,MAX(G239:J239),"")</f>
        <v/>
      </c>
      <c r="AO239" s="82" t="str">
        <f aca="false">IF($S239&gt;=2,INDEX($G$6:$J$6,MATCH(MAX(G239:J239),G239:J239,0)),"")</f>
        <v/>
      </c>
      <c r="AP239" s="83" t="n">
        <f aca="false">IF($S239&gt;=2,MIN(G239:J239)*$F239,0)</f>
        <v>0</v>
      </c>
      <c r="AQ239" s="82" t="str">
        <f aca="false">IF($S239&gt;=2,INDEX($G$6:$J$6,MATCH(MIN(G239:J239),G239:J239,0)),"")</f>
        <v/>
      </c>
    </row>
    <row r="240" customFormat="false" ht="15" hidden="false" customHeight="true" outlineLevel="0" collapsed="false">
      <c r="A240" s="70" t="s">
        <v>633</v>
      </c>
      <c r="B240" s="71" t="s">
        <v>629</v>
      </c>
      <c r="C240" s="72" t="s">
        <v>308</v>
      </c>
      <c r="D240" s="73" t="s">
        <v>309</v>
      </c>
      <c r="E240" s="74" t="s">
        <v>310</v>
      </c>
      <c r="F240" s="75" t="n">
        <v>6</v>
      </c>
      <c r="G240" s="85" t="s">
        <v>138</v>
      </c>
      <c r="H240" s="85" t="s">
        <v>138</v>
      </c>
      <c r="I240" s="85" t="s">
        <v>138</v>
      </c>
      <c r="J240" s="76" t="n">
        <f aca="false">IF(COUNTIF('Quote Lines'!$P$3:$P$805,$A240&amp;"|"&amp;J$6&amp;"|1")=0,"—",SUMIFS('Quote Lines'!$O$3:$O$805,'Quote Lines'!$P$3:$P$805,$A240&amp;"|"&amp;J$6&amp;"|1")/SUMIFS('Quote Lines'!$L$3:$L$805,'Quote Lines'!$P$3:$P$805,$A240&amp;"|"&amp;J$6&amp;"|1"))</f>
        <v>124</v>
      </c>
      <c r="K240" s="14" t="str">
        <f aca="false">IF(ISNUMBER(G240),G240*$F240,"—")</f>
        <v>—</v>
      </c>
      <c r="L240" s="14" t="str">
        <f aca="false">IF(ISNUMBER(H240),H240*$F240,"—")</f>
        <v>—</v>
      </c>
      <c r="M240" s="14" t="str">
        <f aca="false">IF(ISNUMBER(I240),I240*$F240,"—")</f>
        <v>—</v>
      </c>
      <c r="N240" s="14" t="n">
        <f aca="false">IF(ISNUMBER(J240),J240*$F240,"—")</f>
        <v>744</v>
      </c>
      <c r="O240" s="77" t="n">
        <f aca="false">IF($S240=0,"—",MIN(G240:J240))</f>
        <v>124</v>
      </c>
      <c r="P240" s="42" t="str">
        <f aca="false">IF($S240=0,"—",IF(COUNTIF(G240:J240,O240)&gt;1,"Tie",INDEX($G$6:$J$6,MATCH(O240,G240:J240,0))))</f>
        <v>Scholzen</v>
      </c>
      <c r="Q240" s="48" t="str">
        <f aca="false">IF($S240&gt;=2,MAX(G240:J240)/MIN(G240:J240)-1,"—")</f>
        <v>—</v>
      </c>
      <c r="R240" s="78" t="str">
        <f aca="false">IF($S240&gt;=2,(MAX(G240:J240)-MIN(G240:J240))*$F240,"—")</f>
        <v>—</v>
      </c>
      <c r="S240" s="18" t="n">
        <f aca="false">COUNT(G240:J240)</f>
        <v>1</v>
      </c>
      <c r="T240" s="79" t="str">
        <f aca="false">IF($S240&lt;=1,IF($S240=1,"Single quote","—"),"Like-for-like")</f>
        <v>Single quote</v>
      </c>
      <c r="U240" s="79" t="str">
        <f aca="false">IF(COUNT(W240:Z240)&lt;2,"",IF(MAX(W240:Z240)=MIN(W240:Z240),"OK","Qty differs"))</f>
        <v/>
      </c>
      <c r="V240" s="80"/>
      <c r="W240" s="81"/>
      <c r="X240" s="81"/>
      <c r="Y240" s="81"/>
      <c r="Z240" s="81" t="n">
        <f aca="false">IF(COUNTIFS('Quote Lines'!$P$3:$P$805,$A240&amp;"|"&amp;J$6&amp;"|1",'Quote Lines'!$M$3:$M$805,"Y")=0,"",SUMIFS('Quote Lines'!$L$3:$L$805,'Quote Lines'!$P$3:$P$805,$A240&amp;"|"&amp;J$6&amp;"|1",'Quote Lines'!$M$3:$M$805,"Y"))</f>
        <v>6</v>
      </c>
      <c r="AA240" s="82" t="str">
        <f aca="false">IF(ISNUMBER(G240),1+SUMPRODUCT(ISNUMBER($G240:$J240)*($G240:$J240&lt;G240)),"")</f>
        <v/>
      </c>
      <c r="AB240" s="82" t="str">
        <f aca="false">IF(ISNUMBER(H240),1+SUMPRODUCT(ISNUMBER($G240:$J240)*($G240:$J240&lt;H240)),"")</f>
        <v/>
      </c>
      <c r="AC240" s="82" t="str">
        <f aca="false">IF(ISNUMBER(I240),1+SUMPRODUCT(ISNUMBER($G240:$J240)*($G240:$J240&lt;I240)),"")</f>
        <v/>
      </c>
      <c r="AD240" s="82" t="n">
        <f aca="false">IF(ISNUMBER(J240),1+SUMPRODUCT(ISNUMBER($G240:$J240)*($G240:$J240&lt;J240)),"")</f>
        <v>1</v>
      </c>
      <c r="AE240" s="82" t="n">
        <f aca="false">IF(NOT(ISNUMBER(G240)),0,IF($S240&lt;2,5,IF(AA240=1,1,IF(G240=MAX($G240:$J240),4,IF(AA240=2,2,3)))))</f>
        <v>0</v>
      </c>
      <c r="AF240" s="82" t="n">
        <f aca="false">IF(NOT(ISNUMBER(H240)),0,IF($S240&lt;2,5,IF(AB240=1,1,IF(H240=MAX($G240:$J240),4,IF(AB240=2,2,3)))))</f>
        <v>0</v>
      </c>
      <c r="AG240" s="82" t="n">
        <f aca="false">IF(NOT(ISNUMBER(I240)),0,IF($S240&lt;2,5,IF(AC240=1,1,IF(I240=MAX($G240:$J240),4,IF(AC240=2,2,3)))))</f>
        <v>0</v>
      </c>
      <c r="AH240" s="82" t="n">
        <f aca="false">IF(NOT(ISNUMBER(J240)),0,IF($S240&lt;2,5,IF(AD240=1,1,IF(J240=MAX($G240:$J240),4,IF(AD240=2,2,3)))))</f>
        <v>5</v>
      </c>
      <c r="AI240" s="83" t="n">
        <f aca="false">IF($S240&gt;=2,IF(ISNUMBER(G240),G240*$F240,MIN($G240:$J240)*$F240),0)</f>
        <v>0</v>
      </c>
      <c r="AJ240" s="83" t="n">
        <f aca="false">IF($S240&gt;=2,IF(ISNUMBER(H240),H240*$F240,MIN($G240:$J240)*$F240),0)</f>
        <v>0</v>
      </c>
      <c r="AK240" s="83" t="n">
        <f aca="false">IF($S240&gt;=2,IF(ISNUMBER(I240),I240*$F240,MIN($G240:$J240)*$F240),0)</f>
        <v>0</v>
      </c>
      <c r="AL240" s="83" t="n">
        <f aca="false">IF($S240&gt;=2,IF(ISNUMBER(J240),J240*$F240,MIN($G240:$J240)*$F240),0)</f>
        <v>0</v>
      </c>
      <c r="AM240" s="84" t="str">
        <f aca="false">IF($S240&gt;=2,$R240+ROW()/1000000,"")</f>
        <v/>
      </c>
      <c r="AN240" s="83" t="str">
        <f aca="false">IF($S240&gt;=2,MAX(G240:J240),"")</f>
        <v/>
      </c>
      <c r="AO240" s="82" t="str">
        <f aca="false">IF($S240&gt;=2,INDEX($G$6:$J$6,MATCH(MAX(G240:J240),G240:J240,0)),"")</f>
        <v/>
      </c>
      <c r="AP240" s="83" t="n">
        <f aca="false">IF($S240&gt;=2,MIN(G240:J240)*$F240,0)</f>
        <v>0</v>
      </c>
      <c r="AQ240" s="82" t="str">
        <f aca="false">IF($S240&gt;=2,INDEX($G$6:$J$6,MATCH(MIN(G240:J240),G240:J240,0)),"")</f>
        <v/>
      </c>
    </row>
    <row r="241" customFormat="false" ht="19.5" hidden="false" customHeight="true" outlineLevel="0" collapsed="false">
      <c r="A241" s="69"/>
      <c r="B241" s="9" t="s">
        <v>634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</row>
    <row r="242" customFormat="false" ht="15" hidden="false" customHeight="true" outlineLevel="0" collapsed="false">
      <c r="A242" s="70" t="s">
        <v>635</v>
      </c>
      <c r="B242" s="71" t="s">
        <v>636</v>
      </c>
      <c r="C242" s="72" t="s">
        <v>131</v>
      </c>
      <c r="D242" s="73" t="s">
        <v>637</v>
      </c>
      <c r="E242" s="74" t="s">
        <v>133</v>
      </c>
      <c r="F242" s="75" t="n">
        <v>2</v>
      </c>
      <c r="G242" s="76" t="n">
        <f aca="false">IF(COUNTIF('Quote Lines'!$P$3:$P$805,$A242&amp;"|"&amp;G$6&amp;"|1")=0,"—",SUMIFS('Quote Lines'!$O$3:$O$805,'Quote Lines'!$P$3:$P$805,$A242&amp;"|"&amp;G$6&amp;"|1")/SUMIFS('Quote Lines'!$L$3:$L$805,'Quote Lines'!$P$3:$P$805,$A242&amp;"|"&amp;G$6&amp;"|1"))</f>
        <v>143.84</v>
      </c>
      <c r="H242" s="76" t="n">
        <f aca="false">IF(COUNTIF('Quote Lines'!$P$3:$P$805,$A242&amp;"|"&amp;H$6&amp;"|1")=0,"—",SUMIFS('Quote Lines'!$O$3:$O$805,'Quote Lines'!$P$3:$P$805,$A242&amp;"|"&amp;H$6&amp;"|1")/SUMIFS('Quote Lines'!$L$3:$L$805,'Quote Lines'!$P$3:$P$805,$A242&amp;"|"&amp;H$6&amp;"|1"))</f>
        <v>150.28</v>
      </c>
      <c r="I242" s="76" t="n">
        <f aca="false">IF(COUNTIF('Quote Lines'!$P$3:$P$805,$A242&amp;"|"&amp;I$6&amp;"|1")=0,"—",SUMIFS('Quote Lines'!$O$3:$O$805,'Quote Lines'!$P$3:$P$805,$A242&amp;"|"&amp;I$6&amp;"|1")/SUMIFS('Quote Lines'!$L$3:$L$805,'Quote Lines'!$P$3:$P$805,$A242&amp;"|"&amp;I$6&amp;"|1"))</f>
        <v>163.17</v>
      </c>
      <c r="J242" s="76" t="n">
        <f aca="false">IF(COUNTIF('Quote Lines'!$P$3:$P$805,$A242&amp;"|"&amp;J$6&amp;"|1")=0,"—",SUMIFS('Quote Lines'!$O$3:$O$805,'Quote Lines'!$P$3:$P$805,$A242&amp;"|"&amp;J$6&amp;"|1")/SUMIFS('Quote Lines'!$L$3:$L$805,'Quote Lines'!$P$3:$P$805,$A242&amp;"|"&amp;J$6&amp;"|1"))</f>
        <v>181.25</v>
      </c>
      <c r="K242" s="14" t="n">
        <f aca="false">IF(ISNUMBER(G242),G242*$F242,"—")</f>
        <v>287.68</v>
      </c>
      <c r="L242" s="14" t="n">
        <f aca="false">IF(ISNUMBER(H242),H242*$F242,"—")</f>
        <v>300.56</v>
      </c>
      <c r="M242" s="14" t="n">
        <f aca="false">IF(ISNUMBER(I242),I242*$F242,"—")</f>
        <v>326.34</v>
      </c>
      <c r="N242" s="14" t="n">
        <f aca="false">IF(ISNUMBER(J242),J242*$F242,"—")</f>
        <v>362.5</v>
      </c>
      <c r="O242" s="77" t="n">
        <f aca="false">IF($S242=0,"—",MIN(G242:J242))</f>
        <v>143.84</v>
      </c>
      <c r="P242" s="42" t="str">
        <f aca="false">IF($S242=0,"—",IF(COUNTIF(G242:J242,O242)&gt;1,"Tie",INDEX($G$6:$J$6,MATCH(O242,G242:J242,0))))</f>
        <v>Ferguson</v>
      </c>
      <c r="Q242" s="48" t="n">
        <f aca="false">IF($S242&gt;=2,MAX(G242:J242)/MIN(G242:J242)-1,"—")</f>
        <v>0.26008064516129</v>
      </c>
      <c r="R242" s="78" t="n">
        <f aca="false">IF($S242&gt;=2,(MAX(G242:J242)-MIN(G242:J242))*$F242,"—")</f>
        <v>74.82</v>
      </c>
      <c r="S242" s="18" t="n">
        <f aca="false">COUNT(G242:J242)</f>
        <v>4</v>
      </c>
      <c r="T242" s="79" t="str">
        <f aca="false">IF($S242&lt;=1,IF($S242=1,"Single quote","—"),"Like-for-like")</f>
        <v>Like-for-like</v>
      </c>
      <c r="U242" s="79" t="str">
        <f aca="false">IF(COUNT(W242:Z242)&lt;2,"",IF(MAX(W242:Z242)=MIN(W242:Z242),"OK","Qty differs"))</f>
        <v>OK</v>
      </c>
      <c r="V242" s="80" t="s">
        <v>638</v>
      </c>
      <c r="W242" s="81" t="n">
        <f aca="false">IF(COUNTIFS('Quote Lines'!$P$3:$P$805,$A242&amp;"|"&amp;G$6&amp;"|1",'Quote Lines'!$M$3:$M$805,"Y")=0,"",SUMIFS('Quote Lines'!$L$3:$L$805,'Quote Lines'!$P$3:$P$805,$A242&amp;"|"&amp;G$6&amp;"|1",'Quote Lines'!$M$3:$M$805,"Y"))</f>
        <v>2</v>
      </c>
      <c r="X242" s="81" t="n">
        <f aca="false">IF(COUNTIFS('Quote Lines'!$P$3:$P$805,$A242&amp;"|"&amp;H$6&amp;"|1",'Quote Lines'!$M$3:$M$805,"Y")=0,"",SUMIFS('Quote Lines'!$L$3:$L$805,'Quote Lines'!$P$3:$P$805,$A242&amp;"|"&amp;H$6&amp;"|1",'Quote Lines'!$M$3:$M$805,"Y"))</f>
        <v>2</v>
      </c>
      <c r="Y242" s="81" t="n">
        <f aca="false">IF(COUNTIFS('Quote Lines'!$P$3:$P$805,$A242&amp;"|"&amp;I$6&amp;"|1",'Quote Lines'!$M$3:$M$805,"Y")=0,"",SUMIFS('Quote Lines'!$L$3:$L$805,'Quote Lines'!$P$3:$P$805,$A242&amp;"|"&amp;I$6&amp;"|1",'Quote Lines'!$M$3:$M$805,"Y"))</f>
        <v>2</v>
      </c>
      <c r="Z242" s="81" t="n">
        <f aca="false">IF(COUNTIFS('Quote Lines'!$P$3:$P$805,$A242&amp;"|"&amp;J$6&amp;"|1",'Quote Lines'!$M$3:$M$805,"Y")=0,"",SUMIFS('Quote Lines'!$L$3:$L$805,'Quote Lines'!$P$3:$P$805,$A242&amp;"|"&amp;J$6&amp;"|1",'Quote Lines'!$M$3:$M$805,"Y"))</f>
        <v>2</v>
      </c>
      <c r="AA242" s="82" t="n">
        <f aca="false">IF(ISNUMBER(G242),1+SUMPRODUCT(ISNUMBER($G242:$J242)*($G242:$J242&lt;G242)),"")</f>
        <v>1</v>
      </c>
      <c r="AB242" s="82" t="n">
        <f aca="false">IF(ISNUMBER(H242),1+SUMPRODUCT(ISNUMBER($G242:$J242)*($G242:$J242&lt;H242)),"")</f>
        <v>2</v>
      </c>
      <c r="AC242" s="82" t="n">
        <f aca="false">IF(ISNUMBER(I242),1+SUMPRODUCT(ISNUMBER($G242:$J242)*($G242:$J242&lt;I242)),"")</f>
        <v>3</v>
      </c>
      <c r="AD242" s="82" t="n">
        <f aca="false">IF(ISNUMBER(J242),1+SUMPRODUCT(ISNUMBER($G242:$J242)*($G242:$J242&lt;J242)),"")</f>
        <v>4</v>
      </c>
      <c r="AE242" s="82" t="n">
        <f aca="false">IF(NOT(ISNUMBER(G242)),0,IF($S242&lt;2,5,IF(AA242=1,1,IF(G242=MAX($G242:$J242),4,IF(AA242=2,2,3)))))</f>
        <v>1</v>
      </c>
      <c r="AF242" s="82" t="n">
        <f aca="false">IF(NOT(ISNUMBER(H242)),0,IF($S242&lt;2,5,IF(AB242=1,1,IF(H242=MAX($G242:$J242),4,IF(AB242=2,2,3)))))</f>
        <v>2</v>
      </c>
      <c r="AG242" s="82" t="n">
        <f aca="false">IF(NOT(ISNUMBER(I242)),0,IF($S242&lt;2,5,IF(AC242=1,1,IF(I242=MAX($G242:$J242),4,IF(AC242=2,2,3)))))</f>
        <v>3</v>
      </c>
      <c r="AH242" s="82" t="n">
        <f aca="false">IF(NOT(ISNUMBER(J242)),0,IF($S242&lt;2,5,IF(AD242=1,1,IF(J242=MAX($G242:$J242),4,IF(AD242=2,2,3)))))</f>
        <v>4</v>
      </c>
      <c r="AI242" s="83" t="n">
        <f aca="false">IF($S242&gt;=2,IF(ISNUMBER(G242),G242*$F242,MIN($G242:$J242)*$F242),0)</f>
        <v>287.68</v>
      </c>
      <c r="AJ242" s="83" t="n">
        <f aca="false">IF($S242&gt;=2,IF(ISNUMBER(H242),H242*$F242,MIN($G242:$J242)*$F242),0)</f>
        <v>300.56</v>
      </c>
      <c r="AK242" s="83" t="n">
        <f aca="false">IF($S242&gt;=2,IF(ISNUMBER(I242),I242*$F242,MIN($G242:$J242)*$F242),0)</f>
        <v>326.34</v>
      </c>
      <c r="AL242" s="83" t="n">
        <f aca="false">IF($S242&gt;=2,IF(ISNUMBER(J242),J242*$F242,MIN($G242:$J242)*$F242),0)</f>
        <v>362.5</v>
      </c>
      <c r="AM242" s="84" t="n">
        <f aca="false">IF($S242&gt;=2,$R242+ROW()/1000000,"")</f>
        <v>74.820242</v>
      </c>
      <c r="AN242" s="83" t="n">
        <f aca="false">IF($S242&gt;=2,MAX(G242:J242),"")</f>
        <v>181.25</v>
      </c>
      <c r="AO242" s="82" t="str">
        <f aca="false">IF($S242&gt;=2,INDEX($G$6:$J$6,MATCH(MAX(G242:J242),G242:J242,0)),"")</f>
        <v>Scholzen</v>
      </c>
      <c r="AP242" s="83" t="n">
        <f aca="false">IF($S242&gt;=2,MIN(G242:J242)*$F242,0)</f>
        <v>287.68</v>
      </c>
      <c r="AQ242" s="82" t="str">
        <f aca="false">IF($S242&gt;=2,INDEX($G$6:$J$6,MATCH(MIN(G242:J242),G242:J242,0)),"")</f>
        <v>Ferguson</v>
      </c>
    </row>
    <row r="243" customFormat="false" ht="15" hidden="false" customHeight="true" outlineLevel="0" collapsed="false">
      <c r="A243" s="70" t="s">
        <v>639</v>
      </c>
      <c r="B243" s="71" t="s">
        <v>636</v>
      </c>
      <c r="C243" s="72" t="s">
        <v>131</v>
      </c>
      <c r="D243" s="73" t="s">
        <v>640</v>
      </c>
      <c r="E243" s="74" t="s">
        <v>133</v>
      </c>
      <c r="F243" s="75" t="n">
        <v>2</v>
      </c>
      <c r="G243" s="85" t="s">
        <v>138</v>
      </c>
      <c r="H243" s="85" t="s">
        <v>138</v>
      </c>
      <c r="I243" s="85" t="s">
        <v>138</v>
      </c>
      <c r="J243" s="76" t="n">
        <f aca="false">IF(COUNTIF('Quote Lines'!$P$3:$P$805,$A243&amp;"|"&amp;J$6&amp;"|1")=0,"—",SUMIFS('Quote Lines'!$O$3:$O$805,'Quote Lines'!$P$3:$P$805,$A243&amp;"|"&amp;J$6&amp;"|1")/SUMIFS('Quote Lines'!$L$3:$L$805,'Quote Lines'!$P$3:$P$805,$A243&amp;"|"&amp;J$6&amp;"|1"))</f>
        <v>356.25</v>
      </c>
      <c r="K243" s="14" t="str">
        <f aca="false">IF(ISNUMBER(G243),G243*$F243,"—")</f>
        <v>—</v>
      </c>
      <c r="L243" s="14" t="str">
        <f aca="false">IF(ISNUMBER(H243),H243*$F243,"—")</f>
        <v>—</v>
      </c>
      <c r="M243" s="14" t="str">
        <f aca="false">IF(ISNUMBER(I243),I243*$F243,"—")</f>
        <v>—</v>
      </c>
      <c r="N243" s="14" t="n">
        <f aca="false">IF(ISNUMBER(J243),J243*$F243,"—")</f>
        <v>712.5</v>
      </c>
      <c r="O243" s="77" t="n">
        <f aca="false">IF($S243=0,"—",MIN(G243:J243))</f>
        <v>356.25</v>
      </c>
      <c r="P243" s="42" t="str">
        <f aca="false">IF($S243=0,"—",IF(COUNTIF(G243:J243,O243)&gt;1,"Tie",INDEX($G$6:$J$6,MATCH(O243,G243:J243,0))))</f>
        <v>Scholzen</v>
      </c>
      <c r="Q243" s="48" t="str">
        <f aca="false">IF($S243&gt;=2,MAX(G243:J243)/MIN(G243:J243)-1,"—")</f>
        <v>—</v>
      </c>
      <c r="R243" s="78" t="str">
        <f aca="false">IF($S243&gt;=2,(MAX(G243:J243)-MIN(G243:J243))*$F243,"—")</f>
        <v>—</v>
      </c>
      <c r="S243" s="18" t="n">
        <f aca="false">COUNT(G243:J243)</f>
        <v>1</v>
      </c>
      <c r="T243" s="79" t="str">
        <f aca="false">IF($S243&lt;=1,IF($S243=1,"Single quote","—"),"Like-for-like")</f>
        <v>Single quote</v>
      </c>
      <c r="U243" s="79" t="str">
        <f aca="false">IF(COUNT(W243:Z243)&lt;2,"",IF(MAX(W243:Z243)=MIN(W243:Z243),"OK","Qty differs"))</f>
        <v/>
      </c>
      <c r="V243" s="80"/>
      <c r="W243" s="81"/>
      <c r="X243" s="81"/>
      <c r="Y243" s="81"/>
      <c r="Z243" s="81" t="n">
        <f aca="false">IF(COUNTIFS('Quote Lines'!$P$3:$P$805,$A243&amp;"|"&amp;J$6&amp;"|1",'Quote Lines'!$M$3:$M$805,"Y")=0,"",SUMIFS('Quote Lines'!$L$3:$L$805,'Quote Lines'!$P$3:$P$805,$A243&amp;"|"&amp;J$6&amp;"|1",'Quote Lines'!$M$3:$M$805,"Y"))</f>
        <v>2</v>
      </c>
      <c r="AA243" s="82" t="str">
        <f aca="false">IF(ISNUMBER(G243),1+SUMPRODUCT(ISNUMBER($G243:$J243)*($G243:$J243&lt;G243)),"")</f>
        <v/>
      </c>
      <c r="AB243" s="82" t="str">
        <f aca="false">IF(ISNUMBER(H243),1+SUMPRODUCT(ISNUMBER($G243:$J243)*($G243:$J243&lt;H243)),"")</f>
        <v/>
      </c>
      <c r="AC243" s="82" t="str">
        <f aca="false">IF(ISNUMBER(I243),1+SUMPRODUCT(ISNUMBER($G243:$J243)*($G243:$J243&lt;I243)),"")</f>
        <v/>
      </c>
      <c r="AD243" s="82" t="n">
        <f aca="false">IF(ISNUMBER(J243),1+SUMPRODUCT(ISNUMBER($G243:$J243)*($G243:$J243&lt;J243)),"")</f>
        <v>1</v>
      </c>
      <c r="AE243" s="82" t="n">
        <f aca="false">IF(NOT(ISNUMBER(G243)),0,IF($S243&lt;2,5,IF(AA243=1,1,IF(G243=MAX($G243:$J243),4,IF(AA243=2,2,3)))))</f>
        <v>0</v>
      </c>
      <c r="AF243" s="82" t="n">
        <f aca="false">IF(NOT(ISNUMBER(H243)),0,IF($S243&lt;2,5,IF(AB243=1,1,IF(H243=MAX($G243:$J243),4,IF(AB243=2,2,3)))))</f>
        <v>0</v>
      </c>
      <c r="AG243" s="82" t="n">
        <f aca="false">IF(NOT(ISNUMBER(I243)),0,IF($S243&lt;2,5,IF(AC243=1,1,IF(I243=MAX($G243:$J243),4,IF(AC243=2,2,3)))))</f>
        <v>0</v>
      </c>
      <c r="AH243" s="82" t="n">
        <f aca="false">IF(NOT(ISNUMBER(J243)),0,IF($S243&lt;2,5,IF(AD243=1,1,IF(J243=MAX($G243:$J243),4,IF(AD243=2,2,3)))))</f>
        <v>5</v>
      </c>
      <c r="AI243" s="83" t="n">
        <f aca="false">IF($S243&gt;=2,IF(ISNUMBER(G243),G243*$F243,MIN($G243:$J243)*$F243),0)</f>
        <v>0</v>
      </c>
      <c r="AJ243" s="83" t="n">
        <f aca="false">IF($S243&gt;=2,IF(ISNUMBER(H243),H243*$F243,MIN($G243:$J243)*$F243),0)</f>
        <v>0</v>
      </c>
      <c r="AK243" s="83" t="n">
        <f aca="false">IF($S243&gt;=2,IF(ISNUMBER(I243),I243*$F243,MIN($G243:$J243)*$F243),0)</f>
        <v>0</v>
      </c>
      <c r="AL243" s="83" t="n">
        <f aca="false">IF($S243&gt;=2,IF(ISNUMBER(J243),J243*$F243,MIN($G243:$J243)*$F243),0)</f>
        <v>0</v>
      </c>
      <c r="AM243" s="84" t="str">
        <f aca="false">IF($S243&gt;=2,$R243+ROW()/1000000,"")</f>
        <v/>
      </c>
      <c r="AN243" s="83" t="str">
        <f aca="false">IF($S243&gt;=2,MAX(G243:J243),"")</f>
        <v/>
      </c>
      <c r="AO243" s="82" t="str">
        <f aca="false">IF($S243&gt;=2,INDEX($G$6:$J$6,MATCH(MAX(G243:J243),G243:J243,0)),"")</f>
        <v/>
      </c>
      <c r="AP243" s="83" t="n">
        <f aca="false">IF($S243&gt;=2,MIN(G243:J243)*$F243,0)</f>
        <v>0</v>
      </c>
      <c r="AQ243" s="82" t="str">
        <f aca="false">IF($S243&gt;=2,INDEX($G$6:$J$6,MATCH(MIN(G243:J243),G243:J243,0)),"")</f>
        <v/>
      </c>
    </row>
    <row r="244" customFormat="false" ht="15" hidden="false" customHeight="true" outlineLevel="0" collapsed="false">
      <c r="A244" s="70" t="s">
        <v>641</v>
      </c>
      <c r="B244" s="71" t="s">
        <v>636</v>
      </c>
      <c r="C244" s="72" t="s">
        <v>294</v>
      </c>
      <c r="D244" s="73" t="s">
        <v>517</v>
      </c>
      <c r="E244" s="74" t="s">
        <v>133</v>
      </c>
      <c r="F244" s="75" t="n">
        <v>2</v>
      </c>
      <c r="G244" s="76" t="n">
        <f aca="false">IF(COUNTIF('Quote Lines'!$P$3:$P$805,$A244&amp;"|"&amp;G$6&amp;"|1")=0,"—",SUMIFS('Quote Lines'!$O$3:$O$805,'Quote Lines'!$P$3:$P$805,$A244&amp;"|"&amp;G$6&amp;"|1")/SUMIFS('Quote Lines'!$L$3:$L$805,'Quote Lines'!$P$3:$P$805,$A244&amp;"|"&amp;G$6&amp;"|1"))</f>
        <v>69</v>
      </c>
      <c r="H244" s="76" t="n">
        <f aca="false">IF(COUNTIF('Quote Lines'!$P$3:$P$805,$A244&amp;"|"&amp;H$6&amp;"|1")=0,"—",SUMIFS('Quote Lines'!$O$3:$O$805,'Quote Lines'!$P$3:$P$805,$A244&amp;"|"&amp;H$6&amp;"|1")/SUMIFS('Quote Lines'!$L$3:$L$805,'Quote Lines'!$P$3:$P$805,$A244&amp;"|"&amp;H$6&amp;"|1"))</f>
        <v>73.3</v>
      </c>
      <c r="I244" s="76" t="n">
        <f aca="false">IF(COUNTIF('Quote Lines'!$P$3:$P$805,$A244&amp;"|"&amp;I$6&amp;"|1")=0,"—",SUMIFS('Quote Lines'!$O$3:$O$805,'Quote Lines'!$P$3:$P$805,$A244&amp;"|"&amp;I$6&amp;"|1")/SUMIFS('Quote Lines'!$L$3:$L$805,'Quote Lines'!$P$3:$P$805,$A244&amp;"|"&amp;I$6&amp;"|1"))</f>
        <v>74.12</v>
      </c>
      <c r="J244" s="76" t="n">
        <f aca="false">IF(COUNTIF('Quote Lines'!$P$3:$P$805,$A244&amp;"|"&amp;J$6&amp;"|1")=0,"—",SUMIFS('Quote Lines'!$O$3:$O$805,'Quote Lines'!$P$3:$P$805,$A244&amp;"|"&amp;J$6&amp;"|1")/SUMIFS('Quote Lines'!$L$3:$L$805,'Quote Lines'!$P$3:$P$805,$A244&amp;"|"&amp;J$6&amp;"|1"))</f>
        <v>78.75</v>
      </c>
      <c r="K244" s="14" t="n">
        <f aca="false">IF(ISNUMBER(G244),G244*$F244,"—")</f>
        <v>138</v>
      </c>
      <c r="L244" s="14" t="n">
        <f aca="false">IF(ISNUMBER(H244),H244*$F244,"—")</f>
        <v>146.6</v>
      </c>
      <c r="M244" s="14" t="n">
        <f aca="false">IF(ISNUMBER(I244),I244*$F244,"—")</f>
        <v>148.24</v>
      </c>
      <c r="N244" s="14" t="n">
        <f aca="false">IF(ISNUMBER(J244),J244*$F244,"—")</f>
        <v>157.5</v>
      </c>
      <c r="O244" s="77" t="n">
        <f aca="false">IF($S244=0,"—",MIN(G244:J244))</f>
        <v>69</v>
      </c>
      <c r="P244" s="42" t="str">
        <f aca="false">IF($S244=0,"—",IF(COUNTIF(G244:J244,O244)&gt;1,"Tie",INDEX($G$6:$J$6,MATCH(O244,G244:J244,0))))</f>
        <v>Ferguson</v>
      </c>
      <c r="Q244" s="48" t="n">
        <f aca="false">IF($S244&gt;=2,MAX(G244:J244)/MIN(G244:J244)-1,"—")</f>
        <v>0.141304347826087</v>
      </c>
      <c r="R244" s="78" t="n">
        <f aca="false">IF($S244&gt;=2,(MAX(G244:J244)-MIN(G244:J244))*$F244,"—")</f>
        <v>19.5</v>
      </c>
      <c r="S244" s="18" t="n">
        <f aca="false">COUNT(G244:J244)</f>
        <v>4</v>
      </c>
      <c r="T244" s="79" t="str">
        <f aca="false">IF($S244&lt;=1,IF($S244=1,"Single quote","—"),"Like-for-like")</f>
        <v>Like-for-like</v>
      </c>
      <c r="U244" s="79" t="str">
        <f aca="false">IF(COUNT(W244:Z244)&lt;2,"",IF(MAX(W244:Z244)=MIN(W244:Z244),"OK","Qty differs"))</f>
        <v>OK</v>
      </c>
      <c r="V244" s="80" t="s">
        <v>642</v>
      </c>
      <c r="W244" s="81" t="n">
        <f aca="false">IF(COUNTIFS('Quote Lines'!$P$3:$P$805,$A244&amp;"|"&amp;G$6&amp;"|1",'Quote Lines'!$M$3:$M$805,"Y")=0,"",SUMIFS('Quote Lines'!$L$3:$L$805,'Quote Lines'!$P$3:$P$805,$A244&amp;"|"&amp;G$6&amp;"|1",'Quote Lines'!$M$3:$M$805,"Y"))</f>
        <v>2</v>
      </c>
      <c r="X244" s="81" t="n">
        <f aca="false">IF(COUNTIFS('Quote Lines'!$P$3:$P$805,$A244&amp;"|"&amp;H$6&amp;"|1",'Quote Lines'!$M$3:$M$805,"Y")=0,"",SUMIFS('Quote Lines'!$L$3:$L$805,'Quote Lines'!$P$3:$P$805,$A244&amp;"|"&amp;H$6&amp;"|1",'Quote Lines'!$M$3:$M$805,"Y"))</f>
        <v>2</v>
      </c>
      <c r="Y244" s="81" t="n">
        <f aca="false">IF(COUNTIFS('Quote Lines'!$P$3:$P$805,$A244&amp;"|"&amp;I$6&amp;"|1",'Quote Lines'!$M$3:$M$805,"Y")=0,"",SUMIFS('Quote Lines'!$L$3:$L$805,'Quote Lines'!$P$3:$P$805,$A244&amp;"|"&amp;I$6&amp;"|1",'Quote Lines'!$M$3:$M$805,"Y"))</f>
        <v>2</v>
      </c>
      <c r="Z244" s="81" t="n">
        <f aca="false">IF(COUNTIFS('Quote Lines'!$P$3:$P$805,$A244&amp;"|"&amp;J$6&amp;"|1",'Quote Lines'!$M$3:$M$805,"Y")=0,"",SUMIFS('Quote Lines'!$L$3:$L$805,'Quote Lines'!$P$3:$P$805,$A244&amp;"|"&amp;J$6&amp;"|1",'Quote Lines'!$M$3:$M$805,"Y"))</f>
        <v>2</v>
      </c>
      <c r="AA244" s="82" t="n">
        <f aca="false">IF(ISNUMBER(G244),1+SUMPRODUCT(ISNUMBER($G244:$J244)*($G244:$J244&lt;G244)),"")</f>
        <v>1</v>
      </c>
      <c r="AB244" s="82" t="n">
        <f aca="false">IF(ISNUMBER(H244),1+SUMPRODUCT(ISNUMBER($G244:$J244)*($G244:$J244&lt;H244)),"")</f>
        <v>2</v>
      </c>
      <c r="AC244" s="82" t="n">
        <f aca="false">IF(ISNUMBER(I244),1+SUMPRODUCT(ISNUMBER($G244:$J244)*($G244:$J244&lt;I244)),"")</f>
        <v>3</v>
      </c>
      <c r="AD244" s="82" t="n">
        <f aca="false">IF(ISNUMBER(J244),1+SUMPRODUCT(ISNUMBER($G244:$J244)*($G244:$J244&lt;J244)),"")</f>
        <v>4</v>
      </c>
      <c r="AE244" s="82" t="n">
        <f aca="false">IF(NOT(ISNUMBER(G244)),0,IF($S244&lt;2,5,IF(AA244=1,1,IF(G244=MAX($G244:$J244),4,IF(AA244=2,2,3)))))</f>
        <v>1</v>
      </c>
      <c r="AF244" s="82" t="n">
        <f aca="false">IF(NOT(ISNUMBER(H244)),0,IF($S244&lt;2,5,IF(AB244=1,1,IF(H244=MAX($G244:$J244),4,IF(AB244=2,2,3)))))</f>
        <v>2</v>
      </c>
      <c r="AG244" s="82" t="n">
        <f aca="false">IF(NOT(ISNUMBER(I244)),0,IF($S244&lt;2,5,IF(AC244=1,1,IF(I244=MAX($G244:$J244),4,IF(AC244=2,2,3)))))</f>
        <v>3</v>
      </c>
      <c r="AH244" s="82" t="n">
        <f aca="false">IF(NOT(ISNUMBER(J244)),0,IF($S244&lt;2,5,IF(AD244=1,1,IF(J244=MAX($G244:$J244),4,IF(AD244=2,2,3)))))</f>
        <v>4</v>
      </c>
      <c r="AI244" s="83" t="n">
        <f aca="false">IF($S244&gt;=2,IF(ISNUMBER(G244),G244*$F244,MIN($G244:$J244)*$F244),0)</f>
        <v>138</v>
      </c>
      <c r="AJ244" s="83" t="n">
        <f aca="false">IF($S244&gt;=2,IF(ISNUMBER(H244),H244*$F244,MIN($G244:$J244)*$F244),0)</f>
        <v>146.6</v>
      </c>
      <c r="AK244" s="83" t="n">
        <f aca="false">IF($S244&gt;=2,IF(ISNUMBER(I244),I244*$F244,MIN($G244:$J244)*$F244),0)</f>
        <v>148.24</v>
      </c>
      <c r="AL244" s="83" t="n">
        <f aca="false">IF($S244&gt;=2,IF(ISNUMBER(J244),J244*$F244,MIN($G244:$J244)*$F244),0)</f>
        <v>157.5</v>
      </c>
      <c r="AM244" s="84" t="n">
        <f aca="false">IF($S244&gt;=2,$R244+ROW()/1000000,"")</f>
        <v>19.500244</v>
      </c>
      <c r="AN244" s="83" t="n">
        <f aca="false">IF($S244&gt;=2,MAX(G244:J244),"")</f>
        <v>78.75</v>
      </c>
      <c r="AO244" s="82" t="str">
        <f aca="false">IF($S244&gt;=2,INDEX($G$6:$J$6,MATCH(MAX(G244:J244),G244:J244,0)),"")</f>
        <v>Scholzen</v>
      </c>
      <c r="AP244" s="83" t="n">
        <f aca="false">IF($S244&gt;=2,MIN(G244:J244)*$F244,0)</f>
        <v>138</v>
      </c>
      <c r="AQ244" s="82" t="str">
        <f aca="false">IF($S244&gt;=2,INDEX($G$6:$J$6,MATCH(MIN(G244:J244),G244:J244,0)),"")</f>
        <v>Ferguson</v>
      </c>
    </row>
    <row r="245" customFormat="false" ht="15" hidden="false" customHeight="true" outlineLevel="0" collapsed="false">
      <c r="A245" s="70" t="s">
        <v>643</v>
      </c>
      <c r="B245" s="71" t="s">
        <v>636</v>
      </c>
      <c r="C245" s="72" t="s">
        <v>294</v>
      </c>
      <c r="D245" s="73" t="s">
        <v>529</v>
      </c>
      <c r="E245" s="74" t="s">
        <v>133</v>
      </c>
      <c r="F245" s="75" t="n">
        <v>2</v>
      </c>
      <c r="G245" s="76" t="n">
        <f aca="false">IF(COUNTIF('Quote Lines'!$P$3:$P$805,$A245&amp;"|"&amp;G$6&amp;"|1")=0,"—",SUMIFS('Quote Lines'!$O$3:$O$805,'Quote Lines'!$P$3:$P$805,$A245&amp;"|"&amp;G$6&amp;"|1")/SUMIFS('Quote Lines'!$L$3:$L$805,'Quote Lines'!$P$3:$P$805,$A245&amp;"|"&amp;G$6&amp;"|1"))</f>
        <v>80.96</v>
      </c>
      <c r="H245" s="85" t="s">
        <v>138</v>
      </c>
      <c r="I245" s="76" t="n">
        <f aca="false">IF(COUNTIF('Quote Lines'!$P$3:$P$805,$A245&amp;"|"&amp;I$6&amp;"|1")=0,"—",SUMIFS('Quote Lines'!$O$3:$O$805,'Quote Lines'!$P$3:$P$805,$A245&amp;"|"&amp;I$6&amp;"|1")/SUMIFS('Quote Lines'!$L$3:$L$805,'Quote Lines'!$P$3:$P$805,$A245&amp;"|"&amp;I$6&amp;"|1"))</f>
        <v>70.365</v>
      </c>
      <c r="J245" s="85" t="s">
        <v>138</v>
      </c>
      <c r="K245" s="14" t="n">
        <f aca="false">IF(ISNUMBER(G245),G245*$F245,"—")</f>
        <v>161.92</v>
      </c>
      <c r="L245" s="14" t="str">
        <f aca="false">IF(ISNUMBER(H245),H245*$F245,"—")</f>
        <v>—</v>
      </c>
      <c r="M245" s="14" t="n">
        <f aca="false">IF(ISNUMBER(I245),I245*$F245,"—")</f>
        <v>140.73</v>
      </c>
      <c r="N245" s="14" t="str">
        <f aca="false">IF(ISNUMBER(J245),J245*$F245,"—")</f>
        <v>—</v>
      </c>
      <c r="O245" s="77" t="n">
        <f aca="false">IF($S245=0,"—",MIN(G245:J245))</f>
        <v>70.365</v>
      </c>
      <c r="P245" s="42" t="str">
        <f aca="false">IF($S245=0,"—",IF(COUNTIF(G245:J245,O245)&gt;1,"Tie",INDEX($G$6:$J$6,MATCH(O245,G245:J245,0))))</f>
        <v>Mountainland</v>
      </c>
      <c r="Q245" s="48" t="n">
        <f aca="false">IF($S245&gt;=2,MAX(G245:J245)/MIN(G245:J245)-1,"—")</f>
        <v>0.150572017338165</v>
      </c>
      <c r="R245" s="78" t="n">
        <f aca="false">IF($S245&gt;=2,(MAX(G245:J245)-MIN(G245:J245))*$F245,"—")</f>
        <v>21.19</v>
      </c>
      <c r="S245" s="18" t="n">
        <f aca="false">COUNT(G245:J245)</f>
        <v>2</v>
      </c>
      <c r="T245" s="79" t="str">
        <f aca="false">IF($S245&lt;=1,IF($S245=1,"Single quote","—"),"Like-for-like")</f>
        <v>Like-for-like</v>
      </c>
      <c r="U245" s="79" t="str">
        <f aca="false">IF(COUNT(W245:Z245)&lt;2,"",IF(MAX(W245:Z245)=MIN(W245:Z245),"OK","Qty differs"))</f>
        <v>OK</v>
      </c>
      <c r="V245" s="80"/>
      <c r="W245" s="81" t="n">
        <f aca="false">IF(COUNTIFS('Quote Lines'!$P$3:$P$805,$A245&amp;"|"&amp;G$6&amp;"|1",'Quote Lines'!$M$3:$M$805,"Y")=0,"",SUMIFS('Quote Lines'!$L$3:$L$805,'Quote Lines'!$P$3:$P$805,$A245&amp;"|"&amp;G$6&amp;"|1",'Quote Lines'!$M$3:$M$805,"Y"))</f>
        <v>2</v>
      </c>
      <c r="X245" s="81"/>
      <c r="Y245" s="81" t="n">
        <f aca="false">IF(COUNTIFS('Quote Lines'!$P$3:$P$805,$A245&amp;"|"&amp;I$6&amp;"|1",'Quote Lines'!$M$3:$M$805,"Y")=0,"",SUMIFS('Quote Lines'!$L$3:$L$805,'Quote Lines'!$P$3:$P$805,$A245&amp;"|"&amp;I$6&amp;"|1",'Quote Lines'!$M$3:$M$805,"Y"))</f>
        <v>2</v>
      </c>
      <c r="Z245" s="81"/>
      <c r="AA245" s="82" t="n">
        <f aca="false">IF(ISNUMBER(G245),1+SUMPRODUCT(ISNUMBER($G245:$J245)*($G245:$J245&lt;G245)),"")</f>
        <v>2</v>
      </c>
      <c r="AB245" s="82" t="str">
        <f aca="false">IF(ISNUMBER(H245),1+SUMPRODUCT(ISNUMBER($G245:$J245)*($G245:$J245&lt;H245)),"")</f>
        <v/>
      </c>
      <c r="AC245" s="82" t="n">
        <f aca="false">IF(ISNUMBER(I245),1+SUMPRODUCT(ISNUMBER($G245:$J245)*($G245:$J245&lt;I245)),"")</f>
        <v>1</v>
      </c>
      <c r="AD245" s="82" t="str">
        <f aca="false">IF(ISNUMBER(J245),1+SUMPRODUCT(ISNUMBER($G245:$J245)*($G245:$J245&lt;J245)),"")</f>
        <v/>
      </c>
      <c r="AE245" s="82" t="n">
        <f aca="false">IF(NOT(ISNUMBER(G245)),0,IF($S245&lt;2,5,IF(AA245=1,1,IF(G245=MAX($G245:$J245),4,IF(AA245=2,2,3)))))</f>
        <v>4</v>
      </c>
      <c r="AF245" s="82" t="n">
        <f aca="false">IF(NOT(ISNUMBER(H245)),0,IF($S245&lt;2,5,IF(AB245=1,1,IF(H245=MAX($G245:$J245),4,IF(AB245=2,2,3)))))</f>
        <v>0</v>
      </c>
      <c r="AG245" s="82" t="n">
        <f aca="false">IF(NOT(ISNUMBER(I245)),0,IF($S245&lt;2,5,IF(AC245=1,1,IF(I245=MAX($G245:$J245),4,IF(AC245=2,2,3)))))</f>
        <v>1</v>
      </c>
      <c r="AH245" s="82" t="n">
        <f aca="false">IF(NOT(ISNUMBER(J245)),0,IF($S245&lt;2,5,IF(AD245=1,1,IF(J245=MAX($G245:$J245),4,IF(AD245=2,2,3)))))</f>
        <v>0</v>
      </c>
      <c r="AI245" s="83" t="n">
        <f aca="false">IF($S245&gt;=2,IF(ISNUMBER(G245),G245*$F245,MIN($G245:$J245)*$F245),0)</f>
        <v>161.92</v>
      </c>
      <c r="AJ245" s="83" t="n">
        <f aca="false">IF($S245&gt;=2,IF(ISNUMBER(H245),H245*$F245,MIN($G245:$J245)*$F245),0)</f>
        <v>140.73</v>
      </c>
      <c r="AK245" s="83" t="n">
        <f aca="false">IF($S245&gt;=2,IF(ISNUMBER(I245),I245*$F245,MIN($G245:$J245)*$F245),0)</f>
        <v>140.73</v>
      </c>
      <c r="AL245" s="83" t="n">
        <f aca="false">IF($S245&gt;=2,IF(ISNUMBER(J245),J245*$F245,MIN($G245:$J245)*$F245),0)</f>
        <v>140.73</v>
      </c>
      <c r="AM245" s="84" t="n">
        <f aca="false">IF($S245&gt;=2,$R245+ROW()/1000000,"")</f>
        <v>21.190245</v>
      </c>
      <c r="AN245" s="83" t="n">
        <f aca="false">IF($S245&gt;=2,MAX(G245:J245),"")</f>
        <v>80.96</v>
      </c>
      <c r="AO245" s="82" t="str">
        <f aca="false">IF($S245&gt;=2,INDEX($G$6:$J$6,MATCH(MAX(G245:J245),G245:J245,0)),"")</f>
        <v>Ferguson</v>
      </c>
      <c r="AP245" s="83" t="n">
        <f aca="false">IF($S245&gt;=2,MIN(G245:J245)*$F245,0)</f>
        <v>140.73</v>
      </c>
      <c r="AQ245" s="82" t="str">
        <f aca="false">IF($S245&gt;=2,INDEX($G$6:$J$6,MATCH(MIN(G245:J245),G245:J245,0)),"")</f>
        <v>Mountainland</v>
      </c>
    </row>
    <row r="246" customFormat="false" ht="15" hidden="false" customHeight="true" outlineLevel="0" collapsed="false">
      <c r="A246" s="70" t="s">
        <v>644</v>
      </c>
      <c r="B246" s="71" t="s">
        <v>636</v>
      </c>
      <c r="C246" s="72" t="s">
        <v>308</v>
      </c>
      <c r="D246" s="73" t="s">
        <v>519</v>
      </c>
      <c r="E246" s="74" t="s">
        <v>310</v>
      </c>
      <c r="F246" s="75" t="n">
        <v>2</v>
      </c>
      <c r="G246" s="85" t="s">
        <v>138</v>
      </c>
      <c r="H246" s="85" t="s">
        <v>138</v>
      </c>
      <c r="I246" s="85" t="s">
        <v>138</v>
      </c>
      <c r="J246" s="76" t="n">
        <f aca="false">IF(COUNTIF('Quote Lines'!$P$3:$P$805,$A246&amp;"|"&amp;J$6&amp;"|1")=0,"—",SUMIFS('Quote Lines'!$O$3:$O$805,'Quote Lines'!$P$3:$P$805,$A246&amp;"|"&amp;J$6&amp;"|1")/SUMIFS('Quote Lines'!$L$3:$L$805,'Quote Lines'!$P$3:$P$805,$A246&amp;"|"&amp;J$6&amp;"|1"))</f>
        <v>32.68</v>
      </c>
      <c r="K246" s="14" t="str">
        <f aca="false">IF(ISNUMBER(G246),G246*$F246,"—")</f>
        <v>—</v>
      </c>
      <c r="L246" s="14" t="str">
        <f aca="false">IF(ISNUMBER(H246),H246*$F246,"—")</f>
        <v>—</v>
      </c>
      <c r="M246" s="14" t="str">
        <f aca="false">IF(ISNUMBER(I246),I246*$F246,"—")</f>
        <v>—</v>
      </c>
      <c r="N246" s="14" t="n">
        <f aca="false">IF(ISNUMBER(J246),J246*$F246,"—")</f>
        <v>65.36</v>
      </c>
      <c r="O246" s="77" t="n">
        <f aca="false">IF($S246=0,"—",MIN(G246:J246))</f>
        <v>32.68</v>
      </c>
      <c r="P246" s="42" t="str">
        <f aca="false">IF($S246=0,"—",IF(COUNTIF(G246:J246,O246)&gt;1,"Tie",INDEX($G$6:$J$6,MATCH(O246,G246:J246,0))))</f>
        <v>Scholzen</v>
      </c>
      <c r="Q246" s="48" t="str">
        <f aca="false">IF($S246&gt;=2,MAX(G246:J246)/MIN(G246:J246)-1,"—")</f>
        <v>—</v>
      </c>
      <c r="R246" s="78" t="str">
        <f aca="false">IF($S246&gt;=2,(MAX(G246:J246)-MIN(G246:J246))*$F246,"—")</f>
        <v>—</v>
      </c>
      <c r="S246" s="18" t="n">
        <f aca="false">COUNT(G246:J246)</f>
        <v>1</v>
      </c>
      <c r="T246" s="79" t="str">
        <f aca="false">IF($S246&lt;=1,IF($S246=1,"Single quote","—"),"Like-for-like")</f>
        <v>Single quote</v>
      </c>
      <c r="U246" s="79" t="str">
        <f aca="false">IF(COUNT(W246:Z246)&lt;2,"",IF(MAX(W246:Z246)=MIN(W246:Z246),"OK","Qty differs"))</f>
        <v/>
      </c>
      <c r="V246" s="80"/>
      <c r="W246" s="81"/>
      <c r="X246" s="81"/>
      <c r="Y246" s="81"/>
      <c r="Z246" s="81" t="n">
        <f aca="false">IF(COUNTIFS('Quote Lines'!$P$3:$P$805,$A246&amp;"|"&amp;J$6&amp;"|1",'Quote Lines'!$M$3:$M$805,"Y")=0,"",SUMIFS('Quote Lines'!$L$3:$L$805,'Quote Lines'!$P$3:$P$805,$A246&amp;"|"&amp;J$6&amp;"|1",'Quote Lines'!$M$3:$M$805,"Y"))</f>
        <v>2</v>
      </c>
      <c r="AA246" s="82" t="str">
        <f aca="false">IF(ISNUMBER(G246),1+SUMPRODUCT(ISNUMBER($G246:$J246)*($G246:$J246&lt;G246)),"")</f>
        <v/>
      </c>
      <c r="AB246" s="82" t="str">
        <f aca="false">IF(ISNUMBER(H246),1+SUMPRODUCT(ISNUMBER($G246:$J246)*($G246:$J246&lt;H246)),"")</f>
        <v/>
      </c>
      <c r="AC246" s="82" t="str">
        <f aca="false">IF(ISNUMBER(I246),1+SUMPRODUCT(ISNUMBER($G246:$J246)*($G246:$J246&lt;I246)),"")</f>
        <v/>
      </c>
      <c r="AD246" s="82" t="n">
        <f aca="false">IF(ISNUMBER(J246),1+SUMPRODUCT(ISNUMBER($G246:$J246)*($G246:$J246&lt;J246)),"")</f>
        <v>1</v>
      </c>
      <c r="AE246" s="82" t="n">
        <f aca="false">IF(NOT(ISNUMBER(G246)),0,IF($S246&lt;2,5,IF(AA246=1,1,IF(G246=MAX($G246:$J246),4,IF(AA246=2,2,3)))))</f>
        <v>0</v>
      </c>
      <c r="AF246" s="82" t="n">
        <f aca="false">IF(NOT(ISNUMBER(H246)),0,IF($S246&lt;2,5,IF(AB246=1,1,IF(H246=MAX($G246:$J246),4,IF(AB246=2,2,3)))))</f>
        <v>0</v>
      </c>
      <c r="AG246" s="82" t="n">
        <f aca="false">IF(NOT(ISNUMBER(I246)),0,IF($S246&lt;2,5,IF(AC246=1,1,IF(I246=MAX($G246:$J246),4,IF(AC246=2,2,3)))))</f>
        <v>0</v>
      </c>
      <c r="AH246" s="82" t="n">
        <f aca="false">IF(NOT(ISNUMBER(J246)),0,IF($S246&lt;2,5,IF(AD246=1,1,IF(J246=MAX($G246:$J246),4,IF(AD246=2,2,3)))))</f>
        <v>5</v>
      </c>
      <c r="AI246" s="83" t="n">
        <f aca="false">IF($S246&gt;=2,IF(ISNUMBER(G246),G246*$F246,MIN($G246:$J246)*$F246),0)</f>
        <v>0</v>
      </c>
      <c r="AJ246" s="83" t="n">
        <f aca="false">IF($S246&gt;=2,IF(ISNUMBER(H246),H246*$F246,MIN($G246:$J246)*$F246),0)</f>
        <v>0</v>
      </c>
      <c r="AK246" s="83" t="n">
        <f aca="false">IF($S246&gt;=2,IF(ISNUMBER(I246),I246*$F246,MIN($G246:$J246)*$F246),0)</f>
        <v>0</v>
      </c>
      <c r="AL246" s="83" t="n">
        <f aca="false">IF($S246&gt;=2,IF(ISNUMBER(J246),J246*$F246,MIN($G246:$J246)*$F246),0)</f>
        <v>0</v>
      </c>
      <c r="AM246" s="84" t="str">
        <f aca="false">IF($S246&gt;=2,$R246+ROW()/1000000,"")</f>
        <v/>
      </c>
      <c r="AN246" s="83" t="str">
        <f aca="false">IF($S246&gt;=2,MAX(G246:J246),"")</f>
        <v/>
      </c>
      <c r="AO246" s="82" t="str">
        <f aca="false">IF($S246&gt;=2,INDEX($G$6:$J$6,MATCH(MAX(G246:J246),G246:J246,0)),"")</f>
        <v/>
      </c>
      <c r="AP246" s="83" t="n">
        <f aca="false">IF($S246&gt;=2,MIN(G246:J246)*$F246,0)</f>
        <v>0</v>
      </c>
      <c r="AQ246" s="82" t="str">
        <f aca="false">IF($S246&gt;=2,INDEX($G$6:$J$6,MATCH(MIN(G246:J246),G246:J246,0)),"")</f>
        <v/>
      </c>
    </row>
    <row r="247" customFormat="false" ht="19.5" hidden="false" customHeight="true" outlineLevel="0" collapsed="false">
      <c r="A247" s="69"/>
      <c r="B247" s="9" t="s">
        <v>645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</row>
    <row r="248" customFormat="false" ht="15" hidden="false" customHeight="true" outlineLevel="0" collapsed="false">
      <c r="A248" s="70" t="s">
        <v>646</v>
      </c>
      <c r="B248" s="71" t="s">
        <v>647</v>
      </c>
      <c r="C248" s="72" t="s">
        <v>131</v>
      </c>
      <c r="D248" s="73" t="s">
        <v>648</v>
      </c>
      <c r="E248" s="74" t="s">
        <v>133</v>
      </c>
      <c r="F248" s="75" t="n">
        <v>1</v>
      </c>
      <c r="G248" s="76" t="n">
        <f aca="false">IF(COUNTIF('Quote Lines'!$P$3:$P$805,$A248&amp;"|"&amp;G$6&amp;"|1")=0,"—",SUMIFS('Quote Lines'!$O$3:$O$805,'Quote Lines'!$P$3:$P$805,$A248&amp;"|"&amp;G$6&amp;"|1")/SUMIFS('Quote Lines'!$L$3:$L$805,'Quote Lines'!$P$3:$P$805,$A248&amp;"|"&amp;G$6&amp;"|1"))</f>
        <v>930.09</v>
      </c>
      <c r="H248" s="76" t="n">
        <f aca="false">IF(COUNTIF('Quote Lines'!$P$3:$P$805,$A248&amp;"|"&amp;H$6&amp;"|1")=0,"—",SUMIFS('Quote Lines'!$O$3:$O$805,'Quote Lines'!$P$3:$P$805,$A248&amp;"|"&amp;H$6&amp;"|1")/SUMIFS('Quote Lines'!$L$3:$L$805,'Quote Lines'!$P$3:$P$805,$A248&amp;"|"&amp;H$6&amp;"|1"))</f>
        <v>971.78</v>
      </c>
      <c r="I248" s="76" t="n">
        <f aca="false">IF(COUNTIF('Quote Lines'!$P$3:$P$805,$A248&amp;"|"&amp;I$6&amp;"|1")=0,"—",SUMIFS('Quote Lines'!$O$3:$O$805,'Quote Lines'!$P$3:$P$805,$A248&amp;"|"&amp;I$6&amp;"|1")/SUMIFS('Quote Lines'!$L$3:$L$805,'Quote Lines'!$P$3:$P$805,$A248&amp;"|"&amp;I$6&amp;"|1"))</f>
        <v>905.37</v>
      </c>
      <c r="J248" s="76" t="n">
        <f aca="false">IF(COUNTIF('Quote Lines'!$P$3:$P$805,$A248&amp;"|"&amp;J$6&amp;"|1")=0,"—",SUMIFS('Quote Lines'!$O$3:$O$805,'Quote Lines'!$P$3:$P$805,$A248&amp;"|"&amp;J$6&amp;"|1")/SUMIFS('Quote Lines'!$L$3:$L$805,'Quote Lines'!$P$3:$P$805,$A248&amp;"|"&amp;J$6&amp;"|1"))</f>
        <v>1017.88</v>
      </c>
      <c r="K248" s="14" t="n">
        <f aca="false">IF(ISNUMBER(G248),G248*$F248,"—")</f>
        <v>930.09</v>
      </c>
      <c r="L248" s="14" t="n">
        <f aca="false">IF(ISNUMBER(H248),H248*$F248,"—")</f>
        <v>971.78</v>
      </c>
      <c r="M248" s="14" t="n">
        <f aca="false">IF(ISNUMBER(I248),I248*$F248,"—")</f>
        <v>905.37</v>
      </c>
      <c r="N248" s="14" t="n">
        <f aca="false">IF(ISNUMBER(J248),J248*$F248,"—")</f>
        <v>1017.88</v>
      </c>
      <c r="O248" s="77" t="n">
        <f aca="false">IF($S248=0,"—",MIN(G248:J248))</f>
        <v>905.37</v>
      </c>
      <c r="P248" s="42" t="str">
        <f aca="false">IF($S248=0,"—",IF(COUNTIF(G248:J248,O248)&gt;1,"Tie",INDEX($G$6:$J$6,MATCH(O248,G248:J248,0))))</f>
        <v>Mountainland</v>
      </c>
      <c r="Q248" s="48" t="n">
        <f aca="false">IF($S248&gt;=2,MAX(G248:J248)/MIN(G248:J248)-1,"—")</f>
        <v>0.124269635618587</v>
      </c>
      <c r="R248" s="78" t="n">
        <f aca="false">IF($S248&gt;=2,(MAX(G248:J248)-MIN(G248:J248))*$F248,"—")</f>
        <v>112.51</v>
      </c>
      <c r="S248" s="18" t="n">
        <f aca="false">COUNT(G248:J248)</f>
        <v>4</v>
      </c>
      <c r="T248" s="79" t="str">
        <f aca="false">IF($S248&lt;=1,IF($S248=1,"Single quote","—"),"Like-for-like")</f>
        <v>Like-for-like</v>
      </c>
      <c r="U248" s="79" t="str">
        <f aca="false">IF(COUNT(W248:Z248)&lt;2,"",IF(MAX(W248:Z248)=MIN(W248:Z248),"OK","Qty differs"))</f>
        <v>OK</v>
      </c>
      <c r="V248" s="80"/>
      <c r="W248" s="81" t="n">
        <f aca="false">IF(COUNTIFS('Quote Lines'!$P$3:$P$805,$A248&amp;"|"&amp;G$6&amp;"|1",'Quote Lines'!$M$3:$M$805,"Y")=0,"",SUMIFS('Quote Lines'!$L$3:$L$805,'Quote Lines'!$P$3:$P$805,$A248&amp;"|"&amp;G$6&amp;"|1",'Quote Lines'!$M$3:$M$805,"Y"))</f>
        <v>1</v>
      </c>
      <c r="X248" s="81" t="n">
        <f aca="false">IF(COUNTIFS('Quote Lines'!$P$3:$P$805,$A248&amp;"|"&amp;H$6&amp;"|1",'Quote Lines'!$M$3:$M$805,"Y")=0,"",SUMIFS('Quote Lines'!$L$3:$L$805,'Quote Lines'!$P$3:$P$805,$A248&amp;"|"&amp;H$6&amp;"|1",'Quote Lines'!$M$3:$M$805,"Y"))</f>
        <v>1</v>
      </c>
      <c r="Y248" s="81" t="n">
        <f aca="false">IF(COUNTIFS('Quote Lines'!$P$3:$P$805,$A248&amp;"|"&amp;I$6&amp;"|1",'Quote Lines'!$M$3:$M$805,"Y")=0,"",SUMIFS('Quote Lines'!$L$3:$L$805,'Quote Lines'!$P$3:$P$805,$A248&amp;"|"&amp;I$6&amp;"|1",'Quote Lines'!$M$3:$M$805,"Y"))</f>
        <v>1</v>
      </c>
      <c r="Z248" s="81" t="n">
        <f aca="false">IF(COUNTIFS('Quote Lines'!$P$3:$P$805,$A248&amp;"|"&amp;J$6&amp;"|1",'Quote Lines'!$M$3:$M$805,"Y")=0,"",SUMIFS('Quote Lines'!$L$3:$L$805,'Quote Lines'!$P$3:$P$805,$A248&amp;"|"&amp;J$6&amp;"|1",'Quote Lines'!$M$3:$M$805,"Y"))</f>
        <v>1</v>
      </c>
      <c r="AA248" s="82" t="n">
        <f aca="false">IF(ISNUMBER(G248),1+SUMPRODUCT(ISNUMBER($G248:$J248)*($G248:$J248&lt;G248)),"")</f>
        <v>2</v>
      </c>
      <c r="AB248" s="82" t="n">
        <f aca="false">IF(ISNUMBER(H248),1+SUMPRODUCT(ISNUMBER($G248:$J248)*($G248:$J248&lt;H248)),"")</f>
        <v>3</v>
      </c>
      <c r="AC248" s="82" t="n">
        <f aca="false">IF(ISNUMBER(I248),1+SUMPRODUCT(ISNUMBER($G248:$J248)*($G248:$J248&lt;I248)),"")</f>
        <v>1</v>
      </c>
      <c r="AD248" s="82" t="n">
        <f aca="false">IF(ISNUMBER(J248),1+SUMPRODUCT(ISNUMBER($G248:$J248)*($G248:$J248&lt;J248)),"")</f>
        <v>4</v>
      </c>
      <c r="AE248" s="82" t="n">
        <f aca="false">IF(NOT(ISNUMBER(G248)),0,IF($S248&lt;2,5,IF(AA248=1,1,IF(G248=MAX($G248:$J248),4,IF(AA248=2,2,3)))))</f>
        <v>2</v>
      </c>
      <c r="AF248" s="82" t="n">
        <f aca="false">IF(NOT(ISNUMBER(H248)),0,IF($S248&lt;2,5,IF(AB248=1,1,IF(H248=MAX($G248:$J248),4,IF(AB248=2,2,3)))))</f>
        <v>3</v>
      </c>
      <c r="AG248" s="82" t="n">
        <f aca="false">IF(NOT(ISNUMBER(I248)),0,IF($S248&lt;2,5,IF(AC248=1,1,IF(I248=MAX($G248:$J248),4,IF(AC248=2,2,3)))))</f>
        <v>1</v>
      </c>
      <c r="AH248" s="82" t="n">
        <f aca="false">IF(NOT(ISNUMBER(J248)),0,IF($S248&lt;2,5,IF(AD248=1,1,IF(J248=MAX($G248:$J248),4,IF(AD248=2,2,3)))))</f>
        <v>4</v>
      </c>
      <c r="AI248" s="83" t="n">
        <f aca="false">IF($S248&gt;=2,IF(ISNUMBER(G248),G248*$F248,MIN($G248:$J248)*$F248),0)</f>
        <v>930.09</v>
      </c>
      <c r="AJ248" s="83" t="n">
        <f aca="false">IF($S248&gt;=2,IF(ISNUMBER(H248),H248*$F248,MIN($G248:$J248)*$F248),0)</f>
        <v>971.78</v>
      </c>
      <c r="AK248" s="83" t="n">
        <f aca="false">IF($S248&gt;=2,IF(ISNUMBER(I248),I248*$F248,MIN($G248:$J248)*$F248),0)</f>
        <v>905.37</v>
      </c>
      <c r="AL248" s="83" t="n">
        <f aca="false">IF($S248&gt;=2,IF(ISNUMBER(J248),J248*$F248,MIN($G248:$J248)*$F248),0)</f>
        <v>1017.88</v>
      </c>
      <c r="AM248" s="84" t="n">
        <f aca="false">IF($S248&gt;=2,$R248+ROW()/1000000,"")</f>
        <v>112.510248</v>
      </c>
      <c r="AN248" s="83" t="n">
        <f aca="false">IF($S248&gt;=2,MAX(G248:J248),"")</f>
        <v>1017.88</v>
      </c>
      <c r="AO248" s="82" t="str">
        <f aca="false">IF($S248&gt;=2,INDEX($G$6:$J$6,MATCH(MAX(G248:J248),G248:J248,0)),"")</f>
        <v>Scholzen</v>
      </c>
      <c r="AP248" s="83" t="n">
        <f aca="false">IF($S248&gt;=2,MIN(G248:J248)*$F248,0)</f>
        <v>905.37</v>
      </c>
      <c r="AQ248" s="82" t="str">
        <f aca="false">IF($S248&gt;=2,INDEX($G$6:$J$6,MATCH(MIN(G248:J248),G248:J248,0)),"")</f>
        <v>Mountainland</v>
      </c>
    </row>
    <row r="249" customFormat="false" ht="15" hidden="false" customHeight="true" outlineLevel="0" collapsed="false">
      <c r="A249" s="70" t="s">
        <v>649</v>
      </c>
      <c r="B249" s="71" t="s">
        <v>647</v>
      </c>
      <c r="C249" s="72" t="s">
        <v>308</v>
      </c>
      <c r="D249" s="73" t="s">
        <v>309</v>
      </c>
      <c r="E249" s="74" t="s">
        <v>310</v>
      </c>
      <c r="F249" s="75" t="n">
        <v>1</v>
      </c>
      <c r="G249" s="76" t="n">
        <f aca="false">IF(COUNTIF('Quote Lines'!$P$3:$P$805,$A249&amp;"|"&amp;G$6&amp;"|1")=0,"—",SUMIFS('Quote Lines'!$O$3:$O$805,'Quote Lines'!$P$3:$P$805,$A249&amp;"|"&amp;G$6&amp;"|1")/SUMIFS('Quote Lines'!$L$3:$L$805,'Quote Lines'!$P$3:$P$805,$A249&amp;"|"&amp;G$6&amp;"|1")+IFERROR(SUMIFS('Quote Lines'!$O$3:$O$805,'Quote Lines'!$P$3:$P$805,$A249&amp;"|"&amp;G$6&amp;"|2")/SUMIFS('Quote Lines'!$L$3:$L$805,'Quote Lines'!$P$3:$P$805,$A249&amp;"|"&amp;G$6&amp;"|2"),0))</f>
        <v>138.15</v>
      </c>
      <c r="H249" s="76" t="n">
        <f aca="false">IF(COUNTIF('Quote Lines'!$P$3:$P$805,$A249&amp;"|"&amp;H$6&amp;"|1")=0,"—",SUMIFS('Quote Lines'!$O$3:$O$805,'Quote Lines'!$P$3:$P$805,$A249&amp;"|"&amp;H$6&amp;"|1")/SUMIFS('Quote Lines'!$L$3:$L$805,'Quote Lines'!$P$3:$P$805,$A249&amp;"|"&amp;H$6&amp;"|1")+IFERROR(SUMIFS('Quote Lines'!$O$3:$O$805,'Quote Lines'!$P$3:$P$805,$A249&amp;"|"&amp;H$6&amp;"|2")/SUMIFS('Quote Lines'!$L$3:$L$805,'Quote Lines'!$P$3:$P$805,$A249&amp;"|"&amp;H$6&amp;"|2"),0))</f>
        <v>153.53</v>
      </c>
      <c r="I249" s="76" t="n">
        <f aca="false">IF(COUNTIF('Quote Lines'!$P$3:$P$805,$A249&amp;"|"&amp;I$6&amp;"|1")=0,"—",SUMIFS('Quote Lines'!$O$3:$O$805,'Quote Lines'!$P$3:$P$805,$A249&amp;"|"&amp;I$6&amp;"|1")/SUMIFS('Quote Lines'!$L$3:$L$805,'Quote Lines'!$P$3:$P$805,$A249&amp;"|"&amp;I$6&amp;"|1"))</f>
        <v>64.28</v>
      </c>
      <c r="J249" s="85" t="s">
        <v>138</v>
      </c>
      <c r="K249" s="14" t="n">
        <f aca="false">IF(ISNUMBER(G249),G249*$F249,"—")</f>
        <v>138.15</v>
      </c>
      <c r="L249" s="14" t="n">
        <f aca="false">IF(ISNUMBER(H249),H249*$F249,"—")</f>
        <v>153.53</v>
      </c>
      <c r="M249" s="14" t="n">
        <f aca="false">IF(ISNUMBER(I249),I249*$F249,"—")</f>
        <v>64.28</v>
      </c>
      <c r="N249" s="14" t="str">
        <f aca="false">IF(ISNUMBER(J249),J249*$F249,"—")</f>
        <v>—</v>
      </c>
      <c r="O249" s="77" t="n">
        <f aca="false">IF($S249=0,"—",MIN(G249:J249))</f>
        <v>64.28</v>
      </c>
      <c r="P249" s="42" t="str">
        <f aca="false">IF($S249=0,"—",IF(COUNTIF(G249:J249,O249)&gt;1,"Tie",INDEX($G$6:$J$6,MATCH(O249,G249:J249,0))))</f>
        <v>Mountainland</v>
      </c>
      <c r="Q249" s="48" t="n">
        <f aca="false">IF($S249&gt;=2,MAX(G249:J249)/MIN(G249:J249)-1,"—")</f>
        <v>1.38845675171126</v>
      </c>
      <c r="R249" s="78" t="n">
        <f aca="false">IF($S249&gt;=2,(MAX(G249:J249)-MIN(G249:J249))*$F249,"—")</f>
        <v>89.25</v>
      </c>
      <c r="S249" s="18" t="n">
        <f aca="false">COUNT(G249:J249)</f>
        <v>3</v>
      </c>
      <c r="T249" s="79" t="str">
        <f aca="false">IF($S249&lt;=1,IF($S249=1,"Single quote","—"),"Alt spec – verify")</f>
        <v>Alt spec – verify</v>
      </c>
      <c r="U249" s="79" t="str">
        <f aca="false">IF(COUNT(W249:Z249)&lt;2,"",IF(MAX(W249:Z249)=MIN(W249:Z249),"OK","Qty differs"))</f>
        <v>OK</v>
      </c>
      <c r="V249" s="80"/>
      <c r="W249" s="81" t="n">
        <f aca="false">IF(COUNTIFS('Quote Lines'!$P$3:$P$805,$A249&amp;"|"&amp;G$6&amp;"|1",'Quote Lines'!$M$3:$M$805,"Y")=0,"",SUMIFS('Quote Lines'!$L$3:$L$805,'Quote Lines'!$P$3:$P$805,$A249&amp;"|"&amp;G$6&amp;"|1",'Quote Lines'!$M$3:$M$805,"Y"))</f>
        <v>1</v>
      </c>
      <c r="X249" s="81" t="n">
        <f aca="false">IF(COUNTIFS('Quote Lines'!$P$3:$P$805,$A249&amp;"|"&amp;H$6&amp;"|1",'Quote Lines'!$M$3:$M$805,"Y")=0,"",SUMIFS('Quote Lines'!$L$3:$L$805,'Quote Lines'!$P$3:$P$805,$A249&amp;"|"&amp;H$6&amp;"|1",'Quote Lines'!$M$3:$M$805,"Y"))</f>
        <v>1</v>
      </c>
      <c r="Y249" s="81" t="n">
        <f aca="false">IF(COUNTIFS('Quote Lines'!$P$3:$P$805,$A249&amp;"|"&amp;I$6&amp;"|1",'Quote Lines'!$M$3:$M$805,"Y")=0,"",SUMIFS('Quote Lines'!$L$3:$L$805,'Quote Lines'!$P$3:$P$805,$A249&amp;"|"&amp;I$6&amp;"|1",'Quote Lines'!$M$3:$M$805,"Y"))</f>
        <v>1</v>
      </c>
      <c r="Z249" s="81"/>
      <c r="AA249" s="82" t="n">
        <f aca="false">IF(ISNUMBER(G249),1+SUMPRODUCT(ISNUMBER($G249:$J249)*($G249:$J249&lt;G249)),"")</f>
        <v>2</v>
      </c>
      <c r="AB249" s="82" t="n">
        <f aca="false">IF(ISNUMBER(H249),1+SUMPRODUCT(ISNUMBER($G249:$J249)*($G249:$J249&lt;H249)),"")</f>
        <v>3</v>
      </c>
      <c r="AC249" s="82" t="n">
        <f aca="false">IF(ISNUMBER(I249),1+SUMPRODUCT(ISNUMBER($G249:$J249)*($G249:$J249&lt;I249)),"")</f>
        <v>1</v>
      </c>
      <c r="AD249" s="82" t="str">
        <f aca="false">IF(ISNUMBER(J249),1+SUMPRODUCT(ISNUMBER($G249:$J249)*($G249:$J249&lt;J249)),"")</f>
        <v/>
      </c>
      <c r="AE249" s="82" t="n">
        <f aca="false">IF(NOT(ISNUMBER(G249)),0,IF($S249&lt;2,5,IF(AA249=1,1,IF(G249=MAX($G249:$J249),4,IF(AA249=2,2,3)))))</f>
        <v>2</v>
      </c>
      <c r="AF249" s="82" t="n">
        <f aca="false">IF(NOT(ISNUMBER(H249)),0,IF($S249&lt;2,5,IF(AB249=1,1,IF(H249=MAX($G249:$J249),4,IF(AB249=2,2,3)))))</f>
        <v>4</v>
      </c>
      <c r="AG249" s="82" t="n">
        <f aca="false">IF(NOT(ISNUMBER(I249)),0,IF($S249&lt;2,5,IF(AC249=1,1,IF(I249=MAX($G249:$J249),4,IF(AC249=2,2,3)))))</f>
        <v>1</v>
      </c>
      <c r="AH249" s="82" t="n">
        <f aca="false">IF(NOT(ISNUMBER(J249)),0,IF($S249&lt;2,5,IF(AD249=1,1,IF(J249=MAX($G249:$J249),4,IF(AD249=2,2,3)))))</f>
        <v>0</v>
      </c>
      <c r="AI249" s="83" t="n">
        <f aca="false">IF($S249&gt;=2,IF(ISNUMBER(G249),G249*$F249,MIN($G249:$J249)*$F249),0)</f>
        <v>138.15</v>
      </c>
      <c r="AJ249" s="83" t="n">
        <f aca="false">IF($S249&gt;=2,IF(ISNUMBER(H249),H249*$F249,MIN($G249:$J249)*$F249),0)</f>
        <v>153.53</v>
      </c>
      <c r="AK249" s="83" t="n">
        <f aca="false">IF($S249&gt;=2,IF(ISNUMBER(I249),I249*$F249,MIN($G249:$J249)*$F249),0)</f>
        <v>64.28</v>
      </c>
      <c r="AL249" s="83" t="n">
        <f aca="false">IF($S249&gt;=2,IF(ISNUMBER(J249),J249*$F249,MIN($G249:$J249)*$F249),0)</f>
        <v>64.28</v>
      </c>
      <c r="AM249" s="84" t="n">
        <f aca="false">IF($S249&gt;=2,$R249+ROW()/1000000,"")</f>
        <v>89.250249</v>
      </c>
      <c r="AN249" s="83" t="n">
        <f aca="false">IF($S249&gt;=2,MAX(G249:J249),"")</f>
        <v>153.53</v>
      </c>
      <c r="AO249" s="82" t="str">
        <f aca="false">IF($S249&gt;=2,INDEX($G$6:$J$6,MATCH(MAX(G249:J249),G249:J249,0)),"")</f>
        <v>HD Fowler</v>
      </c>
      <c r="AP249" s="83" t="n">
        <f aca="false">IF($S249&gt;=2,MIN(G249:J249)*$F249,0)</f>
        <v>64.28</v>
      </c>
      <c r="AQ249" s="82" t="str">
        <f aca="false">IF($S249&gt;=2,INDEX($G$6:$J$6,MATCH(MIN(G249:J249),G249:J249,0)),"")</f>
        <v>Mountainland</v>
      </c>
    </row>
    <row r="250" customFormat="false" ht="15" hidden="false" customHeight="true" outlineLevel="0" collapsed="false">
      <c r="A250" s="70" t="s">
        <v>650</v>
      </c>
      <c r="B250" s="71" t="s">
        <v>647</v>
      </c>
      <c r="C250" s="72" t="s">
        <v>308</v>
      </c>
      <c r="D250" s="73" t="s">
        <v>519</v>
      </c>
      <c r="E250" s="74" t="s">
        <v>310</v>
      </c>
      <c r="F250" s="75" t="n">
        <v>1</v>
      </c>
      <c r="G250" s="85" t="s">
        <v>138</v>
      </c>
      <c r="H250" s="85" t="s">
        <v>138</v>
      </c>
      <c r="I250" s="85" t="s">
        <v>138</v>
      </c>
      <c r="J250" s="76" t="n">
        <f aca="false">IF(COUNTIF('Quote Lines'!$P$3:$P$805,$A250&amp;"|"&amp;J$6&amp;"|1")=0,"—",SUMIFS('Quote Lines'!$O$3:$O$805,'Quote Lines'!$P$3:$P$805,$A250&amp;"|"&amp;J$6&amp;"|1")/SUMIFS('Quote Lines'!$L$3:$L$805,'Quote Lines'!$P$3:$P$805,$A250&amp;"|"&amp;J$6&amp;"|1"))</f>
        <v>32.68</v>
      </c>
      <c r="K250" s="14" t="str">
        <f aca="false">IF(ISNUMBER(G250),G250*$F250,"—")</f>
        <v>—</v>
      </c>
      <c r="L250" s="14" t="str">
        <f aca="false">IF(ISNUMBER(H250),H250*$F250,"—")</f>
        <v>—</v>
      </c>
      <c r="M250" s="14" t="str">
        <f aca="false">IF(ISNUMBER(I250),I250*$F250,"—")</f>
        <v>—</v>
      </c>
      <c r="N250" s="14" t="n">
        <f aca="false">IF(ISNUMBER(J250),J250*$F250,"—")</f>
        <v>32.68</v>
      </c>
      <c r="O250" s="77" t="n">
        <f aca="false">IF($S250=0,"—",MIN(G250:J250))</f>
        <v>32.68</v>
      </c>
      <c r="P250" s="42" t="str">
        <f aca="false">IF($S250=0,"—",IF(COUNTIF(G250:J250,O250)&gt;1,"Tie",INDEX($G$6:$J$6,MATCH(O250,G250:J250,0))))</f>
        <v>Scholzen</v>
      </c>
      <c r="Q250" s="48" t="str">
        <f aca="false">IF($S250&gt;=2,MAX(G250:J250)/MIN(G250:J250)-1,"—")</f>
        <v>—</v>
      </c>
      <c r="R250" s="78" t="str">
        <f aca="false">IF($S250&gt;=2,(MAX(G250:J250)-MIN(G250:J250))*$F250,"—")</f>
        <v>—</v>
      </c>
      <c r="S250" s="18" t="n">
        <f aca="false">COUNT(G250:J250)</f>
        <v>1</v>
      </c>
      <c r="T250" s="79" t="str">
        <f aca="false">IF($S250&lt;=1,IF($S250=1,"Single quote","—"),"Like-for-like")</f>
        <v>Single quote</v>
      </c>
      <c r="U250" s="79" t="str">
        <f aca="false">IF(COUNT(W250:Z250)&lt;2,"",IF(MAX(W250:Z250)=MIN(W250:Z250),"OK","Qty differs"))</f>
        <v/>
      </c>
      <c r="V250" s="80"/>
      <c r="W250" s="81"/>
      <c r="X250" s="81"/>
      <c r="Y250" s="81"/>
      <c r="Z250" s="81" t="n">
        <f aca="false">IF(COUNTIFS('Quote Lines'!$P$3:$P$805,$A250&amp;"|"&amp;J$6&amp;"|1",'Quote Lines'!$M$3:$M$805,"Y")=0,"",SUMIFS('Quote Lines'!$L$3:$L$805,'Quote Lines'!$P$3:$P$805,$A250&amp;"|"&amp;J$6&amp;"|1",'Quote Lines'!$M$3:$M$805,"Y"))</f>
        <v>1</v>
      </c>
      <c r="AA250" s="82" t="str">
        <f aca="false">IF(ISNUMBER(G250),1+SUMPRODUCT(ISNUMBER($G250:$J250)*($G250:$J250&lt;G250)),"")</f>
        <v/>
      </c>
      <c r="AB250" s="82" t="str">
        <f aca="false">IF(ISNUMBER(H250),1+SUMPRODUCT(ISNUMBER($G250:$J250)*($G250:$J250&lt;H250)),"")</f>
        <v/>
      </c>
      <c r="AC250" s="82" t="str">
        <f aca="false">IF(ISNUMBER(I250),1+SUMPRODUCT(ISNUMBER($G250:$J250)*($G250:$J250&lt;I250)),"")</f>
        <v/>
      </c>
      <c r="AD250" s="82" t="n">
        <f aca="false">IF(ISNUMBER(J250),1+SUMPRODUCT(ISNUMBER($G250:$J250)*($G250:$J250&lt;J250)),"")</f>
        <v>1</v>
      </c>
      <c r="AE250" s="82" t="n">
        <f aca="false">IF(NOT(ISNUMBER(G250)),0,IF($S250&lt;2,5,IF(AA250=1,1,IF(G250=MAX($G250:$J250),4,IF(AA250=2,2,3)))))</f>
        <v>0</v>
      </c>
      <c r="AF250" s="82" t="n">
        <f aca="false">IF(NOT(ISNUMBER(H250)),0,IF($S250&lt;2,5,IF(AB250=1,1,IF(H250=MAX($G250:$J250),4,IF(AB250=2,2,3)))))</f>
        <v>0</v>
      </c>
      <c r="AG250" s="82" t="n">
        <f aca="false">IF(NOT(ISNUMBER(I250)),0,IF($S250&lt;2,5,IF(AC250=1,1,IF(I250=MAX($G250:$J250),4,IF(AC250=2,2,3)))))</f>
        <v>0</v>
      </c>
      <c r="AH250" s="82" t="n">
        <f aca="false">IF(NOT(ISNUMBER(J250)),0,IF($S250&lt;2,5,IF(AD250=1,1,IF(J250=MAX($G250:$J250),4,IF(AD250=2,2,3)))))</f>
        <v>5</v>
      </c>
      <c r="AI250" s="83" t="n">
        <f aca="false">IF($S250&gt;=2,IF(ISNUMBER(G250),G250*$F250,MIN($G250:$J250)*$F250),0)</f>
        <v>0</v>
      </c>
      <c r="AJ250" s="83" t="n">
        <f aca="false">IF($S250&gt;=2,IF(ISNUMBER(H250),H250*$F250,MIN($G250:$J250)*$F250),0)</f>
        <v>0</v>
      </c>
      <c r="AK250" s="83" t="n">
        <f aca="false">IF($S250&gt;=2,IF(ISNUMBER(I250),I250*$F250,MIN($G250:$J250)*$F250),0)</f>
        <v>0</v>
      </c>
      <c r="AL250" s="83" t="n">
        <f aca="false">IF($S250&gt;=2,IF(ISNUMBER(J250),J250*$F250,MIN($G250:$J250)*$F250),0)</f>
        <v>0</v>
      </c>
      <c r="AM250" s="84" t="str">
        <f aca="false">IF($S250&gt;=2,$R250+ROW()/1000000,"")</f>
        <v/>
      </c>
      <c r="AN250" s="83" t="str">
        <f aca="false">IF($S250&gt;=2,MAX(G250:J250),"")</f>
        <v/>
      </c>
      <c r="AO250" s="82" t="str">
        <f aca="false">IF($S250&gt;=2,INDEX($G$6:$J$6,MATCH(MAX(G250:J250),G250:J250,0)),"")</f>
        <v/>
      </c>
      <c r="AP250" s="83" t="n">
        <f aca="false">IF($S250&gt;=2,MIN(G250:J250)*$F250,0)</f>
        <v>0</v>
      </c>
      <c r="AQ250" s="82" t="str">
        <f aca="false">IF($S250&gt;=2,INDEX($G$6:$J$6,MATCH(MIN(G250:J250),G250:J250,0)),"")</f>
        <v/>
      </c>
    </row>
    <row r="251" customFormat="false" ht="19.5" hidden="false" customHeight="true" outlineLevel="0" collapsed="false">
      <c r="A251" s="69"/>
      <c r="B251" s="9" t="s">
        <v>651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</row>
    <row r="252" customFormat="false" ht="15" hidden="false" customHeight="true" outlineLevel="0" collapsed="false">
      <c r="A252" s="70" t="s">
        <v>652</v>
      </c>
      <c r="B252" s="71" t="s">
        <v>653</v>
      </c>
      <c r="C252" s="72" t="s">
        <v>131</v>
      </c>
      <c r="D252" s="73" t="s">
        <v>654</v>
      </c>
      <c r="E252" s="74" t="s">
        <v>133</v>
      </c>
      <c r="F252" s="75" t="n">
        <v>4</v>
      </c>
      <c r="G252" s="76" t="n">
        <f aca="false">IF(COUNTIF('Quote Lines'!$P$3:$P$805,$A252&amp;"|"&amp;G$6&amp;"|1")=0,"—",SUMIFS('Quote Lines'!$O$3:$O$805,'Quote Lines'!$P$3:$P$805,$A252&amp;"|"&amp;G$6&amp;"|1")/SUMIFS('Quote Lines'!$L$3:$L$805,'Quote Lines'!$P$3:$P$805,$A252&amp;"|"&amp;G$6&amp;"|1"))</f>
        <v>843.01</v>
      </c>
      <c r="H252" s="76" t="n">
        <f aca="false">IF(COUNTIF('Quote Lines'!$P$3:$P$805,$A252&amp;"|"&amp;H$6&amp;"|1")=0,"—",SUMIFS('Quote Lines'!$O$3:$O$805,'Quote Lines'!$P$3:$P$805,$A252&amp;"|"&amp;H$6&amp;"|1")/SUMIFS('Quote Lines'!$L$3:$L$805,'Quote Lines'!$P$3:$P$805,$A252&amp;"|"&amp;H$6&amp;"|1"))</f>
        <v>880.8</v>
      </c>
      <c r="I252" s="76" t="n">
        <f aca="false">IF(COUNTIF('Quote Lines'!$P$3:$P$805,$A252&amp;"|"&amp;I$6&amp;"|1")=0,"—",SUMIFS('Quote Lines'!$O$3:$O$805,'Quote Lines'!$P$3:$P$805,$A252&amp;"|"&amp;I$6&amp;"|1")/SUMIFS('Quote Lines'!$L$3:$L$805,'Quote Lines'!$P$3:$P$805,$A252&amp;"|"&amp;I$6&amp;"|1"))</f>
        <v>956.3425</v>
      </c>
      <c r="J252" s="76" t="n">
        <f aca="false">IF(COUNTIF('Quote Lines'!$P$3:$P$805,$A252&amp;"|"&amp;J$6&amp;"|1")=0,"—",SUMIFS('Quote Lines'!$O$3:$O$805,'Quote Lines'!$P$3:$P$805,$A252&amp;"|"&amp;J$6&amp;"|1")/SUMIFS('Quote Lines'!$L$3:$L$805,'Quote Lines'!$P$3:$P$805,$A252&amp;"|"&amp;J$6&amp;"|1"))</f>
        <v>922.58</v>
      </c>
      <c r="K252" s="14" t="n">
        <f aca="false">IF(ISNUMBER(G252),G252*$F252,"—")</f>
        <v>3372.04</v>
      </c>
      <c r="L252" s="14" t="n">
        <f aca="false">IF(ISNUMBER(H252),H252*$F252,"—")</f>
        <v>3523.2</v>
      </c>
      <c r="M252" s="14" t="n">
        <f aca="false">IF(ISNUMBER(I252),I252*$F252,"—")</f>
        <v>3825.37</v>
      </c>
      <c r="N252" s="14" t="n">
        <f aca="false">IF(ISNUMBER(J252),J252*$F252,"—")</f>
        <v>3690.32</v>
      </c>
      <c r="O252" s="77" t="n">
        <f aca="false">IF($S252=0,"—",MIN(G252:J252))</f>
        <v>843.01</v>
      </c>
      <c r="P252" s="42" t="str">
        <f aca="false">IF($S252=0,"—",IF(COUNTIF(G252:J252,O252)&gt;1,"Tie",INDEX($G$6:$J$6,MATCH(O252,G252:J252,0))))</f>
        <v>Ferguson</v>
      </c>
      <c r="Q252" s="48" t="n">
        <f aca="false">IF($S252&gt;=2,MAX(G252:J252)/MIN(G252:J252)-1,"—")</f>
        <v>0.134437907023641</v>
      </c>
      <c r="R252" s="78" t="n">
        <f aca="false">IF($S252&gt;=2,(MAX(G252:J252)-MIN(G252:J252))*$F252,"—")</f>
        <v>453.33</v>
      </c>
      <c r="S252" s="18" t="n">
        <f aca="false">COUNT(G252:J252)</f>
        <v>4</v>
      </c>
      <c r="T252" s="79" t="str">
        <f aca="false">IF($S252&lt;=1,IF($S252=1,"Single quote","—"),"Like-for-like")</f>
        <v>Like-for-like</v>
      </c>
      <c r="U252" s="79" t="str">
        <f aca="false">IF(COUNT(W252:Z252)&lt;2,"",IF(MAX(W252:Z252)=MIN(W252:Z252),"OK","Qty differs"))</f>
        <v>Qty differs</v>
      </c>
      <c r="V252" s="80"/>
      <c r="W252" s="81" t="n">
        <f aca="false">IF(COUNTIFS('Quote Lines'!$P$3:$P$805,$A252&amp;"|"&amp;G$6&amp;"|1",'Quote Lines'!$M$3:$M$805,"Y")=0,"",SUMIFS('Quote Lines'!$L$3:$L$805,'Quote Lines'!$P$3:$P$805,$A252&amp;"|"&amp;G$6&amp;"|1",'Quote Lines'!$M$3:$M$805,"Y"))</f>
        <v>4</v>
      </c>
      <c r="X252" s="81" t="n">
        <f aca="false">IF(COUNTIFS('Quote Lines'!$P$3:$P$805,$A252&amp;"|"&amp;H$6&amp;"|1",'Quote Lines'!$M$3:$M$805,"Y")=0,"",SUMIFS('Quote Lines'!$L$3:$L$805,'Quote Lines'!$P$3:$P$805,$A252&amp;"|"&amp;H$6&amp;"|1",'Quote Lines'!$M$3:$M$805,"Y"))</f>
        <v>3</v>
      </c>
      <c r="Y252" s="81" t="n">
        <f aca="false">IF(COUNTIFS('Quote Lines'!$P$3:$P$805,$A252&amp;"|"&amp;I$6&amp;"|1",'Quote Lines'!$M$3:$M$805,"Y")=0,"",SUMIFS('Quote Lines'!$L$3:$L$805,'Quote Lines'!$P$3:$P$805,$A252&amp;"|"&amp;I$6&amp;"|1",'Quote Lines'!$M$3:$M$805,"Y"))</f>
        <v>4</v>
      </c>
      <c r="Z252" s="81" t="n">
        <f aca="false">IF(COUNTIFS('Quote Lines'!$P$3:$P$805,$A252&amp;"|"&amp;J$6&amp;"|1",'Quote Lines'!$M$3:$M$805,"Y")=0,"",SUMIFS('Quote Lines'!$L$3:$L$805,'Quote Lines'!$P$3:$P$805,$A252&amp;"|"&amp;J$6&amp;"|1",'Quote Lines'!$M$3:$M$805,"Y"))</f>
        <v>4</v>
      </c>
      <c r="AA252" s="82" t="n">
        <f aca="false">IF(ISNUMBER(G252),1+SUMPRODUCT(ISNUMBER($G252:$J252)*($G252:$J252&lt;G252)),"")</f>
        <v>1</v>
      </c>
      <c r="AB252" s="82" t="n">
        <f aca="false">IF(ISNUMBER(H252),1+SUMPRODUCT(ISNUMBER($G252:$J252)*($G252:$J252&lt;H252)),"")</f>
        <v>2</v>
      </c>
      <c r="AC252" s="82" t="n">
        <f aca="false">IF(ISNUMBER(I252),1+SUMPRODUCT(ISNUMBER($G252:$J252)*($G252:$J252&lt;I252)),"")</f>
        <v>4</v>
      </c>
      <c r="AD252" s="82" t="n">
        <f aca="false">IF(ISNUMBER(J252),1+SUMPRODUCT(ISNUMBER($G252:$J252)*($G252:$J252&lt;J252)),"")</f>
        <v>3</v>
      </c>
      <c r="AE252" s="82" t="n">
        <f aca="false">IF(NOT(ISNUMBER(G252)),0,IF($S252&lt;2,5,IF(AA252=1,1,IF(G252=MAX($G252:$J252),4,IF(AA252=2,2,3)))))</f>
        <v>1</v>
      </c>
      <c r="AF252" s="82" t="n">
        <f aca="false">IF(NOT(ISNUMBER(H252)),0,IF($S252&lt;2,5,IF(AB252=1,1,IF(H252=MAX($G252:$J252),4,IF(AB252=2,2,3)))))</f>
        <v>2</v>
      </c>
      <c r="AG252" s="82" t="n">
        <f aca="false">IF(NOT(ISNUMBER(I252)),0,IF($S252&lt;2,5,IF(AC252=1,1,IF(I252=MAX($G252:$J252),4,IF(AC252=2,2,3)))))</f>
        <v>4</v>
      </c>
      <c r="AH252" s="82" t="n">
        <f aca="false">IF(NOT(ISNUMBER(J252)),0,IF($S252&lt;2,5,IF(AD252=1,1,IF(J252=MAX($G252:$J252),4,IF(AD252=2,2,3)))))</f>
        <v>3</v>
      </c>
      <c r="AI252" s="83" t="n">
        <f aca="false">IF($S252&gt;=2,IF(ISNUMBER(G252),G252*$F252,MIN($G252:$J252)*$F252),0)</f>
        <v>3372.04</v>
      </c>
      <c r="AJ252" s="83" t="n">
        <f aca="false">IF($S252&gt;=2,IF(ISNUMBER(H252),H252*$F252,MIN($G252:$J252)*$F252),0)</f>
        <v>3523.2</v>
      </c>
      <c r="AK252" s="83" t="n">
        <f aca="false">IF($S252&gt;=2,IF(ISNUMBER(I252),I252*$F252,MIN($G252:$J252)*$F252),0)</f>
        <v>3825.37</v>
      </c>
      <c r="AL252" s="83" t="n">
        <f aca="false">IF($S252&gt;=2,IF(ISNUMBER(J252),J252*$F252,MIN($G252:$J252)*$F252),0)</f>
        <v>3690.32</v>
      </c>
      <c r="AM252" s="84" t="n">
        <f aca="false">IF($S252&gt;=2,$R252+ROW()/1000000,"")</f>
        <v>453.330252</v>
      </c>
      <c r="AN252" s="83" t="n">
        <f aca="false">IF($S252&gt;=2,MAX(G252:J252),"")</f>
        <v>956.3425</v>
      </c>
      <c r="AO252" s="82" t="str">
        <f aca="false">IF($S252&gt;=2,INDEX($G$6:$J$6,MATCH(MAX(G252:J252),G252:J252,0)),"")</f>
        <v>Mountainland</v>
      </c>
      <c r="AP252" s="83" t="n">
        <f aca="false">IF($S252&gt;=2,MIN(G252:J252)*$F252,0)</f>
        <v>3372.04</v>
      </c>
      <c r="AQ252" s="82" t="str">
        <f aca="false">IF($S252&gt;=2,INDEX($G$6:$J$6,MATCH(MIN(G252:J252),G252:J252,0)),"")</f>
        <v>Ferguson</v>
      </c>
    </row>
    <row r="253" customFormat="false" ht="15" hidden="false" customHeight="true" outlineLevel="0" collapsed="false">
      <c r="A253" s="70" t="s">
        <v>655</v>
      </c>
      <c r="B253" s="71" t="s">
        <v>653</v>
      </c>
      <c r="C253" s="72" t="s">
        <v>308</v>
      </c>
      <c r="D253" s="73" t="s">
        <v>309</v>
      </c>
      <c r="E253" s="74" t="s">
        <v>310</v>
      </c>
      <c r="F253" s="75" t="n">
        <v>4</v>
      </c>
      <c r="G253" s="76" t="n">
        <f aca="false">IF(COUNTIF('Quote Lines'!$P$3:$P$805,$A253&amp;"|"&amp;G$6&amp;"|1")=0,"—",SUMIFS('Quote Lines'!$O$3:$O$805,'Quote Lines'!$P$3:$P$805,$A253&amp;"|"&amp;G$6&amp;"|1")/SUMIFS('Quote Lines'!$L$3:$L$805,'Quote Lines'!$P$3:$P$805,$A253&amp;"|"&amp;G$6&amp;"|1")+IFERROR(SUMIFS('Quote Lines'!$O$3:$O$805,'Quote Lines'!$P$3:$P$805,$A253&amp;"|"&amp;G$6&amp;"|2")/SUMIFS('Quote Lines'!$L$3:$L$805,'Quote Lines'!$P$3:$P$805,$A253&amp;"|"&amp;G$6&amp;"|2"),0))</f>
        <v>138.15</v>
      </c>
      <c r="H253" s="76" t="n">
        <f aca="false">IF(COUNTIF('Quote Lines'!$P$3:$P$805,$A253&amp;"|"&amp;H$6&amp;"|1")=0,"—",SUMIFS('Quote Lines'!$O$3:$O$805,'Quote Lines'!$P$3:$P$805,$A253&amp;"|"&amp;H$6&amp;"|1")/SUMIFS('Quote Lines'!$L$3:$L$805,'Quote Lines'!$P$3:$P$805,$A253&amp;"|"&amp;H$6&amp;"|1")+IFERROR(SUMIFS('Quote Lines'!$O$3:$O$805,'Quote Lines'!$P$3:$P$805,$A253&amp;"|"&amp;H$6&amp;"|2")/SUMIFS('Quote Lines'!$L$3:$L$805,'Quote Lines'!$P$3:$P$805,$A253&amp;"|"&amp;H$6&amp;"|2"),0))</f>
        <v>153.53</v>
      </c>
      <c r="I253" s="76" t="n">
        <f aca="false">IF(COUNTIF('Quote Lines'!$P$3:$P$805,$A253&amp;"|"&amp;I$6&amp;"|1")=0,"—",SUMIFS('Quote Lines'!$O$3:$O$805,'Quote Lines'!$P$3:$P$805,$A253&amp;"|"&amp;I$6&amp;"|1")/SUMIFS('Quote Lines'!$L$3:$L$805,'Quote Lines'!$P$3:$P$805,$A253&amp;"|"&amp;I$6&amp;"|1"))</f>
        <v>64.2825</v>
      </c>
      <c r="J253" s="85" t="s">
        <v>138</v>
      </c>
      <c r="K253" s="14" t="n">
        <f aca="false">IF(ISNUMBER(G253),G253*$F253,"—")</f>
        <v>552.6</v>
      </c>
      <c r="L253" s="14" t="n">
        <f aca="false">IF(ISNUMBER(H253),H253*$F253,"—")</f>
        <v>614.12</v>
      </c>
      <c r="M253" s="14" t="n">
        <f aca="false">IF(ISNUMBER(I253),I253*$F253,"—")</f>
        <v>257.13</v>
      </c>
      <c r="N253" s="14" t="str">
        <f aca="false">IF(ISNUMBER(J253),J253*$F253,"—")</f>
        <v>—</v>
      </c>
      <c r="O253" s="77" t="n">
        <f aca="false">IF($S253=0,"—",MIN(G253:J253))</f>
        <v>64.2825</v>
      </c>
      <c r="P253" s="42" t="str">
        <f aca="false">IF($S253=0,"—",IF(COUNTIF(G253:J253,O253)&gt;1,"Tie",INDEX($G$6:$J$6,MATCH(O253,G253:J253,0))))</f>
        <v>Mountainland</v>
      </c>
      <c r="Q253" s="48" t="n">
        <f aca="false">IF($S253&gt;=2,MAX(G253:J253)/MIN(G253:J253)-1,"—")</f>
        <v>1.38836386263758</v>
      </c>
      <c r="R253" s="78" t="n">
        <f aca="false">IF($S253&gt;=2,(MAX(G253:J253)-MIN(G253:J253))*$F253,"—")</f>
        <v>356.99</v>
      </c>
      <c r="S253" s="18" t="n">
        <f aca="false">COUNT(G253:J253)</f>
        <v>3</v>
      </c>
      <c r="T253" s="79" t="str">
        <f aca="false">IF($S253&lt;=1,IF($S253=1,"Single quote","—"),"Alt spec – verify")</f>
        <v>Alt spec – verify</v>
      </c>
      <c r="U253" s="79" t="str">
        <f aca="false">IF(COUNT(W253:Z253)&lt;2,"",IF(MAX(W253:Z253)=MIN(W253:Z253),"OK","Qty differs"))</f>
        <v>Qty differs</v>
      </c>
      <c r="V253" s="80"/>
      <c r="W253" s="81" t="n">
        <f aca="false">IF(COUNTIFS('Quote Lines'!$P$3:$P$805,$A253&amp;"|"&amp;G$6&amp;"|1",'Quote Lines'!$M$3:$M$805,"Y")=0,"",SUMIFS('Quote Lines'!$L$3:$L$805,'Quote Lines'!$P$3:$P$805,$A253&amp;"|"&amp;G$6&amp;"|1",'Quote Lines'!$M$3:$M$805,"Y"))</f>
        <v>4</v>
      </c>
      <c r="X253" s="81" t="n">
        <f aca="false">IF(COUNTIFS('Quote Lines'!$P$3:$P$805,$A253&amp;"|"&amp;H$6&amp;"|1",'Quote Lines'!$M$3:$M$805,"Y")=0,"",SUMIFS('Quote Lines'!$L$3:$L$805,'Quote Lines'!$P$3:$P$805,$A253&amp;"|"&amp;H$6&amp;"|1",'Quote Lines'!$M$3:$M$805,"Y"))</f>
        <v>3</v>
      </c>
      <c r="Y253" s="81" t="n">
        <f aca="false">IF(COUNTIFS('Quote Lines'!$P$3:$P$805,$A253&amp;"|"&amp;I$6&amp;"|1",'Quote Lines'!$M$3:$M$805,"Y")=0,"",SUMIFS('Quote Lines'!$L$3:$L$805,'Quote Lines'!$P$3:$P$805,$A253&amp;"|"&amp;I$6&amp;"|1",'Quote Lines'!$M$3:$M$805,"Y"))</f>
        <v>4</v>
      </c>
      <c r="Z253" s="81"/>
      <c r="AA253" s="82" t="n">
        <f aca="false">IF(ISNUMBER(G253),1+SUMPRODUCT(ISNUMBER($G253:$J253)*($G253:$J253&lt;G253)),"")</f>
        <v>2</v>
      </c>
      <c r="AB253" s="82" t="n">
        <f aca="false">IF(ISNUMBER(H253),1+SUMPRODUCT(ISNUMBER($G253:$J253)*($G253:$J253&lt;H253)),"")</f>
        <v>3</v>
      </c>
      <c r="AC253" s="82" t="n">
        <f aca="false">IF(ISNUMBER(I253),1+SUMPRODUCT(ISNUMBER($G253:$J253)*($G253:$J253&lt;I253)),"")</f>
        <v>1</v>
      </c>
      <c r="AD253" s="82" t="str">
        <f aca="false">IF(ISNUMBER(J253),1+SUMPRODUCT(ISNUMBER($G253:$J253)*($G253:$J253&lt;J253)),"")</f>
        <v/>
      </c>
      <c r="AE253" s="82" t="n">
        <f aca="false">IF(NOT(ISNUMBER(G253)),0,IF($S253&lt;2,5,IF(AA253=1,1,IF(G253=MAX($G253:$J253),4,IF(AA253=2,2,3)))))</f>
        <v>2</v>
      </c>
      <c r="AF253" s="82" t="n">
        <f aca="false">IF(NOT(ISNUMBER(H253)),0,IF($S253&lt;2,5,IF(AB253=1,1,IF(H253=MAX($G253:$J253),4,IF(AB253=2,2,3)))))</f>
        <v>4</v>
      </c>
      <c r="AG253" s="82" t="n">
        <f aca="false">IF(NOT(ISNUMBER(I253)),0,IF($S253&lt;2,5,IF(AC253=1,1,IF(I253=MAX($G253:$J253),4,IF(AC253=2,2,3)))))</f>
        <v>1</v>
      </c>
      <c r="AH253" s="82" t="n">
        <f aca="false">IF(NOT(ISNUMBER(J253)),0,IF($S253&lt;2,5,IF(AD253=1,1,IF(J253=MAX($G253:$J253),4,IF(AD253=2,2,3)))))</f>
        <v>0</v>
      </c>
      <c r="AI253" s="83" t="n">
        <f aca="false">IF($S253&gt;=2,IF(ISNUMBER(G253),G253*$F253,MIN($G253:$J253)*$F253),0)</f>
        <v>552.6</v>
      </c>
      <c r="AJ253" s="83" t="n">
        <f aca="false">IF($S253&gt;=2,IF(ISNUMBER(H253),H253*$F253,MIN($G253:$J253)*$F253),0)</f>
        <v>614.12</v>
      </c>
      <c r="AK253" s="83" t="n">
        <f aca="false">IF($S253&gt;=2,IF(ISNUMBER(I253),I253*$F253,MIN($G253:$J253)*$F253),0)</f>
        <v>257.13</v>
      </c>
      <c r="AL253" s="83" t="n">
        <f aca="false">IF($S253&gt;=2,IF(ISNUMBER(J253),J253*$F253,MIN($G253:$J253)*$F253),0)</f>
        <v>257.13</v>
      </c>
      <c r="AM253" s="84" t="n">
        <f aca="false">IF($S253&gt;=2,$R253+ROW()/1000000,"")</f>
        <v>356.990253</v>
      </c>
      <c r="AN253" s="83" t="n">
        <f aca="false">IF($S253&gt;=2,MAX(G253:J253),"")</f>
        <v>153.53</v>
      </c>
      <c r="AO253" s="82" t="str">
        <f aca="false">IF($S253&gt;=2,INDEX($G$6:$J$6,MATCH(MAX(G253:J253),G253:J253,0)),"")</f>
        <v>HD Fowler</v>
      </c>
      <c r="AP253" s="83" t="n">
        <f aca="false">IF($S253&gt;=2,MIN(G253:J253)*$F253,0)</f>
        <v>257.13</v>
      </c>
      <c r="AQ253" s="82" t="str">
        <f aca="false">IF($S253&gt;=2,INDEX($G$6:$J$6,MATCH(MIN(G253:J253),G253:J253,0)),"")</f>
        <v>Mountainland</v>
      </c>
    </row>
    <row r="254" customFormat="false" ht="15" hidden="false" customHeight="true" outlineLevel="0" collapsed="false">
      <c r="A254" s="70" t="s">
        <v>656</v>
      </c>
      <c r="B254" s="71" t="s">
        <v>653</v>
      </c>
      <c r="C254" s="72" t="s">
        <v>308</v>
      </c>
      <c r="D254" s="73" t="s">
        <v>318</v>
      </c>
      <c r="E254" s="74" t="s">
        <v>310</v>
      </c>
      <c r="F254" s="75" t="n">
        <v>4</v>
      </c>
      <c r="G254" s="85" t="s">
        <v>138</v>
      </c>
      <c r="H254" s="85" t="s">
        <v>138</v>
      </c>
      <c r="I254" s="85" t="s">
        <v>138</v>
      </c>
      <c r="J254" s="76" t="n">
        <f aca="false">IF(COUNTIF('Quote Lines'!$P$3:$P$805,$A254&amp;"|"&amp;J$6&amp;"|1")=0,"—",SUMIFS('Quote Lines'!$O$3:$O$805,'Quote Lines'!$P$3:$P$805,$A254&amp;"|"&amp;J$6&amp;"|1")/SUMIFS('Quote Lines'!$L$3:$L$805,'Quote Lines'!$P$3:$P$805,$A254&amp;"|"&amp;J$6&amp;"|1"))</f>
        <v>39.38</v>
      </c>
      <c r="K254" s="14" t="str">
        <f aca="false">IF(ISNUMBER(G254),G254*$F254,"—")</f>
        <v>—</v>
      </c>
      <c r="L254" s="14" t="str">
        <f aca="false">IF(ISNUMBER(H254),H254*$F254,"—")</f>
        <v>—</v>
      </c>
      <c r="M254" s="14" t="str">
        <f aca="false">IF(ISNUMBER(I254),I254*$F254,"—")</f>
        <v>—</v>
      </c>
      <c r="N254" s="14" t="n">
        <f aca="false">IF(ISNUMBER(J254),J254*$F254,"—")</f>
        <v>157.52</v>
      </c>
      <c r="O254" s="77" t="n">
        <f aca="false">IF($S254=0,"—",MIN(G254:J254))</f>
        <v>39.38</v>
      </c>
      <c r="P254" s="42" t="str">
        <f aca="false">IF($S254=0,"—",IF(COUNTIF(G254:J254,O254)&gt;1,"Tie",INDEX($G$6:$J$6,MATCH(O254,G254:J254,0))))</f>
        <v>Scholzen</v>
      </c>
      <c r="Q254" s="48" t="str">
        <f aca="false">IF($S254&gt;=2,MAX(G254:J254)/MIN(G254:J254)-1,"—")</f>
        <v>—</v>
      </c>
      <c r="R254" s="78" t="str">
        <f aca="false">IF($S254&gt;=2,(MAX(G254:J254)-MIN(G254:J254))*$F254,"—")</f>
        <v>—</v>
      </c>
      <c r="S254" s="18" t="n">
        <f aca="false">COUNT(G254:J254)</f>
        <v>1</v>
      </c>
      <c r="T254" s="79" t="str">
        <f aca="false">IF($S254&lt;=1,IF($S254=1,"Single quote","—"),"Like-for-like")</f>
        <v>Single quote</v>
      </c>
      <c r="U254" s="79" t="str">
        <f aca="false">IF(COUNT(W254:Z254)&lt;2,"",IF(MAX(W254:Z254)=MIN(W254:Z254),"OK","Qty differs"))</f>
        <v/>
      </c>
      <c r="V254" s="80"/>
      <c r="W254" s="81"/>
      <c r="X254" s="81"/>
      <c r="Y254" s="81"/>
      <c r="Z254" s="81" t="n">
        <f aca="false">IF(COUNTIFS('Quote Lines'!$P$3:$P$805,$A254&amp;"|"&amp;J$6&amp;"|1",'Quote Lines'!$M$3:$M$805,"Y")=0,"",SUMIFS('Quote Lines'!$L$3:$L$805,'Quote Lines'!$P$3:$P$805,$A254&amp;"|"&amp;J$6&amp;"|1",'Quote Lines'!$M$3:$M$805,"Y"))</f>
        <v>4</v>
      </c>
      <c r="AA254" s="82" t="str">
        <f aca="false">IF(ISNUMBER(G254),1+SUMPRODUCT(ISNUMBER($G254:$J254)*($G254:$J254&lt;G254)),"")</f>
        <v/>
      </c>
      <c r="AB254" s="82" t="str">
        <f aca="false">IF(ISNUMBER(H254),1+SUMPRODUCT(ISNUMBER($G254:$J254)*($G254:$J254&lt;H254)),"")</f>
        <v/>
      </c>
      <c r="AC254" s="82" t="str">
        <f aca="false">IF(ISNUMBER(I254),1+SUMPRODUCT(ISNUMBER($G254:$J254)*($G254:$J254&lt;I254)),"")</f>
        <v/>
      </c>
      <c r="AD254" s="82" t="n">
        <f aca="false">IF(ISNUMBER(J254),1+SUMPRODUCT(ISNUMBER($G254:$J254)*($G254:$J254&lt;J254)),"")</f>
        <v>1</v>
      </c>
      <c r="AE254" s="82" t="n">
        <f aca="false">IF(NOT(ISNUMBER(G254)),0,IF($S254&lt;2,5,IF(AA254=1,1,IF(G254=MAX($G254:$J254),4,IF(AA254=2,2,3)))))</f>
        <v>0</v>
      </c>
      <c r="AF254" s="82" t="n">
        <f aca="false">IF(NOT(ISNUMBER(H254)),0,IF($S254&lt;2,5,IF(AB254=1,1,IF(H254=MAX($G254:$J254),4,IF(AB254=2,2,3)))))</f>
        <v>0</v>
      </c>
      <c r="AG254" s="82" t="n">
        <f aca="false">IF(NOT(ISNUMBER(I254)),0,IF($S254&lt;2,5,IF(AC254=1,1,IF(I254=MAX($G254:$J254),4,IF(AC254=2,2,3)))))</f>
        <v>0</v>
      </c>
      <c r="AH254" s="82" t="n">
        <f aca="false">IF(NOT(ISNUMBER(J254)),0,IF($S254&lt;2,5,IF(AD254=1,1,IF(J254=MAX($G254:$J254),4,IF(AD254=2,2,3)))))</f>
        <v>5</v>
      </c>
      <c r="AI254" s="83" t="n">
        <f aca="false">IF($S254&gt;=2,IF(ISNUMBER(G254),G254*$F254,MIN($G254:$J254)*$F254),0)</f>
        <v>0</v>
      </c>
      <c r="AJ254" s="83" t="n">
        <f aca="false">IF($S254&gt;=2,IF(ISNUMBER(H254),H254*$F254,MIN($G254:$J254)*$F254),0)</f>
        <v>0</v>
      </c>
      <c r="AK254" s="83" t="n">
        <f aca="false">IF($S254&gt;=2,IF(ISNUMBER(I254),I254*$F254,MIN($G254:$J254)*$F254),0)</f>
        <v>0</v>
      </c>
      <c r="AL254" s="83" t="n">
        <f aca="false">IF($S254&gt;=2,IF(ISNUMBER(J254),J254*$F254,MIN($G254:$J254)*$F254),0)</f>
        <v>0</v>
      </c>
      <c r="AM254" s="84" t="str">
        <f aca="false">IF($S254&gt;=2,$R254+ROW()/1000000,"")</f>
        <v/>
      </c>
      <c r="AN254" s="83" t="str">
        <f aca="false">IF($S254&gt;=2,MAX(G254:J254),"")</f>
        <v/>
      </c>
      <c r="AO254" s="82" t="str">
        <f aca="false">IF($S254&gt;=2,INDEX($G$6:$J$6,MATCH(MAX(G254:J254),G254:J254,0)),"")</f>
        <v/>
      </c>
      <c r="AP254" s="83" t="n">
        <f aca="false">IF($S254&gt;=2,MIN(G254:J254)*$F254,0)</f>
        <v>0</v>
      </c>
      <c r="AQ254" s="82" t="str">
        <f aca="false">IF($S254&gt;=2,INDEX($G$6:$J$6,MATCH(MIN(G254:J254),G254:J254,0)),"")</f>
        <v/>
      </c>
    </row>
    <row r="255" customFormat="false" ht="19.5" hidden="false" customHeight="true" outlineLevel="0" collapsed="false">
      <c r="A255" s="69"/>
      <c r="B255" s="9" t="s">
        <v>657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</row>
    <row r="256" customFormat="false" ht="15" hidden="false" customHeight="true" outlineLevel="0" collapsed="false">
      <c r="A256" s="70" t="s">
        <v>658</v>
      </c>
      <c r="B256" s="71" t="s">
        <v>659</v>
      </c>
      <c r="C256" s="72" t="s">
        <v>131</v>
      </c>
      <c r="D256" s="73" t="s">
        <v>137</v>
      </c>
      <c r="E256" s="74" t="s">
        <v>133</v>
      </c>
      <c r="F256" s="75" t="n">
        <v>1</v>
      </c>
      <c r="G256" s="76" t="n">
        <f aca="false">IF(COUNTIF('Quote Lines'!$P$3:$P$805,$A256&amp;"|"&amp;G$6&amp;"|1")=0,"—",SUMIFS('Quote Lines'!$O$3:$O$805,'Quote Lines'!$P$3:$P$805,$A256&amp;"|"&amp;G$6&amp;"|1")/SUMIFS('Quote Lines'!$L$3:$L$805,'Quote Lines'!$P$3:$P$805,$A256&amp;"|"&amp;G$6&amp;"|1"))</f>
        <v>1253.24</v>
      </c>
      <c r="H256" s="76" t="n">
        <f aca="false">IF(COUNTIF('Quote Lines'!$P$3:$P$805,$A256&amp;"|"&amp;H$6&amp;"|1")=0,"—",SUMIFS('Quote Lines'!$O$3:$O$805,'Quote Lines'!$P$3:$P$805,$A256&amp;"|"&amp;H$6&amp;"|1")/SUMIFS('Quote Lines'!$L$3:$L$805,'Quote Lines'!$P$3:$P$805,$A256&amp;"|"&amp;H$6&amp;"|1"))</f>
        <v>1309.41</v>
      </c>
      <c r="I256" s="76" t="n">
        <f aca="false">IF(COUNTIF('Quote Lines'!$P$3:$P$805,$A256&amp;"|"&amp;I$6&amp;"|1")=0,"—",SUMIFS('Quote Lines'!$O$3:$O$805,'Quote Lines'!$P$3:$P$805,$A256&amp;"|"&amp;I$6&amp;"|1")/SUMIFS('Quote Lines'!$L$3:$L$805,'Quote Lines'!$P$3:$P$805,$A256&amp;"|"&amp;I$6&amp;"|1"))</f>
        <v>1421.71</v>
      </c>
      <c r="J256" s="76" t="n">
        <f aca="false">IF(COUNTIF('Quote Lines'!$P$3:$P$805,$A256&amp;"|"&amp;J$6&amp;"|1")=0,"—",SUMIFS('Quote Lines'!$O$3:$O$805,'Quote Lines'!$P$3:$P$805,$A256&amp;"|"&amp;J$6&amp;"|1")/SUMIFS('Quote Lines'!$L$3:$L$805,'Quote Lines'!$P$3:$P$805,$A256&amp;"|"&amp;J$6&amp;"|1"))</f>
        <v>1395.07</v>
      </c>
      <c r="K256" s="14" t="n">
        <f aca="false">IF(ISNUMBER(G256),G256*$F256,"—")</f>
        <v>1253.24</v>
      </c>
      <c r="L256" s="14" t="n">
        <f aca="false">IF(ISNUMBER(H256),H256*$F256,"—")</f>
        <v>1309.41</v>
      </c>
      <c r="M256" s="14" t="n">
        <f aca="false">IF(ISNUMBER(I256),I256*$F256,"—")</f>
        <v>1421.71</v>
      </c>
      <c r="N256" s="14" t="n">
        <f aca="false">IF(ISNUMBER(J256),J256*$F256,"—")</f>
        <v>1395.07</v>
      </c>
      <c r="O256" s="77" t="n">
        <f aca="false">IF($S256=0,"—",MIN(G256:J256))</f>
        <v>1253.24</v>
      </c>
      <c r="P256" s="42" t="str">
        <f aca="false">IF($S256=0,"—",IF(COUNTIF(G256:J256,O256)&gt;1,"Tie",INDEX($G$6:$J$6,MATCH(O256,G256:J256,0))))</f>
        <v>Ferguson</v>
      </c>
      <c r="Q256" s="48" t="n">
        <f aca="false">IF($S256&gt;=2,MAX(G256:J256)/MIN(G256:J256)-1,"—")</f>
        <v>0.134427563754748</v>
      </c>
      <c r="R256" s="78" t="n">
        <f aca="false">IF($S256&gt;=2,(MAX(G256:J256)-MIN(G256:J256))*$F256,"—")</f>
        <v>168.47</v>
      </c>
      <c r="S256" s="18" t="n">
        <f aca="false">COUNT(G256:J256)</f>
        <v>4</v>
      </c>
      <c r="T256" s="79" t="str">
        <f aca="false">IF($S256&lt;=1,IF($S256=1,"Single quote","—"),"Like-for-like")</f>
        <v>Like-for-like</v>
      </c>
      <c r="U256" s="79" t="str">
        <f aca="false">IF(COUNT(W256:Z256)&lt;2,"",IF(MAX(W256:Z256)=MIN(W256:Z256),"OK","Qty differs"))</f>
        <v>OK</v>
      </c>
      <c r="V256" s="80"/>
      <c r="W256" s="81" t="n">
        <f aca="false">IF(COUNTIFS('Quote Lines'!$P$3:$P$805,$A256&amp;"|"&amp;G$6&amp;"|1",'Quote Lines'!$M$3:$M$805,"Y")=0,"",SUMIFS('Quote Lines'!$L$3:$L$805,'Quote Lines'!$P$3:$P$805,$A256&amp;"|"&amp;G$6&amp;"|1",'Quote Lines'!$M$3:$M$805,"Y"))</f>
        <v>1</v>
      </c>
      <c r="X256" s="81" t="n">
        <f aca="false">IF(COUNTIFS('Quote Lines'!$P$3:$P$805,$A256&amp;"|"&amp;H$6&amp;"|1",'Quote Lines'!$M$3:$M$805,"Y")=0,"",SUMIFS('Quote Lines'!$L$3:$L$805,'Quote Lines'!$P$3:$P$805,$A256&amp;"|"&amp;H$6&amp;"|1",'Quote Lines'!$M$3:$M$805,"Y"))</f>
        <v>1</v>
      </c>
      <c r="Y256" s="81" t="n">
        <f aca="false">IF(COUNTIFS('Quote Lines'!$P$3:$P$805,$A256&amp;"|"&amp;I$6&amp;"|1",'Quote Lines'!$M$3:$M$805,"Y")=0,"",SUMIFS('Quote Lines'!$L$3:$L$805,'Quote Lines'!$P$3:$P$805,$A256&amp;"|"&amp;I$6&amp;"|1",'Quote Lines'!$M$3:$M$805,"Y"))</f>
        <v>1</v>
      </c>
      <c r="Z256" s="81" t="n">
        <f aca="false">IF(COUNTIFS('Quote Lines'!$P$3:$P$805,$A256&amp;"|"&amp;J$6&amp;"|1",'Quote Lines'!$M$3:$M$805,"Y")=0,"",SUMIFS('Quote Lines'!$L$3:$L$805,'Quote Lines'!$P$3:$P$805,$A256&amp;"|"&amp;J$6&amp;"|1",'Quote Lines'!$M$3:$M$805,"Y"))</f>
        <v>1</v>
      </c>
      <c r="AA256" s="82" t="n">
        <f aca="false">IF(ISNUMBER(G256),1+SUMPRODUCT(ISNUMBER($G256:$J256)*($G256:$J256&lt;G256)),"")</f>
        <v>1</v>
      </c>
      <c r="AB256" s="82" t="n">
        <f aca="false">IF(ISNUMBER(H256),1+SUMPRODUCT(ISNUMBER($G256:$J256)*($G256:$J256&lt;H256)),"")</f>
        <v>2</v>
      </c>
      <c r="AC256" s="82" t="n">
        <f aca="false">IF(ISNUMBER(I256),1+SUMPRODUCT(ISNUMBER($G256:$J256)*($G256:$J256&lt;I256)),"")</f>
        <v>4</v>
      </c>
      <c r="AD256" s="82" t="n">
        <f aca="false">IF(ISNUMBER(J256),1+SUMPRODUCT(ISNUMBER($G256:$J256)*($G256:$J256&lt;J256)),"")</f>
        <v>3</v>
      </c>
      <c r="AE256" s="82" t="n">
        <f aca="false">IF(NOT(ISNUMBER(G256)),0,IF($S256&lt;2,5,IF(AA256=1,1,IF(G256=MAX($G256:$J256),4,IF(AA256=2,2,3)))))</f>
        <v>1</v>
      </c>
      <c r="AF256" s="82" t="n">
        <f aca="false">IF(NOT(ISNUMBER(H256)),0,IF($S256&lt;2,5,IF(AB256=1,1,IF(H256=MAX($G256:$J256),4,IF(AB256=2,2,3)))))</f>
        <v>2</v>
      </c>
      <c r="AG256" s="82" t="n">
        <f aca="false">IF(NOT(ISNUMBER(I256)),0,IF($S256&lt;2,5,IF(AC256=1,1,IF(I256=MAX($G256:$J256),4,IF(AC256=2,2,3)))))</f>
        <v>4</v>
      </c>
      <c r="AH256" s="82" t="n">
        <f aca="false">IF(NOT(ISNUMBER(J256)),0,IF($S256&lt;2,5,IF(AD256=1,1,IF(J256=MAX($G256:$J256),4,IF(AD256=2,2,3)))))</f>
        <v>3</v>
      </c>
      <c r="AI256" s="83" t="n">
        <f aca="false">IF($S256&gt;=2,IF(ISNUMBER(G256),G256*$F256,MIN($G256:$J256)*$F256),0)</f>
        <v>1253.24</v>
      </c>
      <c r="AJ256" s="83" t="n">
        <f aca="false">IF($S256&gt;=2,IF(ISNUMBER(H256),H256*$F256,MIN($G256:$J256)*$F256),0)</f>
        <v>1309.41</v>
      </c>
      <c r="AK256" s="83" t="n">
        <f aca="false">IF($S256&gt;=2,IF(ISNUMBER(I256),I256*$F256,MIN($G256:$J256)*$F256),0)</f>
        <v>1421.71</v>
      </c>
      <c r="AL256" s="83" t="n">
        <f aca="false">IF($S256&gt;=2,IF(ISNUMBER(J256),J256*$F256,MIN($G256:$J256)*$F256),0)</f>
        <v>1395.07</v>
      </c>
      <c r="AM256" s="84" t="n">
        <f aca="false">IF($S256&gt;=2,$R256+ROW()/1000000,"")</f>
        <v>168.470256</v>
      </c>
      <c r="AN256" s="83" t="n">
        <f aca="false">IF($S256&gt;=2,MAX(G256:J256),"")</f>
        <v>1421.71</v>
      </c>
      <c r="AO256" s="82" t="str">
        <f aca="false">IF($S256&gt;=2,INDEX($G$6:$J$6,MATCH(MAX(G256:J256),G256:J256,0)),"")</f>
        <v>Mountainland</v>
      </c>
      <c r="AP256" s="83" t="n">
        <f aca="false">IF($S256&gt;=2,MIN(G256:J256)*$F256,0)</f>
        <v>1253.24</v>
      </c>
      <c r="AQ256" s="82" t="str">
        <f aca="false">IF($S256&gt;=2,INDEX($G$6:$J$6,MATCH(MIN(G256:J256),G256:J256,0)),"")</f>
        <v>Ferguson</v>
      </c>
    </row>
    <row r="257" customFormat="false" ht="15" hidden="false" customHeight="true" outlineLevel="0" collapsed="false">
      <c r="A257" s="70" t="s">
        <v>660</v>
      </c>
      <c r="B257" s="71" t="s">
        <v>659</v>
      </c>
      <c r="C257" s="72" t="s">
        <v>308</v>
      </c>
      <c r="D257" s="73" t="s">
        <v>309</v>
      </c>
      <c r="E257" s="74" t="s">
        <v>310</v>
      </c>
      <c r="F257" s="75" t="n">
        <v>1</v>
      </c>
      <c r="G257" s="76" t="n">
        <f aca="false">IF(COUNTIF('Quote Lines'!$P$3:$P$805,$A257&amp;"|"&amp;G$6&amp;"|1")=0,"—",SUMIFS('Quote Lines'!$O$3:$O$805,'Quote Lines'!$P$3:$P$805,$A257&amp;"|"&amp;G$6&amp;"|1")/SUMIFS('Quote Lines'!$L$3:$L$805,'Quote Lines'!$P$3:$P$805,$A257&amp;"|"&amp;G$6&amp;"|1")+IFERROR(SUMIFS('Quote Lines'!$O$3:$O$805,'Quote Lines'!$P$3:$P$805,$A257&amp;"|"&amp;G$6&amp;"|2")/SUMIFS('Quote Lines'!$L$3:$L$805,'Quote Lines'!$P$3:$P$805,$A257&amp;"|"&amp;G$6&amp;"|2"),0))</f>
        <v>138.15</v>
      </c>
      <c r="H257" s="76" t="n">
        <f aca="false">IF(COUNTIF('Quote Lines'!$P$3:$P$805,$A257&amp;"|"&amp;H$6&amp;"|1")=0,"—",SUMIFS('Quote Lines'!$O$3:$O$805,'Quote Lines'!$P$3:$P$805,$A257&amp;"|"&amp;H$6&amp;"|1")/SUMIFS('Quote Lines'!$L$3:$L$805,'Quote Lines'!$P$3:$P$805,$A257&amp;"|"&amp;H$6&amp;"|1")+IFERROR(SUMIFS('Quote Lines'!$O$3:$O$805,'Quote Lines'!$P$3:$P$805,$A257&amp;"|"&amp;H$6&amp;"|2")/SUMIFS('Quote Lines'!$L$3:$L$805,'Quote Lines'!$P$3:$P$805,$A257&amp;"|"&amp;H$6&amp;"|2"),0))</f>
        <v>153.53</v>
      </c>
      <c r="I257" s="76" t="n">
        <f aca="false">IF(COUNTIF('Quote Lines'!$P$3:$P$805,$A257&amp;"|"&amp;I$6&amp;"|1")=0,"—",SUMIFS('Quote Lines'!$O$3:$O$805,'Quote Lines'!$P$3:$P$805,$A257&amp;"|"&amp;I$6&amp;"|1")/SUMIFS('Quote Lines'!$L$3:$L$805,'Quote Lines'!$P$3:$P$805,$A257&amp;"|"&amp;I$6&amp;"|1"))</f>
        <v>64.28</v>
      </c>
      <c r="J257" s="85" t="s">
        <v>138</v>
      </c>
      <c r="K257" s="14" t="n">
        <f aca="false">IF(ISNUMBER(G257),G257*$F257,"—")</f>
        <v>138.15</v>
      </c>
      <c r="L257" s="14" t="n">
        <f aca="false">IF(ISNUMBER(H257),H257*$F257,"—")</f>
        <v>153.53</v>
      </c>
      <c r="M257" s="14" t="n">
        <f aca="false">IF(ISNUMBER(I257),I257*$F257,"—")</f>
        <v>64.28</v>
      </c>
      <c r="N257" s="14" t="str">
        <f aca="false">IF(ISNUMBER(J257),J257*$F257,"—")</f>
        <v>—</v>
      </c>
      <c r="O257" s="77" t="n">
        <f aca="false">IF($S257=0,"—",MIN(G257:J257))</f>
        <v>64.28</v>
      </c>
      <c r="P257" s="42" t="str">
        <f aca="false">IF($S257=0,"—",IF(COUNTIF(G257:J257,O257)&gt;1,"Tie",INDEX($G$6:$J$6,MATCH(O257,G257:J257,0))))</f>
        <v>Mountainland</v>
      </c>
      <c r="Q257" s="48" t="n">
        <f aca="false">IF($S257&gt;=2,MAX(G257:J257)/MIN(G257:J257)-1,"—")</f>
        <v>1.38845675171126</v>
      </c>
      <c r="R257" s="78" t="n">
        <f aca="false">IF($S257&gt;=2,(MAX(G257:J257)-MIN(G257:J257))*$F257,"—")</f>
        <v>89.25</v>
      </c>
      <c r="S257" s="18" t="n">
        <f aca="false">COUNT(G257:J257)</f>
        <v>3</v>
      </c>
      <c r="T257" s="79" t="str">
        <f aca="false">IF($S257&lt;=1,IF($S257=1,"Single quote","—"),"Alt spec – verify")</f>
        <v>Alt spec – verify</v>
      </c>
      <c r="U257" s="79" t="str">
        <f aca="false">IF(COUNT(W257:Z257)&lt;2,"",IF(MAX(W257:Z257)=MIN(W257:Z257),"OK","Qty differs"))</f>
        <v>OK</v>
      </c>
      <c r="V257" s="80"/>
      <c r="W257" s="81" t="n">
        <f aca="false">IF(COUNTIFS('Quote Lines'!$P$3:$P$805,$A257&amp;"|"&amp;G$6&amp;"|1",'Quote Lines'!$M$3:$M$805,"Y")=0,"",SUMIFS('Quote Lines'!$L$3:$L$805,'Quote Lines'!$P$3:$P$805,$A257&amp;"|"&amp;G$6&amp;"|1",'Quote Lines'!$M$3:$M$805,"Y"))</f>
        <v>1</v>
      </c>
      <c r="X257" s="81" t="n">
        <f aca="false">IF(COUNTIFS('Quote Lines'!$P$3:$P$805,$A257&amp;"|"&amp;H$6&amp;"|1",'Quote Lines'!$M$3:$M$805,"Y")=0,"",SUMIFS('Quote Lines'!$L$3:$L$805,'Quote Lines'!$P$3:$P$805,$A257&amp;"|"&amp;H$6&amp;"|1",'Quote Lines'!$M$3:$M$805,"Y"))</f>
        <v>1</v>
      </c>
      <c r="Y257" s="81" t="n">
        <f aca="false">IF(COUNTIFS('Quote Lines'!$P$3:$P$805,$A257&amp;"|"&amp;I$6&amp;"|1",'Quote Lines'!$M$3:$M$805,"Y")=0,"",SUMIFS('Quote Lines'!$L$3:$L$805,'Quote Lines'!$P$3:$P$805,$A257&amp;"|"&amp;I$6&amp;"|1",'Quote Lines'!$M$3:$M$805,"Y"))</f>
        <v>1</v>
      </c>
      <c r="Z257" s="81"/>
      <c r="AA257" s="82" t="n">
        <f aca="false">IF(ISNUMBER(G257),1+SUMPRODUCT(ISNUMBER($G257:$J257)*($G257:$J257&lt;G257)),"")</f>
        <v>2</v>
      </c>
      <c r="AB257" s="82" t="n">
        <f aca="false">IF(ISNUMBER(H257),1+SUMPRODUCT(ISNUMBER($G257:$J257)*($G257:$J257&lt;H257)),"")</f>
        <v>3</v>
      </c>
      <c r="AC257" s="82" t="n">
        <f aca="false">IF(ISNUMBER(I257),1+SUMPRODUCT(ISNUMBER($G257:$J257)*($G257:$J257&lt;I257)),"")</f>
        <v>1</v>
      </c>
      <c r="AD257" s="82" t="str">
        <f aca="false">IF(ISNUMBER(J257),1+SUMPRODUCT(ISNUMBER($G257:$J257)*($G257:$J257&lt;J257)),"")</f>
        <v/>
      </c>
      <c r="AE257" s="82" t="n">
        <f aca="false">IF(NOT(ISNUMBER(G257)),0,IF($S257&lt;2,5,IF(AA257=1,1,IF(G257=MAX($G257:$J257),4,IF(AA257=2,2,3)))))</f>
        <v>2</v>
      </c>
      <c r="AF257" s="82" t="n">
        <f aca="false">IF(NOT(ISNUMBER(H257)),0,IF($S257&lt;2,5,IF(AB257=1,1,IF(H257=MAX($G257:$J257),4,IF(AB257=2,2,3)))))</f>
        <v>4</v>
      </c>
      <c r="AG257" s="82" t="n">
        <f aca="false">IF(NOT(ISNUMBER(I257)),0,IF($S257&lt;2,5,IF(AC257=1,1,IF(I257=MAX($G257:$J257),4,IF(AC257=2,2,3)))))</f>
        <v>1</v>
      </c>
      <c r="AH257" s="82" t="n">
        <f aca="false">IF(NOT(ISNUMBER(J257)),0,IF($S257&lt;2,5,IF(AD257=1,1,IF(J257=MAX($G257:$J257),4,IF(AD257=2,2,3)))))</f>
        <v>0</v>
      </c>
      <c r="AI257" s="83" t="n">
        <f aca="false">IF($S257&gt;=2,IF(ISNUMBER(G257),G257*$F257,MIN($G257:$J257)*$F257),0)</f>
        <v>138.15</v>
      </c>
      <c r="AJ257" s="83" t="n">
        <f aca="false">IF($S257&gt;=2,IF(ISNUMBER(H257),H257*$F257,MIN($G257:$J257)*$F257),0)</f>
        <v>153.53</v>
      </c>
      <c r="AK257" s="83" t="n">
        <f aca="false">IF($S257&gt;=2,IF(ISNUMBER(I257),I257*$F257,MIN($G257:$J257)*$F257),0)</f>
        <v>64.28</v>
      </c>
      <c r="AL257" s="83" t="n">
        <f aca="false">IF($S257&gt;=2,IF(ISNUMBER(J257),J257*$F257,MIN($G257:$J257)*$F257),0)</f>
        <v>64.28</v>
      </c>
      <c r="AM257" s="84" t="n">
        <f aca="false">IF($S257&gt;=2,$R257+ROW()/1000000,"")</f>
        <v>89.250257</v>
      </c>
      <c r="AN257" s="83" t="n">
        <f aca="false">IF($S257&gt;=2,MAX(G257:J257),"")</f>
        <v>153.53</v>
      </c>
      <c r="AO257" s="82" t="str">
        <f aca="false">IF($S257&gt;=2,INDEX($G$6:$J$6,MATCH(MAX(G257:J257),G257:J257,0)),"")</f>
        <v>HD Fowler</v>
      </c>
      <c r="AP257" s="83" t="n">
        <f aca="false">IF($S257&gt;=2,MIN(G257:J257)*$F257,0)</f>
        <v>64.28</v>
      </c>
      <c r="AQ257" s="82" t="str">
        <f aca="false">IF($S257&gt;=2,INDEX($G$6:$J$6,MATCH(MIN(G257:J257),G257:J257,0)),"")</f>
        <v>Mountainland</v>
      </c>
    </row>
    <row r="258" customFormat="false" ht="15" hidden="false" customHeight="true" outlineLevel="0" collapsed="false">
      <c r="A258" s="70" t="s">
        <v>661</v>
      </c>
      <c r="B258" s="71" t="s">
        <v>659</v>
      </c>
      <c r="C258" s="72" t="s">
        <v>308</v>
      </c>
      <c r="D258" s="73" t="s">
        <v>313</v>
      </c>
      <c r="E258" s="74" t="s">
        <v>310</v>
      </c>
      <c r="F258" s="75" t="n">
        <v>1</v>
      </c>
      <c r="G258" s="85" t="s">
        <v>138</v>
      </c>
      <c r="H258" s="85" t="s">
        <v>138</v>
      </c>
      <c r="I258" s="85" t="s">
        <v>138</v>
      </c>
      <c r="J258" s="76" t="n">
        <f aca="false">IF(COUNTIF('Quote Lines'!$P$3:$P$805,$A258&amp;"|"&amp;J$6&amp;"|1")=0,"—",SUMIFS('Quote Lines'!$O$3:$O$805,'Quote Lines'!$P$3:$P$805,$A258&amp;"|"&amp;J$6&amp;"|1")/SUMIFS('Quote Lines'!$L$3:$L$805,'Quote Lines'!$P$3:$P$805,$A258&amp;"|"&amp;J$6&amp;"|1"))</f>
        <v>58.13</v>
      </c>
      <c r="K258" s="14" t="str">
        <f aca="false">IF(ISNUMBER(G258),G258*$F258,"—")</f>
        <v>—</v>
      </c>
      <c r="L258" s="14" t="str">
        <f aca="false">IF(ISNUMBER(H258),H258*$F258,"—")</f>
        <v>—</v>
      </c>
      <c r="M258" s="14" t="str">
        <f aca="false">IF(ISNUMBER(I258),I258*$F258,"—")</f>
        <v>—</v>
      </c>
      <c r="N258" s="14" t="n">
        <f aca="false">IF(ISNUMBER(J258),J258*$F258,"—")</f>
        <v>58.13</v>
      </c>
      <c r="O258" s="77" t="n">
        <f aca="false">IF($S258=0,"—",MIN(G258:J258))</f>
        <v>58.13</v>
      </c>
      <c r="P258" s="42" t="str">
        <f aca="false">IF($S258=0,"—",IF(COUNTIF(G258:J258,O258)&gt;1,"Tie",INDEX($G$6:$J$6,MATCH(O258,G258:J258,0))))</f>
        <v>Scholzen</v>
      </c>
      <c r="Q258" s="48" t="str">
        <f aca="false">IF($S258&gt;=2,MAX(G258:J258)/MIN(G258:J258)-1,"—")</f>
        <v>—</v>
      </c>
      <c r="R258" s="78" t="str">
        <f aca="false">IF($S258&gt;=2,(MAX(G258:J258)-MIN(G258:J258))*$F258,"—")</f>
        <v>—</v>
      </c>
      <c r="S258" s="18" t="n">
        <f aca="false">COUNT(G258:J258)</f>
        <v>1</v>
      </c>
      <c r="T258" s="79" t="str">
        <f aca="false">IF($S258&lt;=1,IF($S258=1,"Single quote","—"),"Like-for-like")</f>
        <v>Single quote</v>
      </c>
      <c r="U258" s="79" t="str">
        <f aca="false">IF(COUNT(W258:Z258)&lt;2,"",IF(MAX(W258:Z258)=MIN(W258:Z258),"OK","Qty differs"))</f>
        <v/>
      </c>
      <c r="V258" s="80"/>
      <c r="W258" s="81"/>
      <c r="X258" s="81"/>
      <c r="Y258" s="81"/>
      <c r="Z258" s="81" t="n">
        <f aca="false">IF(COUNTIFS('Quote Lines'!$P$3:$P$805,$A258&amp;"|"&amp;J$6&amp;"|1",'Quote Lines'!$M$3:$M$805,"Y")=0,"",SUMIFS('Quote Lines'!$L$3:$L$805,'Quote Lines'!$P$3:$P$805,$A258&amp;"|"&amp;J$6&amp;"|1",'Quote Lines'!$M$3:$M$805,"Y"))</f>
        <v>1</v>
      </c>
      <c r="AA258" s="82" t="str">
        <f aca="false">IF(ISNUMBER(G258),1+SUMPRODUCT(ISNUMBER($G258:$J258)*($G258:$J258&lt;G258)),"")</f>
        <v/>
      </c>
      <c r="AB258" s="82" t="str">
        <f aca="false">IF(ISNUMBER(H258),1+SUMPRODUCT(ISNUMBER($G258:$J258)*($G258:$J258&lt;H258)),"")</f>
        <v/>
      </c>
      <c r="AC258" s="82" t="str">
        <f aca="false">IF(ISNUMBER(I258),1+SUMPRODUCT(ISNUMBER($G258:$J258)*($G258:$J258&lt;I258)),"")</f>
        <v/>
      </c>
      <c r="AD258" s="82" t="n">
        <f aca="false">IF(ISNUMBER(J258),1+SUMPRODUCT(ISNUMBER($G258:$J258)*($G258:$J258&lt;J258)),"")</f>
        <v>1</v>
      </c>
      <c r="AE258" s="82" t="n">
        <f aca="false">IF(NOT(ISNUMBER(G258)),0,IF($S258&lt;2,5,IF(AA258=1,1,IF(G258=MAX($G258:$J258),4,IF(AA258=2,2,3)))))</f>
        <v>0</v>
      </c>
      <c r="AF258" s="82" t="n">
        <f aca="false">IF(NOT(ISNUMBER(H258)),0,IF($S258&lt;2,5,IF(AB258=1,1,IF(H258=MAX($G258:$J258),4,IF(AB258=2,2,3)))))</f>
        <v>0</v>
      </c>
      <c r="AG258" s="82" t="n">
        <f aca="false">IF(NOT(ISNUMBER(I258)),0,IF($S258&lt;2,5,IF(AC258=1,1,IF(I258=MAX($G258:$J258),4,IF(AC258=2,2,3)))))</f>
        <v>0</v>
      </c>
      <c r="AH258" s="82" t="n">
        <f aca="false">IF(NOT(ISNUMBER(J258)),0,IF($S258&lt;2,5,IF(AD258=1,1,IF(J258=MAX($G258:$J258),4,IF(AD258=2,2,3)))))</f>
        <v>5</v>
      </c>
      <c r="AI258" s="83" t="n">
        <f aca="false">IF($S258&gt;=2,IF(ISNUMBER(G258),G258*$F258,MIN($G258:$J258)*$F258),0)</f>
        <v>0</v>
      </c>
      <c r="AJ258" s="83" t="n">
        <f aca="false">IF($S258&gt;=2,IF(ISNUMBER(H258),H258*$F258,MIN($G258:$J258)*$F258),0)</f>
        <v>0</v>
      </c>
      <c r="AK258" s="83" t="n">
        <f aca="false">IF($S258&gt;=2,IF(ISNUMBER(I258),I258*$F258,MIN($G258:$J258)*$F258),0)</f>
        <v>0</v>
      </c>
      <c r="AL258" s="83" t="n">
        <f aca="false">IF($S258&gt;=2,IF(ISNUMBER(J258),J258*$F258,MIN($G258:$J258)*$F258),0)</f>
        <v>0</v>
      </c>
      <c r="AM258" s="84" t="str">
        <f aca="false">IF($S258&gt;=2,$R258+ROW()/1000000,"")</f>
        <v/>
      </c>
      <c r="AN258" s="83" t="str">
        <f aca="false">IF($S258&gt;=2,MAX(G258:J258),"")</f>
        <v/>
      </c>
      <c r="AO258" s="82" t="str">
        <f aca="false">IF($S258&gt;=2,INDEX($G$6:$J$6,MATCH(MAX(G258:J258),G258:J258,0)),"")</f>
        <v/>
      </c>
      <c r="AP258" s="83" t="n">
        <f aca="false">IF($S258&gt;=2,MIN(G258:J258)*$F258,0)</f>
        <v>0</v>
      </c>
      <c r="AQ258" s="82" t="str">
        <f aca="false">IF($S258&gt;=2,INDEX($G$6:$J$6,MATCH(MIN(G258:J258),G258:J258,0)),"")</f>
        <v/>
      </c>
    </row>
    <row r="259" customFormat="false" ht="19.5" hidden="false" customHeight="true" outlineLevel="0" collapsed="false">
      <c r="A259" s="69"/>
      <c r="B259" s="9" t="s">
        <v>662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</row>
    <row r="260" customFormat="false" ht="15" hidden="false" customHeight="true" outlineLevel="0" collapsed="false">
      <c r="A260" s="70" t="s">
        <v>663</v>
      </c>
      <c r="B260" s="71" t="s">
        <v>664</v>
      </c>
      <c r="C260" s="72" t="s">
        <v>131</v>
      </c>
      <c r="D260" s="73" t="s">
        <v>665</v>
      </c>
      <c r="E260" s="74" t="s">
        <v>133</v>
      </c>
      <c r="F260" s="75" t="n">
        <v>1</v>
      </c>
      <c r="G260" s="76" t="n">
        <f aca="false">IF(COUNTIF('Quote Lines'!$P$3:$P$805,$A260&amp;"|"&amp;G$6&amp;"|1")=0,"—",SUMIFS('Quote Lines'!$O$3:$O$805,'Quote Lines'!$P$3:$P$805,$A260&amp;"|"&amp;G$6&amp;"|1")/SUMIFS('Quote Lines'!$L$3:$L$805,'Quote Lines'!$P$3:$P$805,$A260&amp;"|"&amp;G$6&amp;"|1"))</f>
        <v>2391.66</v>
      </c>
      <c r="H260" s="76" t="n">
        <f aca="false">IF(COUNTIF('Quote Lines'!$P$3:$P$805,$A260&amp;"|"&amp;H$6&amp;"|1")=0,"—",SUMIFS('Quote Lines'!$O$3:$O$805,'Quote Lines'!$P$3:$P$805,$A260&amp;"|"&amp;H$6&amp;"|1")/SUMIFS('Quote Lines'!$L$3:$L$805,'Quote Lines'!$P$3:$P$805,$A260&amp;"|"&amp;H$6&amp;"|1"))</f>
        <v>2539.17</v>
      </c>
      <c r="I260" s="76" t="n">
        <f aca="false">IF(COUNTIF('Quote Lines'!$P$3:$P$805,$A260&amp;"|"&amp;I$6&amp;"|1")=0,"—",SUMIFS('Quote Lines'!$O$3:$O$805,'Quote Lines'!$P$3:$P$805,$A260&amp;"|"&amp;I$6&amp;"|1")/SUMIFS('Quote Lines'!$L$3:$L$805,'Quote Lines'!$P$3:$P$805,$A260&amp;"|"&amp;I$6&amp;"|1"))</f>
        <v>2713.17</v>
      </c>
      <c r="J260" s="76" t="n">
        <f aca="false">IF(COUNTIF('Quote Lines'!$P$3:$P$805,$A260&amp;"|"&amp;J$6&amp;"|1")=0,"—",SUMIFS('Quote Lines'!$O$3:$O$805,'Quote Lines'!$P$3:$P$805,$A260&amp;"|"&amp;J$6&amp;"|1")/SUMIFS('Quote Lines'!$L$3:$L$805,'Quote Lines'!$P$3:$P$805,$A260&amp;"|"&amp;J$6&amp;"|1"))</f>
        <v>2617.41</v>
      </c>
      <c r="K260" s="14" t="n">
        <f aca="false">IF(ISNUMBER(G260),G260*$F260,"—")</f>
        <v>2391.66</v>
      </c>
      <c r="L260" s="14" t="n">
        <f aca="false">IF(ISNUMBER(H260),H260*$F260,"—")</f>
        <v>2539.17</v>
      </c>
      <c r="M260" s="14" t="n">
        <f aca="false">IF(ISNUMBER(I260),I260*$F260,"—")</f>
        <v>2713.17</v>
      </c>
      <c r="N260" s="14" t="n">
        <f aca="false">IF(ISNUMBER(J260),J260*$F260,"—")</f>
        <v>2617.41</v>
      </c>
      <c r="O260" s="77" t="n">
        <f aca="false">IF($S260=0,"—",MIN(G260:J260))</f>
        <v>2391.66</v>
      </c>
      <c r="P260" s="42" t="str">
        <f aca="false">IF($S260=0,"—",IF(COUNTIF(G260:J260,O260)&gt;1,"Tie",INDEX($G$6:$J$6,MATCH(O260,G260:J260,0))))</f>
        <v>Ferguson</v>
      </c>
      <c r="Q260" s="48" t="n">
        <f aca="false">IF($S260&gt;=2,MAX(G260:J260)/MIN(G260:J260)-1,"—")</f>
        <v>0.134429643009458</v>
      </c>
      <c r="R260" s="78" t="n">
        <f aca="false">IF($S260&gt;=2,(MAX(G260:J260)-MIN(G260:J260))*$F260,"—")</f>
        <v>321.51</v>
      </c>
      <c r="S260" s="18" t="n">
        <f aca="false">COUNT(G260:J260)</f>
        <v>4</v>
      </c>
      <c r="T260" s="79" t="str">
        <f aca="false">IF($S260&lt;=1,IF($S260=1,"Single quote","—"),"Like-for-like")</f>
        <v>Like-for-like</v>
      </c>
      <c r="U260" s="79" t="str">
        <f aca="false">IF(COUNT(W260:Z260)&lt;2,"",IF(MAX(W260:Z260)=MIN(W260:Z260),"OK","Qty differs"))</f>
        <v>OK</v>
      </c>
      <c r="V260" s="80"/>
      <c r="W260" s="81" t="n">
        <f aca="false">IF(COUNTIFS('Quote Lines'!$P$3:$P$805,$A260&amp;"|"&amp;G$6&amp;"|1",'Quote Lines'!$M$3:$M$805,"Y")=0,"",SUMIFS('Quote Lines'!$L$3:$L$805,'Quote Lines'!$P$3:$P$805,$A260&amp;"|"&amp;G$6&amp;"|1",'Quote Lines'!$M$3:$M$805,"Y"))</f>
        <v>1</v>
      </c>
      <c r="X260" s="81" t="n">
        <f aca="false">IF(COUNTIFS('Quote Lines'!$P$3:$P$805,$A260&amp;"|"&amp;H$6&amp;"|1",'Quote Lines'!$M$3:$M$805,"Y")=0,"",SUMIFS('Quote Lines'!$L$3:$L$805,'Quote Lines'!$P$3:$P$805,$A260&amp;"|"&amp;H$6&amp;"|1",'Quote Lines'!$M$3:$M$805,"Y"))</f>
        <v>1</v>
      </c>
      <c r="Y260" s="81" t="n">
        <f aca="false">IF(COUNTIFS('Quote Lines'!$P$3:$P$805,$A260&amp;"|"&amp;I$6&amp;"|1",'Quote Lines'!$M$3:$M$805,"Y")=0,"",SUMIFS('Quote Lines'!$L$3:$L$805,'Quote Lines'!$P$3:$P$805,$A260&amp;"|"&amp;I$6&amp;"|1",'Quote Lines'!$M$3:$M$805,"Y"))</f>
        <v>1</v>
      </c>
      <c r="Z260" s="81" t="n">
        <f aca="false">IF(COUNTIFS('Quote Lines'!$P$3:$P$805,$A260&amp;"|"&amp;J$6&amp;"|1",'Quote Lines'!$M$3:$M$805,"Y")=0,"",SUMIFS('Quote Lines'!$L$3:$L$805,'Quote Lines'!$P$3:$P$805,$A260&amp;"|"&amp;J$6&amp;"|1",'Quote Lines'!$M$3:$M$805,"Y"))</f>
        <v>1</v>
      </c>
      <c r="AA260" s="82" t="n">
        <f aca="false">IF(ISNUMBER(G260),1+SUMPRODUCT(ISNUMBER($G260:$J260)*($G260:$J260&lt;G260)),"")</f>
        <v>1</v>
      </c>
      <c r="AB260" s="82" t="n">
        <f aca="false">IF(ISNUMBER(H260),1+SUMPRODUCT(ISNUMBER($G260:$J260)*($G260:$J260&lt;H260)),"")</f>
        <v>2</v>
      </c>
      <c r="AC260" s="82" t="n">
        <f aca="false">IF(ISNUMBER(I260),1+SUMPRODUCT(ISNUMBER($G260:$J260)*($G260:$J260&lt;I260)),"")</f>
        <v>4</v>
      </c>
      <c r="AD260" s="82" t="n">
        <f aca="false">IF(ISNUMBER(J260),1+SUMPRODUCT(ISNUMBER($G260:$J260)*($G260:$J260&lt;J260)),"")</f>
        <v>3</v>
      </c>
      <c r="AE260" s="82" t="n">
        <f aca="false">IF(NOT(ISNUMBER(G260)),0,IF($S260&lt;2,5,IF(AA260=1,1,IF(G260=MAX($G260:$J260),4,IF(AA260=2,2,3)))))</f>
        <v>1</v>
      </c>
      <c r="AF260" s="82" t="n">
        <f aca="false">IF(NOT(ISNUMBER(H260)),0,IF($S260&lt;2,5,IF(AB260=1,1,IF(H260=MAX($G260:$J260),4,IF(AB260=2,2,3)))))</f>
        <v>2</v>
      </c>
      <c r="AG260" s="82" t="n">
        <f aca="false">IF(NOT(ISNUMBER(I260)),0,IF($S260&lt;2,5,IF(AC260=1,1,IF(I260=MAX($G260:$J260),4,IF(AC260=2,2,3)))))</f>
        <v>4</v>
      </c>
      <c r="AH260" s="82" t="n">
        <f aca="false">IF(NOT(ISNUMBER(J260)),0,IF($S260&lt;2,5,IF(AD260=1,1,IF(J260=MAX($G260:$J260),4,IF(AD260=2,2,3)))))</f>
        <v>3</v>
      </c>
      <c r="AI260" s="83" t="n">
        <f aca="false">IF($S260&gt;=2,IF(ISNUMBER(G260),G260*$F260,MIN($G260:$J260)*$F260),0)</f>
        <v>2391.66</v>
      </c>
      <c r="AJ260" s="83" t="n">
        <f aca="false">IF($S260&gt;=2,IF(ISNUMBER(H260),H260*$F260,MIN($G260:$J260)*$F260),0)</f>
        <v>2539.17</v>
      </c>
      <c r="AK260" s="83" t="n">
        <f aca="false">IF($S260&gt;=2,IF(ISNUMBER(I260),I260*$F260,MIN($G260:$J260)*$F260),0)</f>
        <v>2713.17</v>
      </c>
      <c r="AL260" s="83" t="n">
        <f aca="false">IF($S260&gt;=2,IF(ISNUMBER(J260),J260*$F260,MIN($G260:$J260)*$F260),0)</f>
        <v>2617.41</v>
      </c>
      <c r="AM260" s="84" t="n">
        <f aca="false">IF($S260&gt;=2,$R260+ROW()/1000000,"")</f>
        <v>321.51026</v>
      </c>
      <c r="AN260" s="83" t="n">
        <f aca="false">IF($S260&gt;=2,MAX(G260:J260),"")</f>
        <v>2713.17</v>
      </c>
      <c r="AO260" s="82" t="str">
        <f aca="false">IF($S260&gt;=2,INDEX($G$6:$J$6,MATCH(MAX(G260:J260),G260:J260,0)),"")</f>
        <v>Mountainland</v>
      </c>
      <c r="AP260" s="83" t="n">
        <f aca="false">IF($S260&gt;=2,MIN(G260:J260)*$F260,0)</f>
        <v>2391.66</v>
      </c>
      <c r="AQ260" s="82" t="str">
        <f aca="false">IF($S260&gt;=2,INDEX($G$6:$J$6,MATCH(MIN(G260:J260),G260:J260,0)),"")</f>
        <v>Ferguson</v>
      </c>
    </row>
    <row r="261" customFormat="false" ht="15" hidden="false" customHeight="true" outlineLevel="0" collapsed="false">
      <c r="A261" s="70" t="s">
        <v>666</v>
      </c>
      <c r="B261" s="71" t="s">
        <v>664</v>
      </c>
      <c r="C261" s="72" t="s">
        <v>308</v>
      </c>
      <c r="D261" s="73" t="s">
        <v>626</v>
      </c>
      <c r="E261" s="74" t="s">
        <v>310</v>
      </c>
      <c r="F261" s="75" t="n">
        <v>1</v>
      </c>
      <c r="G261" s="76" t="n">
        <f aca="false">IF(COUNTIF('Quote Lines'!$P$3:$P$805,$A261&amp;"|"&amp;G$6&amp;"|1")=0,"—",SUMIFS('Quote Lines'!$O$3:$O$805,'Quote Lines'!$P$3:$P$805,$A261&amp;"|"&amp;G$6&amp;"|1")/SUMIFS('Quote Lines'!$L$3:$L$805,'Quote Lines'!$P$3:$P$805,$A261&amp;"|"&amp;G$6&amp;"|1")+IFERROR(SUMIFS('Quote Lines'!$O$3:$O$805,'Quote Lines'!$P$3:$P$805,$A261&amp;"|"&amp;G$6&amp;"|2")/SUMIFS('Quote Lines'!$L$3:$L$805,'Quote Lines'!$P$3:$P$805,$A261&amp;"|"&amp;G$6&amp;"|2"),0))</f>
        <v>297.85</v>
      </c>
      <c r="H261" s="76" t="n">
        <f aca="false">IF(COUNTIF('Quote Lines'!$P$3:$P$805,$A261&amp;"|"&amp;H$6&amp;"|1")=0,"—",SUMIFS('Quote Lines'!$O$3:$O$805,'Quote Lines'!$P$3:$P$805,$A261&amp;"|"&amp;H$6&amp;"|1")/SUMIFS('Quote Lines'!$L$3:$L$805,'Quote Lines'!$P$3:$P$805,$A261&amp;"|"&amp;H$6&amp;"|1")+IFERROR(SUMIFS('Quote Lines'!$O$3:$O$805,'Quote Lines'!$P$3:$P$805,$A261&amp;"|"&amp;H$6&amp;"|2")/SUMIFS('Quote Lines'!$L$3:$L$805,'Quote Lines'!$P$3:$P$805,$A261&amp;"|"&amp;H$6&amp;"|2"),0))</f>
        <v>371.38</v>
      </c>
      <c r="I261" s="76" t="n">
        <f aca="false">IF(COUNTIF('Quote Lines'!$P$3:$P$805,$A261&amp;"|"&amp;I$6&amp;"|1")=0,"—",SUMIFS('Quote Lines'!$O$3:$O$805,'Quote Lines'!$P$3:$P$805,$A261&amp;"|"&amp;I$6&amp;"|1")/SUMIFS('Quote Lines'!$L$3:$L$805,'Quote Lines'!$P$3:$P$805,$A261&amp;"|"&amp;I$6&amp;"|1"))</f>
        <v>151.49</v>
      </c>
      <c r="J261" s="85" t="s">
        <v>138</v>
      </c>
      <c r="K261" s="14" t="n">
        <f aca="false">IF(ISNUMBER(G261),G261*$F261,"—")</f>
        <v>297.85</v>
      </c>
      <c r="L261" s="14" t="n">
        <f aca="false">IF(ISNUMBER(H261),H261*$F261,"—")</f>
        <v>371.38</v>
      </c>
      <c r="M261" s="14" t="n">
        <f aca="false">IF(ISNUMBER(I261),I261*$F261,"—")</f>
        <v>151.49</v>
      </c>
      <c r="N261" s="14" t="str">
        <f aca="false">IF(ISNUMBER(J261),J261*$F261,"—")</f>
        <v>—</v>
      </c>
      <c r="O261" s="77" t="n">
        <f aca="false">IF($S261=0,"—",MIN(G261:J261))</f>
        <v>151.49</v>
      </c>
      <c r="P261" s="42" t="str">
        <f aca="false">IF($S261=0,"—",IF(COUNTIF(G261:J261,O261)&gt;1,"Tie",INDEX($G$6:$J$6,MATCH(O261,G261:J261,0))))</f>
        <v>Mountainland</v>
      </c>
      <c r="Q261" s="48" t="n">
        <f aca="false">IF($S261&gt;=2,MAX(G261:J261)/MIN(G261:J261)-1,"—")</f>
        <v>1.45151495148195</v>
      </c>
      <c r="R261" s="78" t="n">
        <f aca="false">IF($S261&gt;=2,(MAX(G261:J261)-MIN(G261:J261))*$F261,"—")</f>
        <v>219.89</v>
      </c>
      <c r="S261" s="18" t="n">
        <f aca="false">COUNT(G261:J261)</f>
        <v>3</v>
      </c>
      <c r="T261" s="79" t="str">
        <f aca="false">IF($S261&lt;=1,IF($S261=1,"Single quote","—"),"Alt spec – verify")</f>
        <v>Alt spec – verify</v>
      </c>
      <c r="U261" s="79" t="str">
        <f aca="false">IF(COUNT(W261:Z261)&lt;2,"",IF(MAX(W261:Z261)=MIN(W261:Z261),"OK","Qty differs"))</f>
        <v>OK</v>
      </c>
      <c r="V261" s="80" t="s">
        <v>667</v>
      </c>
      <c r="W261" s="81" t="n">
        <f aca="false">IF(COUNTIFS('Quote Lines'!$P$3:$P$805,$A261&amp;"|"&amp;G$6&amp;"|1",'Quote Lines'!$M$3:$M$805,"Y")=0,"",SUMIFS('Quote Lines'!$L$3:$L$805,'Quote Lines'!$P$3:$P$805,$A261&amp;"|"&amp;G$6&amp;"|1",'Quote Lines'!$M$3:$M$805,"Y"))</f>
        <v>1</v>
      </c>
      <c r="X261" s="81" t="n">
        <f aca="false">IF(COUNTIFS('Quote Lines'!$P$3:$P$805,$A261&amp;"|"&amp;H$6&amp;"|1",'Quote Lines'!$M$3:$M$805,"Y")=0,"",SUMIFS('Quote Lines'!$L$3:$L$805,'Quote Lines'!$P$3:$P$805,$A261&amp;"|"&amp;H$6&amp;"|1",'Quote Lines'!$M$3:$M$805,"Y"))</f>
        <v>1</v>
      </c>
      <c r="Y261" s="81" t="n">
        <f aca="false">IF(COUNTIFS('Quote Lines'!$P$3:$P$805,$A261&amp;"|"&amp;I$6&amp;"|1",'Quote Lines'!$M$3:$M$805,"Y")=0,"",SUMIFS('Quote Lines'!$L$3:$L$805,'Quote Lines'!$P$3:$P$805,$A261&amp;"|"&amp;I$6&amp;"|1",'Quote Lines'!$M$3:$M$805,"Y"))</f>
        <v>1</v>
      </c>
      <c r="Z261" s="81"/>
      <c r="AA261" s="82" t="n">
        <f aca="false">IF(ISNUMBER(G261),1+SUMPRODUCT(ISNUMBER($G261:$J261)*($G261:$J261&lt;G261)),"")</f>
        <v>2</v>
      </c>
      <c r="AB261" s="82" t="n">
        <f aca="false">IF(ISNUMBER(H261),1+SUMPRODUCT(ISNUMBER($G261:$J261)*($G261:$J261&lt;H261)),"")</f>
        <v>3</v>
      </c>
      <c r="AC261" s="82" t="n">
        <f aca="false">IF(ISNUMBER(I261),1+SUMPRODUCT(ISNUMBER($G261:$J261)*($G261:$J261&lt;I261)),"")</f>
        <v>1</v>
      </c>
      <c r="AD261" s="82" t="str">
        <f aca="false">IF(ISNUMBER(J261),1+SUMPRODUCT(ISNUMBER($G261:$J261)*($G261:$J261&lt;J261)),"")</f>
        <v/>
      </c>
      <c r="AE261" s="82" t="n">
        <f aca="false">IF(NOT(ISNUMBER(G261)),0,IF($S261&lt;2,5,IF(AA261=1,1,IF(G261=MAX($G261:$J261),4,IF(AA261=2,2,3)))))</f>
        <v>2</v>
      </c>
      <c r="AF261" s="82" t="n">
        <f aca="false">IF(NOT(ISNUMBER(H261)),0,IF($S261&lt;2,5,IF(AB261=1,1,IF(H261=MAX($G261:$J261),4,IF(AB261=2,2,3)))))</f>
        <v>4</v>
      </c>
      <c r="AG261" s="82" t="n">
        <f aca="false">IF(NOT(ISNUMBER(I261)),0,IF($S261&lt;2,5,IF(AC261=1,1,IF(I261=MAX($G261:$J261),4,IF(AC261=2,2,3)))))</f>
        <v>1</v>
      </c>
      <c r="AH261" s="82" t="n">
        <f aca="false">IF(NOT(ISNUMBER(J261)),0,IF($S261&lt;2,5,IF(AD261=1,1,IF(J261=MAX($G261:$J261),4,IF(AD261=2,2,3)))))</f>
        <v>0</v>
      </c>
      <c r="AI261" s="83" t="n">
        <f aca="false">IF($S261&gt;=2,IF(ISNUMBER(G261),G261*$F261,MIN($G261:$J261)*$F261),0)</f>
        <v>297.85</v>
      </c>
      <c r="AJ261" s="83" t="n">
        <f aca="false">IF($S261&gt;=2,IF(ISNUMBER(H261),H261*$F261,MIN($G261:$J261)*$F261),0)</f>
        <v>371.38</v>
      </c>
      <c r="AK261" s="83" t="n">
        <f aca="false">IF($S261&gt;=2,IF(ISNUMBER(I261),I261*$F261,MIN($G261:$J261)*$F261),0)</f>
        <v>151.49</v>
      </c>
      <c r="AL261" s="83" t="n">
        <f aca="false">IF($S261&gt;=2,IF(ISNUMBER(J261),J261*$F261,MIN($G261:$J261)*$F261),0)</f>
        <v>151.49</v>
      </c>
      <c r="AM261" s="84" t="n">
        <f aca="false">IF($S261&gt;=2,$R261+ROW()/1000000,"")</f>
        <v>219.890261</v>
      </c>
      <c r="AN261" s="83" t="n">
        <f aca="false">IF($S261&gt;=2,MAX(G261:J261),"")</f>
        <v>371.38</v>
      </c>
      <c r="AO261" s="82" t="str">
        <f aca="false">IF($S261&gt;=2,INDEX($G$6:$J$6,MATCH(MAX(G261:J261),G261:J261,0)),"")</f>
        <v>HD Fowler</v>
      </c>
      <c r="AP261" s="83" t="n">
        <f aca="false">IF($S261&gt;=2,MIN(G261:J261)*$F261,0)</f>
        <v>151.49</v>
      </c>
      <c r="AQ261" s="82" t="str">
        <f aca="false">IF($S261&gt;=2,INDEX($G$6:$J$6,MATCH(MIN(G261:J261),G261:J261,0)),"")</f>
        <v>Mountainland</v>
      </c>
    </row>
    <row r="262" customFormat="false" ht="15" hidden="false" customHeight="true" outlineLevel="0" collapsed="false">
      <c r="A262" s="70" t="s">
        <v>668</v>
      </c>
      <c r="B262" s="71" t="s">
        <v>664</v>
      </c>
      <c r="C262" s="72" t="s">
        <v>308</v>
      </c>
      <c r="D262" s="73" t="s">
        <v>632</v>
      </c>
      <c r="E262" s="74" t="s">
        <v>310</v>
      </c>
      <c r="F262" s="75" t="n">
        <v>1</v>
      </c>
      <c r="G262" s="85" t="s">
        <v>138</v>
      </c>
      <c r="H262" s="85" t="s">
        <v>138</v>
      </c>
      <c r="I262" s="85" t="s">
        <v>138</v>
      </c>
      <c r="J262" s="76" t="n">
        <f aca="false">IF(COUNTIF('Quote Lines'!$P$3:$P$805,$A262&amp;"|"&amp;J$6&amp;"|1")=0,"—",SUMIFS('Quote Lines'!$O$3:$O$805,'Quote Lines'!$P$3:$P$805,$A262&amp;"|"&amp;J$6&amp;"|1")/SUMIFS('Quote Lines'!$L$3:$L$805,'Quote Lines'!$P$3:$P$805,$A262&amp;"|"&amp;J$6&amp;"|1"))</f>
        <v>80.28</v>
      </c>
      <c r="K262" s="14" t="str">
        <f aca="false">IF(ISNUMBER(G262),G262*$F262,"—")</f>
        <v>—</v>
      </c>
      <c r="L262" s="14" t="str">
        <f aca="false">IF(ISNUMBER(H262),H262*$F262,"—")</f>
        <v>—</v>
      </c>
      <c r="M262" s="14" t="str">
        <f aca="false">IF(ISNUMBER(I262),I262*$F262,"—")</f>
        <v>—</v>
      </c>
      <c r="N262" s="14" t="n">
        <f aca="false">IF(ISNUMBER(J262),J262*$F262,"—")</f>
        <v>80.28</v>
      </c>
      <c r="O262" s="77" t="n">
        <f aca="false">IF($S262=0,"—",MIN(G262:J262))</f>
        <v>80.28</v>
      </c>
      <c r="P262" s="42" t="str">
        <f aca="false">IF($S262=0,"—",IF(COUNTIF(G262:J262,O262)&gt;1,"Tie",INDEX($G$6:$J$6,MATCH(O262,G262:J262,0))))</f>
        <v>Scholzen</v>
      </c>
      <c r="Q262" s="48" t="str">
        <f aca="false">IF($S262&gt;=2,MAX(G262:J262)/MIN(G262:J262)-1,"—")</f>
        <v>—</v>
      </c>
      <c r="R262" s="78" t="str">
        <f aca="false">IF($S262&gt;=2,(MAX(G262:J262)-MIN(G262:J262))*$F262,"—")</f>
        <v>—</v>
      </c>
      <c r="S262" s="18" t="n">
        <f aca="false">COUNT(G262:J262)</f>
        <v>1</v>
      </c>
      <c r="T262" s="79" t="str">
        <f aca="false">IF($S262&lt;=1,IF($S262=1,"Single quote","—"),"Like-for-like")</f>
        <v>Single quote</v>
      </c>
      <c r="U262" s="79" t="str">
        <f aca="false">IF(COUNT(W262:Z262)&lt;2,"",IF(MAX(W262:Z262)=MIN(W262:Z262),"OK","Qty differs"))</f>
        <v/>
      </c>
      <c r="V262" s="80"/>
      <c r="W262" s="81"/>
      <c r="X262" s="81"/>
      <c r="Y262" s="81"/>
      <c r="Z262" s="81" t="n">
        <f aca="false">IF(COUNTIFS('Quote Lines'!$P$3:$P$805,$A262&amp;"|"&amp;J$6&amp;"|1",'Quote Lines'!$M$3:$M$805,"Y")=0,"",SUMIFS('Quote Lines'!$L$3:$L$805,'Quote Lines'!$P$3:$P$805,$A262&amp;"|"&amp;J$6&amp;"|1",'Quote Lines'!$M$3:$M$805,"Y"))</f>
        <v>1</v>
      </c>
      <c r="AA262" s="82" t="str">
        <f aca="false">IF(ISNUMBER(G262),1+SUMPRODUCT(ISNUMBER($G262:$J262)*($G262:$J262&lt;G262)),"")</f>
        <v/>
      </c>
      <c r="AB262" s="82" t="str">
        <f aca="false">IF(ISNUMBER(H262),1+SUMPRODUCT(ISNUMBER($G262:$J262)*($G262:$J262&lt;H262)),"")</f>
        <v/>
      </c>
      <c r="AC262" s="82" t="str">
        <f aca="false">IF(ISNUMBER(I262),1+SUMPRODUCT(ISNUMBER($G262:$J262)*($G262:$J262&lt;I262)),"")</f>
        <v/>
      </c>
      <c r="AD262" s="82" t="n">
        <f aca="false">IF(ISNUMBER(J262),1+SUMPRODUCT(ISNUMBER($G262:$J262)*($G262:$J262&lt;J262)),"")</f>
        <v>1</v>
      </c>
      <c r="AE262" s="82" t="n">
        <f aca="false">IF(NOT(ISNUMBER(G262)),0,IF($S262&lt;2,5,IF(AA262=1,1,IF(G262=MAX($G262:$J262),4,IF(AA262=2,2,3)))))</f>
        <v>0</v>
      </c>
      <c r="AF262" s="82" t="n">
        <f aca="false">IF(NOT(ISNUMBER(H262)),0,IF($S262&lt;2,5,IF(AB262=1,1,IF(H262=MAX($G262:$J262),4,IF(AB262=2,2,3)))))</f>
        <v>0</v>
      </c>
      <c r="AG262" s="82" t="n">
        <f aca="false">IF(NOT(ISNUMBER(I262)),0,IF($S262&lt;2,5,IF(AC262=1,1,IF(I262=MAX($G262:$J262),4,IF(AC262=2,2,3)))))</f>
        <v>0</v>
      </c>
      <c r="AH262" s="82" t="n">
        <f aca="false">IF(NOT(ISNUMBER(J262)),0,IF($S262&lt;2,5,IF(AD262=1,1,IF(J262=MAX($G262:$J262),4,IF(AD262=2,2,3)))))</f>
        <v>5</v>
      </c>
      <c r="AI262" s="83" t="n">
        <f aca="false">IF($S262&gt;=2,IF(ISNUMBER(G262),G262*$F262,MIN($G262:$J262)*$F262),0)</f>
        <v>0</v>
      </c>
      <c r="AJ262" s="83" t="n">
        <f aca="false">IF($S262&gt;=2,IF(ISNUMBER(H262),H262*$F262,MIN($G262:$J262)*$F262),0)</f>
        <v>0</v>
      </c>
      <c r="AK262" s="83" t="n">
        <f aca="false">IF($S262&gt;=2,IF(ISNUMBER(I262),I262*$F262,MIN($G262:$J262)*$F262),0)</f>
        <v>0</v>
      </c>
      <c r="AL262" s="83" t="n">
        <f aca="false">IF($S262&gt;=2,IF(ISNUMBER(J262),J262*$F262,MIN($G262:$J262)*$F262),0)</f>
        <v>0</v>
      </c>
      <c r="AM262" s="84" t="str">
        <f aca="false">IF($S262&gt;=2,$R262+ROW()/1000000,"")</f>
        <v/>
      </c>
      <c r="AN262" s="83" t="str">
        <f aca="false">IF($S262&gt;=2,MAX(G262:J262),"")</f>
        <v/>
      </c>
      <c r="AO262" s="82" t="str">
        <f aca="false">IF($S262&gt;=2,INDEX($G$6:$J$6,MATCH(MAX(G262:J262),G262:J262,0)),"")</f>
        <v/>
      </c>
      <c r="AP262" s="83" t="n">
        <f aca="false">IF($S262&gt;=2,MIN(G262:J262)*$F262,0)</f>
        <v>0</v>
      </c>
      <c r="AQ262" s="82" t="str">
        <f aca="false">IF($S262&gt;=2,INDEX($G$6:$J$6,MATCH(MIN(G262:J262),G262:J262,0)),"")</f>
        <v/>
      </c>
    </row>
    <row r="263" customFormat="false" ht="19.5" hidden="false" customHeight="true" outlineLevel="0" collapsed="false">
      <c r="A263" s="69"/>
      <c r="B263" s="9" t="s">
        <v>669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</row>
    <row r="264" customFormat="false" ht="27.75" hidden="false" customHeight="true" outlineLevel="0" collapsed="false">
      <c r="A264" s="70" t="s">
        <v>670</v>
      </c>
      <c r="B264" s="71" t="s">
        <v>671</v>
      </c>
      <c r="C264" s="72" t="s">
        <v>672</v>
      </c>
      <c r="D264" s="73" t="s">
        <v>673</v>
      </c>
      <c r="E264" s="74" t="s">
        <v>133</v>
      </c>
      <c r="F264" s="75" t="n">
        <v>16</v>
      </c>
      <c r="G264" s="76" t="n">
        <f aca="false">IF(COUNTIF('Quote Lines'!$P$3:$P$805,$A264&amp;"|"&amp;G$6&amp;"|1")=0,"—",SUMIFS('Quote Lines'!$O$3:$O$805,'Quote Lines'!$P$3:$P$805,$A264&amp;"|"&amp;G$6&amp;"|1")/SUMIFS('Quote Lines'!$L$3:$L$805,'Quote Lines'!$P$3:$P$805,$A264&amp;"|"&amp;G$6&amp;"|1"))</f>
        <v>3772</v>
      </c>
      <c r="H264" s="76" t="n">
        <f aca="false">IF(COUNTIF('Quote Lines'!$P$3:$P$805,$A264&amp;"|"&amp;H$6&amp;"|1")=0,"—",SUMIFS('Quote Lines'!$O$3:$O$805,'Quote Lines'!$P$3:$P$805,$A264&amp;"|"&amp;H$6&amp;"|1")/SUMIFS('Quote Lines'!$L$3:$L$805,'Quote Lines'!$P$3:$P$805,$A264&amp;"|"&amp;H$6&amp;"|1"))</f>
        <v>3655.7</v>
      </c>
      <c r="I264" s="76" t="n">
        <f aca="false">IF(COUNTIF('Quote Lines'!$P$3:$P$805,$A264&amp;"|"&amp;I$6&amp;"|1")=0,"—",SUMIFS('Quote Lines'!$O$3:$O$805,'Quote Lines'!$P$3:$P$805,$A264&amp;"|"&amp;I$6&amp;"|1")/SUMIFS('Quote Lines'!$L$3:$L$805,'Quote Lines'!$P$3:$P$805,$A264&amp;"|"&amp;I$6&amp;"|1"))</f>
        <v>3570.44764705882</v>
      </c>
      <c r="J264" s="76" t="n">
        <f aca="false">IF(COUNTIF('Quote Lines'!$P$3:$P$805,$A264&amp;"|"&amp;J$6&amp;"|1")=0,"—",SUMIFS('Quote Lines'!$O$3:$O$805,'Quote Lines'!$P$3:$P$805,$A264&amp;"|"&amp;J$6&amp;"|1")/SUMIFS('Quote Lines'!$L$3:$L$805,'Quote Lines'!$P$3:$P$805,$A264&amp;"|"&amp;J$6&amp;"|1"))</f>
        <v>3583.17</v>
      </c>
      <c r="K264" s="14" t="n">
        <f aca="false">IF(ISNUMBER(G264),G264*$F264,"—")</f>
        <v>60352</v>
      </c>
      <c r="L264" s="14" t="n">
        <f aca="false">IF(ISNUMBER(H264),H264*$F264,"—")</f>
        <v>58491.2</v>
      </c>
      <c r="M264" s="14" t="n">
        <f aca="false">IF(ISNUMBER(I264),I264*$F264,"—")</f>
        <v>57127.1623529412</v>
      </c>
      <c r="N264" s="14" t="n">
        <f aca="false">IF(ISNUMBER(J264),J264*$F264,"—")</f>
        <v>57330.72</v>
      </c>
      <c r="O264" s="77" t="n">
        <f aca="false">IF($S264=0,"—",MIN(G264:J264))</f>
        <v>3570.44764705882</v>
      </c>
      <c r="P264" s="42" t="str">
        <f aca="false">IF($S264=0,"—",IF(COUNTIF(G264:J264,O264)&gt;1,"Tie",INDEX($G$6:$J$6,MATCH(O264,G264:J264,0))))</f>
        <v>Mountainland</v>
      </c>
      <c r="Q264" s="48" t="n">
        <f aca="false">IF($S264&gt;=2,MAX(G264:J264)/MIN(G264:J264)-1,"—")</f>
        <v>0.0564501633589858</v>
      </c>
      <c r="R264" s="78" t="n">
        <f aca="false">IF($S264&gt;=2,(MAX(G264:J264)-MIN(G264:J264))*$F264,"—")</f>
        <v>3224.83764705883</v>
      </c>
      <c r="S264" s="18" t="n">
        <f aca="false">COUNT(G264:J264)</f>
        <v>4</v>
      </c>
      <c r="T264" s="79" t="str">
        <f aca="false">IF($S264&lt;=1,IF($S264=1,"Single quote","—"),"Alt spec – verify")</f>
        <v>Alt spec – verify</v>
      </c>
      <c r="U264" s="79" t="str">
        <f aca="false">IF(COUNT(W264:Z264)&lt;2,"",IF(MAX(W264:Z264)=MIN(W264:Z264),"OK","Qty differs"))</f>
        <v>Qty differs</v>
      </c>
      <c r="V264" s="80" t="s">
        <v>674</v>
      </c>
      <c r="W264" s="81" t="n">
        <f aca="false">IF(COUNTIFS('Quote Lines'!$P$3:$P$805,$A264&amp;"|"&amp;G$6&amp;"|1",'Quote Lines'!$M$3:$M$805,"Y")=0,"",SUMIFS('Quote Lines'!$L$3:$L$805,'Quote Lines'!$P$3:$P$805,$A264&amp;"|"&amp;G$6&amp;"|1",'Quote Lines'!$M$3:$M$805,"Y"))</f>
        <v>16</v>
      </c>
      <c r="X264" s="81" t="n">
        <f aca="false">IF(COUNTIFS('Quote Lines'!$P$3:$P$805,$A264&amp;"|"&amp;H$6&amp;"|1",'Quote Lines'!$M$3:$M$805,"Y")=0,"",SUMIFS('Quote Lines'!$L$3:$L$805,'Quote Lines'!$P$3:$P$805,$A264&amp;"|"&amp;H$6&amp;"|1",'Quote Lines'!$M$3:$M$805,"Y"))</f>
        <v>16</v>
      </c>
      <c r="Y264" s="81" t="n">
        <f aca="false">IF(COUNTIFS('Quote Lines'!$P$3:$P$805,$A264&amp;"|"&amp;I$6&amp;"|1",'Quote Lines'!$M$3:$M$805,"Y")=0,"",SUMIFS('Quote Lines'!$L$3:$L$805,'Quote Lines'!$P$3:$P$805,$A264&amp;"|"&amp;I$6&amp;"|1",'Quote Lines'!$M$3:$M$805,"Y"))</f>
        <v>17</v>
      </c>
      <c r="Z264" s="81" t="n">
        <f aca="false">IF(COUNTIFS('Quote Lines'!$P$3:$P$805,$A264&amp;"|"&amp;J$6&amp;"|1",'Quote Lines'!$M$3:$M$805,"Y")=0,"",SUMIFS('Quote Lines'!$L$3:$L$805,'Quote Lines'!$P$3:$P$805,$A264&amp;"|"&amp;J$6&amp;"|1",'Quote Lines'!$M$3:$M$805,"Y"))</f>
        <v>17</v>
      </c>
      <c r="AA264" s="82" t="n">
        <f aca="false">IF(ISNUMBER(G264),1+SUMPRODUCT(ISNUMBER($G264:$J264)*($G264:$J264&lt;G264)),"")</f>
        <v>4</v>
      </c>
      <c r="AB264" s="82" t="n">
        <f aca="false">IF(ISNUMBER(H264),1+SUMPRODUCT(ISNUMBER($G264:$J264)*($G264:$J264&lt;H264)),"")</f>
        <v>3</v>
      </c>
      <c r="AC264" s="82" t="n">
        <f aca="false">IF(ISNUMBER(I264),1+SUMPRODUCT(ISNUMBER($G264:$J264)*($G264:$J264&lt;I264)),"")</f>
        <v>1</v>
      </c>
      <c r="AD264" s="82" t="n">
        <f aca="false">IF(ISNUMBER(J264),1+SUMPRODUCT(ISNUMBER($G264:$J264)*($G264:$J264&lt;J264)),"")</f>
        <v>2</v>
      </c>
      <c r="AE264" s="82" t="n">
        <f aca="false">IF(NOT(ISNUMBER(G264)),0,IF($S264&lt;2,5,IF(AA264=1,1,IF(G264=MAX($G264:$J264),4,IF(AA264=2,2,3)))))</f>
        <v>4</v>
      </c>
      <c r="AF264" s="82" t="n">
        <f aca="false">IF(NOT(ISNUMBER(H264)),0,IF($S264&lt;2,5,IF(AB264=1,1,IF(H264=MAX($G264:$J264),4,IF(AB264=2,2,3)))))</f>
        <v>3</v>
      </c>
      <c r="AG264" s="82" t="n">
        <f aca="false">IF(NOT(ISNUMBER(I264)),0,IF($S264&lt;2,5,IF(AC264=1,1,IF(I264=MAX($G264:$J264),4,IF(AC264=2,2,3)))))</f>
        <v>1</v>
      </c>
      <c r="AH264" s="82" t="n">
        <f aca="false">IF(NOT(ISNUMBER(J264)),0,IF($S264&lt;2,5,IF(AD264=1,1,IF(J264=MAX($G264:$J264),4,IF(AD264=2,2,3)))))</f>
        <v>2</v>
      </c>
      <c r="AI264" s="83" t="n">
        <f aca="false">IF($S264&gt;=2,IF(ISNUMBER(G264),G264*$F264,MIN($G264:$J264)*$F264),0)</f>
        <v>60352</v>
      </c>
      <c r="AJ264" s="83" t="n">
        <f aca="false">IF($S264&gt;=2,IF(ISNUMBER(H264),H264*$F264,MIN($G264:$J264)*$F264),0)</f>
        <v>58491.2</v>
      </c>
      <c r="AK264" s="83" t="n">
        <f aca="false">IF($S264&gt;=2,IF(ISNUMBER(I264),I264*$F264,MIN($G264:$J264)*$F264),0)</f>
        <v>57127.1623529412</v>
      </c>
      <c r="AL264" s="83" t="n">
        <f aca="false">IF($S264&gt;=2,IF(ISNUMBER(J264),J264*$F264,MIN($G264:$J264)*$F264),0)</f>
        <v>57330.72</v>
      </c>
      <c r="AM264" s="84" t="n">
        <f aca="false">IF($S264&gt;=2,$R264+ROW()/1000000,"")</f>
        <v>3224.83791105883</v>
      </c>
      <c r="AN264" s="83" t="n">
        <f aca="false">IF($S264&gt;=2,MAX(G264:J264),"")</f>
        <v>3772</v>
      </c>
      <c r="AO264" s="82" t="str">
        <f aca="false">IF($S264&gt;=2,INDEX($G$6:$J$6,MATCH(MAX(G264:J264),G264:J264,0)),"")</f>
        <v>Ferguson</v>
      </c>
      <c r="AP264" s="83" t="n">
        <f aca="false">IF($S264&gt;=2,MIN(G264:J264)*$F264,0)</f>
        <v>57127.1623529412</v>
      </c>
      <c r="AQ264" s="82" t="str">
        <f aca="false">IF($S264&gt;=2,INDEX($G$6:$J$6,MATCH(MIN(G264:J264),G264:J264,0)),"")</f>
        <v>Mountainland</v>
      </c>
    </row>
    <row r="265" customFormat="false" ht="15" hidden="false" customHeight="true" outlineLevel="0" collapsed="false">
      <c r="A265" s="70" t="s">
        <v>675</v>
      </c>
      <c r="B265" s="71" t="s">
        <v>671</v>
      </c>
      <c r="C265" s="72" t="s">
        <v>672</v>
      </c>
      <c r="D265" s="73" t="s">
        <v>676</v>
      </c>
      <c r="E265" s="74" t="s">
        <v>133</v>
      </c>
      <c r="F265" s="75" t="n">
        <v>1</v>
      </c>
      <c r="G265" s="76" t="n">
        <f aca="false">IF(COUNTIF('Quote Lines'!$P$3:$P$805,$A265&amp;"|"&amp;G$6&amp;"|1")=0,"—",SUMIFS('Quote Lines'!$O$3:$O$805,'Quote Lines'!$P$3:$P$805,$A265&amp;"|"&amp;G$6&amp;"|1")/SUMIFS('Quote Lines'!$L$3:$L$805,'Quote Lines'!$P$3:$P$805,$A265&amp;"|"&amp;G$6&amp;"|1"))</f>
        <v>3594.72</v>
      </c>
      <c r="H265" s="76" t="n">
        <f aca="false">IF(COUNTIF('Quote Lines'!$P$3:$P$805,$A265&amp;"|"&amp;H$6&amp;"|1")=0,"—",SUMIFS('Quote Lines'!$O$3:$O$805,'Quote Lines'!$P$3:$P$805,$A265&amp;"|"&amp;H$6&amp;"|1")/SUMIFS('Quote Lines'!$L$3:$L$805,'Quote Lines'!$P$3:$P$805,$A265&amp;"|"&amp;H$6&amp;"|1"))</f>
        <v>3655.7</v>
      </c>
      <c r="I265" s="85" t="s">
        <v>138</v>
      </c>
      <c r="J265" s="85" t="s">
        <v>138</v>
      </c>
      <c r="K265" s="14" t="n">
        <f aca="false">IF(ISNUMBER(G265),G265*$F265,"—")</f>
        <v>3594.72</v>
      </c>
      <c r="L265" s="14" t="n">
        <f aca="false">IF(ISNUMBER(H265),H265*$F265,"—")</f>
        <v>3655.7</v>
      </c>
      <c r="M265" s="14" t="str">
        <f aca="false">IF(ISNUMBER(I265),I265*$F265,"—")</f>
        <v>—</v>
      </c>
      <c r="N265" s="14" t="str">
        <f aca="false">IF(ISNUMBER(J265),J265*$F265,"—")</f>
        <v>—</v>
      </c>
      <c r="O265" s="77" t="n">
        <f aca="false">IF($S265=0,"—",MIN(G265:J265))</f>
        <v>3594.72</v>
      </c>
      <c r="P265" s="42" t="str">
        <f aca="false">IF($S265=0,"—",IF(COUNTIF(G265:J265,O265)&gt;1,"Tie",INDEX($G$6:$J$6,MATCH(O265,G265:J265,0))))</f>
        <v>Ferguson</v>
      </c>
      <c r="Q265" s="48" t="n">
        <f aca="false">IF($S265&gt;=2,MAX(G265:J265)/MIN(G265:J265)-1,"—")</f>
        <v>0.0169637690835447</v>
      </c>
      <c r="R265" s="78" t="n">
        <f aca="false">IF($S265&gt;=2,(MAX(G265:J265)-MIN(G265:J265))*$F265,"—")</f>
        <v>60.98</v>
      </c>
      <c r="S265" s="18" t="n">
        <f aca="false">COUNT(G265:J265)</f>
        <v>2</v>
      </c>
      <c r="T265" s="79" t="str">
        <f aca="false">IF($S265&lt;=1,IF($S265=1,"Single quote","—"),"Like-for-like")</f>
        <v>Like-for-like</v>
      </c>
      <c r="U265" s="79" t="str">
        <f aca="false">IF(COUNT(W265:Z265)&lt;2,"",IF(MAX(W265:Z265)=MIN(W265:Z265),"OK","Qty differs"))</f>
        <v>OK</v>
      </c>
      <c r="V265" s="80"/>
      <c r="W265" s="81" t="n">
        <f aca="false">IF(COUNTIFS('Quote Lines'!$P$3:$P$805,$A265&amp;"|"&amp;G$6&amp;"|1",'Quote Lines'!$M$3:$M$805,"Y")=0,"",SUMIFS('Quote Lines'!$L$3:$L$805,'Quote Lines'!$P$3:$P$805,$A265&amp;"|"&amp;G$6&amp;"|1",'Quote Lines'!$M$3:$M$805,"Y"))</f>
        <v>1</v>
      </c>
      <c r="X265" s="81" t="n">
        <f aca="false">IF(COUNTIFS('Quote Lines'!$P$3:$P$805,$A265&amp;"|"&amp;H$6&amp;"|1",'Quote Lines'!$M$3:$M$805,"Y")=0,"",SUMIFS('Quote Lines'!$L$3:$L$805,'Quote Lines'!$P$3:$P$805,$A265&amp;"|"&amp;H$6&amp;"|1",'Quote Lines'!$M$3:$M$805,"Y"))</f>
        <v>1</v>
      </c>
      <c r="Y265" s="81"/>
      <c r="Z265" s="81"/>
      <c r="AA265" s="82" t="n">
        <f aca="false">IF(ISNUMBER(G265),1+SUMPRODUCT(ISNUMBER($G265:$J265)*($G265:$J265&lt;G265)),"")</f>
        <v>1</v>
      </c>
      <c r="AB265" s="82" t="n">
        <f aca="false">IF(ISNUMBER(H265),1+SUMPRODUCT(ISNUMBER($G265:$J265)*($G265:$J265&lt;H265)),"")</f>
        <v>2</v>
      </c>
      <c r="AC265" s="82" t="str">
        <f aca="false">IF(ISNUMBER(I265),1+SUMPRODUCT(ISNUMBER($G265:$J265)*($G265:$J265&lt;I265)),"")</f>
        <v/>
      </c>
      <c r="AD265" s="82" t="str">
        <f aca="false">IF(ISNUMBER(J265),1+SUMPRODUCT(ISNUMBER($G265:$J265)*($G265:$J265&lt;J265)),"")</f>
        <v/>
      </c>
      <c r="AE265" s="82" t="n">
        <f aca="false">IF(NOT(ISNUMBER(G265)),0,IF($S265&lt;2,5,IF(AA265=1,1,IF(G265=MAX($G265:$J265),4,IF(AA265=2,2,3)))))</f>
        <v>1</v>
      </c>
      <c r="AF265" s="82" t="n">
        <f aca="false">IF(NOT(ISNUMBER(H265)),0,IF($S265&lt;2,5,IF(AB265=1,1,IF(H265=MAX($G265:$J265),4,IF(AB265=2,2,3)))))</f>
        <v>4</v>
      </c>
      <c r="AG265" s="82" t="n">
        <f aca="false">IF(NOT(ISNUMBER(I265)),0,IF($S265&lt;2,5,IF(AC265=1,1,IF(I265=MAX($G265:$J265),4,IF(AC265=2,2,3)))))</f>
        <v>0</v>
      </c>
      <c r="AH265" s="82" t="n">
        <f aca="false">IF(NOT(ISNUMBER(J265)),0,IF($S265&lt;2,5,IF(AD265=1,1,IF(J265=MAX($G265:$J265),4,IF(AD265=2,2,3)))))</f>
        <v>0</v>
      </c>
      <c r="AI265" s="83" t="n">
        <f aca="false">IF($S265&gt;=2,IF(ISNUMBER(G265),G265*$F265,MIN($G265:$J265)*$F265),0)</f>
        <v>3594.72</v>
      </c>
      <c r="AJ265" s="83" t="n">
        <f aca="false">IF($S265&gt;=2,IF(ISNUMBER(H265),H265*$F265,MIN($G265:$J265)*$F265),0)</f>
        <v>3655.7</v>
      </c>
      <c r="AK265" s="83" t="n">
        <f aca="false">IF($S265&gt;=2,IF(ISNUMBER(I265),I265*$F265,MIN($G265:$J265)*$F265),0)</f>
        <v>3594.72</v>
      </c>
      <c r="AL265" s="83" t="n">
        <f aca="false">IF($S265&gt;=2,IF(ISNUMBER(J265),J265*$F265,MIN($G265:$J265)*$F265),0)</f>
        <v>3594.72</v>
      </c>
      <c r="AM265" s="84" t="n">
        <f aca="false">IF($S265&gt;=2,$R265+ROW()/1000000,"")</f>
        <v>60.980265</v>
      </c>
      <c r="AN265" s="83" t="n">
        <f aca="false">IF($S265&gt;=2,MAX(G265:J265),"")</f>
        <v>3655.7</v>
      </c>
      <c r="AO265" s="82" t="str">
        <f aca="false">IF($S265&gt;=2,INDEX($G$6:$J$6,MATCH(MAX(G265:J265),G265:J265,0)),"")</f>
        <v>HD Fowler</v>
      </c>
      <c r="AP265" s="83" t="n">
        <f aca="false">IF($S265&gt;=2,MIN(G265:J265)*$F265,0)</f>
        <v>3594.72</v>
      </c>
      <c r="AQ265" s="82" t="str">
        <f aca="false">IF($S265&gt;=2,INDEX($G$6:$J$6,MATCH(MIN(G265:J265),G265:J265,0)),"")</f>
        <v>Ferguson</v>
      </c>
    </row>
    <row r="266" customFormat="false" ht="15" hidden="false" customHeight="true" outlineLevel="0" collapsed="false">
      <c r="A266" s="70" t="s">
        <v>677</v>
      </c>
      <c r="B266" s="71" t="s">
        <v>671</v>
      </c>
      <c r="C266" s="72" t="s">
        <v>294</v>
      </c>
      <c r="D266" s="73" t="s">
        <v>678</v>
      </c>
      <c r="E266" s="74" t="s">
        <v>133</v>
      </c>
      <c r="F266" s="75" t="n">
        <v>17</v>
      </c>
      <c r="G266" s="76" t="n">
        <f aca="false">IF(COUNTIF('Quote Lines'!$P$3:$P$805,$A266&amp;"|"&amp;G$6&amp;"|1")=0,"—",SUMIFS('Quote Lines'!$O$3:$O$805,'Quote Lines'!$P$3:$P$805,$A266&amp;"|"&amp;G$6&amp;"|1")/SUMIFS('Quote Lines'!$L$3:$L$805,'Quote Lines'!$P$3:$P$805,$A266&amp;"|"&amp;G$6&amp;"|1"))</f>
        <v>93.36</v>
      </c>
      <c r="H266" s="76" t="n">
        <f aca="false">IF(COUNTIF('Quote Lines'!$P$3:$P$805,$A266&amp;"|"&amp;H$6&amp;"|1")=0,"—",SUMIFS('Quote Lines'!$O$3:$O$805,'Quote Lines'!$P$3:$P$805,$A266&amp;"|"&amp;H$6&amp;"|1")/SUMIFS('Quote Lines'!$L$3:$L$805,'Quote Lines'!$P$3:$P$805,$A266&amp;"|"&amp;H$6&amp;"|1"))</f>
        <v>73.3</v>
      </c>
      <c r="I266" s="76" t="n">
        <f aca="false">IF(COUNTIF('Quote Lines'!$P$3:$P$805,$A266&amp;"|"&amp;I$6&amp;"|1")=0,"—",SUMIFS('Quote Lines'!$O$3:$O$805,'Quote Lines'!$P$3:$P$805,$A266&amp;"|"&amp;I$6&amp;"|1")/SUMIFS('Quote Lines'!$L$3:$L$805,'Quote Lines'!$P$3:$P$805,$A266&amp;"|"&amp;I$6&amp;"|1"))</f>
        <v>66.4705882352941</v>
      </c>
      <c r="J266" s="76" t="n">
        <f aca="false">IF(COUNTIF('Quote Lines'!$P$3:$P$805,$A266&amp;"|"&amp;J$6&amp;"|1")=0,"—",SUMIFS('Quote Lines'!$O$3:$O$805,'Quote Lines'!$P$3:$P$805,$A266&amp;"|"&amp;J$6&amp;"|1")/SUMIFS('Quote Lines'!$L$3:$L$805,'Quote Lines'!$P$3:$P$805,$A266&amp;"|"&amp;J$6&amp;"|1"))</f>
        <v>78.75</v>
      </c>
      <c r="K266" s="14" t="n">
        <f aca="false">IF(ISNUMBER(G266),G266*$F266,"—")</f>
        <v>1587.12</v>
      </c>
      <c r="L266" s="14" t="n">
        <f aca="false">IF(ISNUMBER(H266),H266*$F266,"—")</f>
        <v>1246.1</v>
      </c>
      <c r="M266" s="14" t="n">
        <f aca="false">IF(ISNUMBER(I266),I266*$F266,"—")</f>
        <v>1130</v>
      </c>
      <c r="N266" s="14" t="n">
        <f aca="false">IF(ISNUMBER(J266),J266*$F266,"—")</f>
        <v>1338.75</v>
      </c>
      <c r="O266" s="77" t="n">
        <f aca="false">IF($S266=0,"—",MIN(G266:J266))</f>
        <v>66.4705882352941</v>
      </c>
      <c r="P266" s="42" t="str">
        <f aca="false">IF($S266=0,"—",IF(COUNTIF(G266:J266,O266)&gt;1,"Tie",INDEX($G$6:$J$6,MATCH(O266,G266:J266,0))))</f>
        <v>Mountainland</v>
      </c>
      <c r="Q266" s="48" t="n">
        <f aca="false">IF($S266&gt;=2,MAX(G266:J266)/MIN(G266:J266)-1,"—")</f>
        <v>0.404530973451327</v>
      </c>
      <c r="R266" s="78" t="n">
        <f aca="false">IF($S266&gt;=2,(MAX(G266:J266)-MIN(G266:J266))*$F266,"—")</f>
        <v>457.12</v>
      </c>
      <c r="S266" s="18" t="n">
        <f aca="false">COUNT(G266:J266)</f>
        <v>4</v>
      </c>
      <c r="T266" s="79" t="str">
        <f aca="false">IF($S266&lt;=1,IF($S266=1,"Single quote","—"),"Alt spec – verify")</f>
        <v>Alt spec – verify</v>
      </c>
      <c r="U266" s="79" t="str">
        <f aca="false">IF(COUNT(W266:Z266)&lt;2,"",IF(MAX(W266:Z266)=MIN(W266:Z266),"OK","Qty differs"))</f>
        <v>Qty differs</v>
      </c>
      <c r="V266" s="80" t="s">
        <v>679</v>
      </c>
      <c r="W266" s="81" t="n">
        <f aca="false">IF(COUNTIFS('Quote Lines'!$P$3:$P$805,$A266&amp;"|"&amp;G$6&amp;"|1",'Quote Lines'!$M$3:$M$805,"Y")=0,"",SUMIFS('Quote Lines'!$L$3:$L$805,'Quote Lines'!$P$3:$P$805,$A266&amp;"|"&amp;G$6&amp;"|1",'Quote Lines'!$M$3:$M$805,"Y"))</f>
        <v>16</v>
      </c>
      <c r="X266" s="81" t="n">
        <f aca="false">IF(COUNTIFS('Quote Lines'!$P$3:$P$805,$A266&amp;"|"&amp;H$6&amp;"|1",'Quote Lines'!$M$3:$M$805,"Y")=0,"",SUMIFS('Quote Lines'!$L$3:$L$805,'Quote Lines'!$P$3:$P$805,$A266&amp;"|"&amp;H$6&amp;"|1",'Quote Lines'!$M$3:$M$805,"Y"))</f>
        <v>17</v>
      </c>
      <c r="Y266" s="81" t="n">
        <f aca="false">IF(COUNTIFS('Quote Lines'!$P$3:$P$805,$A266&amp;"|"&amp;I$6&amp;"|1",'Quote Lines'!$M$3:$M$805,"Y")=0,"",SUMIFS('Quote Lines'!$L$3:$L$805,'Quote Lines'!$P$3:$P$805,$A266&amp;"|"&amp;I$6&amp;"|1",'Quote Lines'!$M$3:$M$805,"Y"))</f>
        <v>17</v>
      </c>
      <c r="Z266" s="81" t="n">
        <f aca="false">IF(COUNTIFS('Quote Lines'!$P$3:$P$805,$A266&amp;"|"&amp;J$6&amp;"|1",'Quote Lines'!$M$3:$M$805,"Y")=0,"",SUMIFS('Quote Lines'!$L$3:$L$805,'Quote Lines'!$P$3:$P$805,$A266&amp;"|"&amp;J$6&amp;"|1",'Quote Lines'!$M$3:$M$805,"Y"))</f>
        <v>17</v>
      </c>
      <c r="AA266" s="82" t="n">
        <f aca="false">IF(ISNUMBER(G266),1+SUMPRODUCT(ISNUMBER($G266:$J266)*($G266:$J266&lt;G266)),"")</f>
        <v>4</v>
      </c>
      <c r="AB266" s="82" t="n">
        <f aca="false">IF(ISNUMBER(H266),1+SUMPRODUCT(ISNUMBER($G266:$J266)*($G266:$J266&lt;H266)),"")</f>
        <v>2</v>
      </c>
      <c r="AC266" s="82" t="n">
        <f aca="false">IF(ISNUMBER(I266),1+SUMPRODUCT(ISNUMBER($G266:$J266)*($G266:$J266&lt;I266)),"")</f>
        <v>1</v>
      </c>
      <c r="AD266" s="82" t="n">
        <f aca="false">IF(ISNUMBER(J266),1+SUMPRODUCT(ISNUMBER($G266:$J266)*($G266:$J266&lt;J266)),"")</f>
        <v>3</v>
      </c>
      <c r="AE266" s="82" t="n">
        <f aca="false">IF(NOT(ISNUMBER(G266)),0,IF($S266&lt;2,5,IF(AA266=1,1,IF(G266=MAX($G266:$J266),4,IF(AA266=2,2,3)))))</f>
        <v>4</v>
      </c>
      <c r="AF266" s="82" t="n">
        <f aca="false">IF(NOT(ISNUMBER(H266)),0,IF($S266&lt;2,5,IF(AB266=1,1,IF(H266=MAX($G266:$J266),4,IF(AB266=2,2,3)))))</f>
        <v>2</v>
      </c>
      <c r="AG266" s="82" t="n">
        <f aca="false">IF(NOT(ISNUMBER(I266)),0,IF($S266&lt;2,5,IF(AC266=1,1,IF(I266=MAX($G266:$J266),4,IF(AC266=2,2,3)))))</f>
        <v>1</v>
      </c>
      <c r="AH266" s="82" t="n">
        <f aca="false">IF(NOT(ISNUMBER(J266)),0,IF($S266&lt;2,5,IF(AD266=1,1,IF(J266=MAX($G266:$J266),4,IF(AD266=2,2,3)))))</f>
        <v>3</v>
      </c>
      <c r="AI266" s="83" t="n">
        <f aca="false">IF($S266&gt;=2,IF(ISNUMBER(G266),G266*$F266,MIN($G266:$J266)*$F266),0)</f>
        <v>1587.12</v>
      </c>
      <c r="AJ266" s="83" t="n">
        <f aca="false">IF($S266&gt;=2,IF(ISNUMBER(H266),H266*$F266,MIN($G266:$J266)*$F266),0)</f>
        <v>1246.1</v>
      </c>
      <c r="AK266" s="83" t="n">
        <f aca="false">IF($S266&gt;=2,IF(ISNUMBER(I266),I266*$F266,MIN($G266:$J266)*$F266),0)</f>
        <v>1130</v>
      </c>
      <c r="AL266" s="83" t="n">
        <f aca="false">IF($S266&gt;=2,IF(ISNUMBER(J266),J266*$F266,MIN($G266:$J266)*$F266),0)</f>
        <v>1338.75</v>
      </c>
      <c r="AM266" s="84" t="n">
        <f aca="false">IF($S266&gt;=2,$R266+ROW()/1000000,"")</f>
        <v>457.120266</v>
      </c>
      <c r="AN266" s="83" t="n">
        <f aca="false">IF($S266&gt;=2,MAX(G266:J266),"")</f>
        <v>93.36</v>
      </c>
      <c r="AO266" s="82" t="str">
        <f aca="false">IF($S266&gt;=2,INDEX($G$6:$J$6,MATCH(MAX(G266:J266),G266:J266,0)),"")</f>
        <v>Ferguson</v>
      </c>
      <c r="AP266" s="83" t="n">
        <f aca="false">IF($S266&gt;=2,MIN(G266:J266)*$F266,0)</f>
        <v>1130</v>
      </c>
      <c r="AQ266" s="82" t="str">
        <f aca="false">IF($S266&gt;=2,INDEX($G$6:$J$6,MATCH(MIN(G266:J266),G266:J266,0)),"")</f>
        <v>Mountainland</v>
      </c>
    </row>
    <row r="267" customFormat="false" ht="19.5" hidden="false" customHeight="true" outlineLevel="0" collapsed="false">
      <c r="A267" s="69"/>
      <c r="B267" s="9" t="s">
        <v>680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</row>
    <row r="268" customFormat="false" ht="15" hidden="false" customHeight="true" outlineLevel="0" collapsed="false">
      <c r="A268" s="70" t="s">
        <v>681</v>
      </c>
      <c r="B268" s="71" t="s">
        <v>682</v>
      </c>
      <c r="C268" s="72" t="s">
        <v>261</v>
      </c>
      <c r="D268" s="73" t="s">
        <v>262</v>
      </c>
      <c r="E268" s="74" t="s">
        <v>133</v>
      </c>
      <c r="F268" s="75" t="n">
        <v>9</v>
      </c>
      <c r="G268" s="76" t="n">
        <f aca="false">IF(COUNTIF('Quote Lines'!$P$3:$P$805,$A268&amp;"|"&amp;G$6&amp;"|1")=0,"—",SUMIFS('Quote Lines'!$O$3:$O$805,'Quote Lines'!$P$3:$P$805,$A268&amp;"|"&amp;G$6&amp;"|1")/SUMIFS('Quote Lines'!$L$3:$L$805,'Quote Lines'!$P$3:$P$805,$A268&amp;"|"&amp;G$6&amp;"|1"))</f>
        <v>1232.38</v>
      </c>
      <c r="H268" s="76" t="n">
        <f aca="false">IF(COUNTIF('Quote Lines'!$P$3:$P$805,$A268&amp;"|"&amp;H$6&amp;"|1")=0,"—",SUMIFS('Quote Lines'!$O$3:$O$805,'Quote Lines'!$P$3:$P$805,$A268&amp;"|"&amp;H$6&amp;"|1")/SUMIFS('Quote Lines'!$L$3:$L$805,'Quote Lines'!$P$3:$P$805,$A268&amp;"|"&amp;H$6&amp;"|1"))</f>
        <v>1162.47</v>
      </c>
      <c r="I268" s="76" t="n">
        <f aca="false">IF(COUNTIF('Quote Lines'!$P$3:$P$805,$A268&amp;"|"&amp;I$6&amp;"|1")=0,"—",SUMIFS('Quote Lines'!$O$3:$O$805,'Quote Lines'!$P$3:$P$805,$A268&amp;"|"&amp;I$6&amp;"|1")/SUMIFS('Quote Lines'!$L$3:$L$805,'Quote Lines'!$P$3:$P$805,$A268&amp;"|"&amp;I$6&amp;"|1"))</f>
        <v>1189.74333333333</v>
      </c>
      <c r="J268" s="76" t="n">
        <f aca="false">IF(COUNTIF('Quote Lines'!$P$3:$P$805,$A268&amp;"|"&amp;J$6&amp;"|1")=0,"—",SUMIFS('Quote Lines'!$O$3:$O$805,'Quote Lines'!$P$3:$P$805,$A268&amp;"|"&amp;J$6&amp;"|1")/SUMIFS('Quote Lines'!$L$3:$L$805,'Quote Lines'!$P$3:$P$805,$A268&amp;"|"&amp;J$6&amp;"|1"))</f>
        <v>1181.13</v>
      </c>
      <c r="K268" s="14" t="n">
        <f aca="false">IF(ISNUMBER(G268),G268*$F268,"—")</f>
        <v>11091.42</v>
      </c>
      <c r="L268" s="14" t="n">
        <f aca="false">IF(ISNUMBER(H268),H268*$F268,"—")</f>
        <v>10462.23</v>
      </c>
      <c r="M268" s="14" t="n">
        <f aca="false">IF(ISNUMBER(I268),I268*$F268,"—")</f>
        <v>10707.69</v>
      </c>
      <c r="N268" s="14" t="n">
        <f aca="false">IF(ISNUMBER(J268),J268*$F268,"—")</f>
        <v>10630.17</v>
      </c>
      <c r="O268" s="77" t="n">
        <f aca="false">IF($S268=0,"—",MIN(G268:J268))</f>
        <v>1162.47</v>
      </c>
      <c r="P268" s="42" t="str">
        <f aca="false">IF($S268=0,"—",IF(COUNTIF(G268:J268,O268)&gt;1,"Tie",INDEX($G$6:$J$6,MATCH(O268,G268:J268,0))))</f>
        <v>HD Fowler</v>
      </c>
      <c r="Q268" s="48" t="n">
        <f aca="false">IF($S268&gt;=2,MAX(G268:J268)/MIN(G268:J268)-1,"—")</f>
        <v>0.0601391863876055</v>
      </c>
      <c r="R268" s="78" t="n">
        <f aca="false">IF($S268&gt;=2,(MAX(G268:J268)-MIN(G268:J268))*$F268,"—")</f>
        <v>629.189999999999</v>
      </c>
      <c r="S268" s="18" t="n">
        <f aca="false">COUNT(G268:J268)</f>
        <v>4</v>
      </c>
      <c r="T268" s="79" t="str">
        <f aca="false">IF($S268&lt;=1,IF($S268=1,"Single quote","—"),"Alt spec – verify")</f>
        <v>Alt spec – verify</v>
      </c>
      <c r="U268" s="79" t="str">
        <f aca="false">IF(COUNT(W268:Z268)&lt;2,"",IF(MAX(W268:Z268)=MIN(W268:Z268),"OK","Qty differs"))</f>
        <v>Qty differs</v>
      </c>
      <c r="V268" s="80" t="s">
        <v>683</v>
      </c>
      <c r="W268" s="81" t="n">
        <f aca="false">IF(COUNTIFS('Quote Lines'!$P$3:$P$805,$A268&amp;"|"&amp;G$6&amp;"|1",'Quote Lines'!$M$3:$M$805,"Y")=0,"",SUMIFS('Quote Lines'!$L$3:$L$805,'Quote Lines'!$P$3:$P$805,$A268&amp;"|"&amp;G$6&amp;"|1",'Quote Lines'!$M$3:$M$805,"Y"))</f>
        <v>10</v>
      </c>
      <c r="X268" s="81" t="n">
        <f aca="false">IF(COUNTIFS('Quote Lines'!$P$3:$P$805,$A268&amp;"|"&amp;H$6&amp;"|1",'Quote Lines'!$M$3:$M$805,"Y")=0,"",SUMIFS('Quote Lines'!$L$3:$L$805,'Quote Lines'!$P$3:$P$805,$A268&amp;"|"&amp;H$6&amp;"|1",'Quote Lines'!$M$3:$M$805,"Y"))</f>
        <v>9</v>
      </c>
      <c r="Y268" s="81" t="n">
        <f aca="false">IF(COUNTIFS('Quote Lines'!$P$3:$P$805,$A268&amp;"|"&amp;I$6&amp;"|1",'Quote Lines'!$M$3:$M$805,"Y")=0,"",SUMIFS('Quote Lines'!$L$3:$L$805,'Quote Lines'!$P$3:$P$805,$A268&amp;"|"&amp;I$6&amp;"|1",'Quote Lines'!$M$3:$M$805,"Y"))</f>
        <v>9</v>
      </c>
      <c r="Z268" s="81" t="n">
        <f aca="false">IF(COUNTIFS('Quote Lines'!$P$3:$P$805,$A268&amp;"|"&amp;J$6&amp;"|1",'Quote Lines'!$M$3:$M$805,"Y")=0,"",SUMIFS('Quote Lines'!$L$3:$L$805,'Quote Lines'!$P$3:$P$805,$A268&amp;"|"&amp;J$6&amp;"|1",'Quote Lines'!$M$3:$M$805,"Y"))</f>
        <v>9</v>
      </c>
      <c r="AA268" s="82" t="n">
        <f aca="false">IF(ISNUMBER(G268),1+SUMPRODUCT(ISNUMBER($G268:$J268)*($G268:$J268&lt;G268)),"")</f>
        <v>4</v>
      </c>
      <c r="AB268" s="82" t="n">
        <f aca="false">IF(ISNUMBER(H268),1+SUMPRODUCT(ISNUMBER($G268:$J268)*($G268:$J268&lt;H268)),"")</f>
        <v>1</v>
      </c>
      <c r="AC268" s="82" t="n">
        <f aca="false">IF(ISNUMBER(I268),1+SUMPRODUCT(ISNUMBER($G268:$J268)*($G268:$J268&lt;I268)),"")</f>
        <v>3</v>
      </c>
      <c r="AD268" s="82" t="n">
        <f aca="false">IF(ISNUMBER(J268),1+SUMPRODUCT(ISNUMBER($G268:$J268)*($G268:$J268&lt;J268)),"")</f>
        <v>2</v>
      </c>
      <c r="AE268" s="82" t="n">
        <f aca="false">IF(NOT(ISNUMBER(G268)),0,IF($S268&lt;2,5,IF(AA268=1,1,IF(G268=MAX($G268:$J268),4,IF(AA268=2,2,3)))))</f>
        <v>4</v>
      </c>
      <c r="AF268" s="82" t="n">
        <f aca="false">IF(NOT(ISNUMBER(H268)),0,IF($S268&lt;2,5,IF(AB268=1,1,IF(H268=MAX($G268:$J268),4,IF(AB268=2,2,3)))))</f>
        <v>1</v>
      </c>
      <c r="AG268" s="82" t="n">
        <f aca="false">IF(NOT(ISNUMBER(I268)),0,IF($S268&lt;2,5,IF(AC268=1,1,IF(I268=MAX($G268:$J268),4,IF(AC268=2,2,3)))))</f>
        <v>3</v>
      </c>
      <c r="AH268" s="82" t="n">
        <f aca="false">IF(NOT(ISNUMBER(J268)),0,IF($S268&lt;2,5,IF(AD268=1,1,IF(J268=MAX($G268:$J268),4,IF(AD268=2,2,3)))))</f>
        <v>2</v>
      </c>
      <c r="AI268" s="83" t="n">
        <f aca="false">IF($S268&gt;=2,IF(ISNUMBER(G268),G268*$F268,MIN($G268:$J268)*$F268),0)</f>
        <v>11091.42</v>
      </c>
      <c r="AJ268" s="83" t="n">
        <f aca="false">IF($S268&gt;=2,IF(ISNUMBER(H268),H268*$F268,MIN($G268:$J268)*$F268),0)</f>
        <v>10462.23</v>
      </c>
      <c r="AK268" s="83" t="n">
        <f aca="false">IF($S268&gt;=2,IF(ISNUMBER(I268),I268*$F268,MIN($G268:$J268)*$F268),0)</f>
        <v>10707.69</v>
      </c>
      <c r="AL268" s="83" t="n">
        <f aca="false">IF($S268&gt;=2,IF(ISNUMBER(J268),J268*$F268,MIN($G268:$J268)*$F268),0)</f>
        <v>10630.17</v>
      </c>
      <c r="AM268" s="84" t="n">
        <f aca="false">IF($S268&gt;=2,$R268+ROW()/1000000,"")</f>
        <v>629.190267999999</v>
      </c>
      <c r="AN268" s="83" t="n">
        <f aca="false">IF($S268&gt;=2,MAX(G268:J268),"")</f>
        <v>1232.38</v>
      </c>
      <c r="AO268" s="82" t="str">
        <f aca="false">IF($S268&gt;=2,INDEX($G$6:$J$6,MATCH(MAX(G268:J268),G268:J268,0)),"")</f>
        <v>Ferguson</v>
      </c>
      <c r="AP268" s="83" t="n">
        <f aca="false">IF($S268&gt;=2,MIN(G268:J268)*$F268,0)</f>
        <v>10462.23</v>
      </c>
      <c r="AQ268" s="82" t="str">
        <f aca="false">IF($S268&gt;=2,INDEX($G$6:$J$6,MATCH(MIN(G268:J268),G268:J268,0)),"")</f>
        <v>HD Fowler</v>
      </c>
    </row>
    <row r="269" customFormat="false" ht="15" hidden="false" customHeight="true" outlineLevel="0" collapsed="false">
      <c r="A269" s="70" t="s">
        <v>684</v>
      </c>
      <c r="B269" s="71" t="s">
        <v>682</v>
      </c>
      <c r="C269" s="72" t="s">
        <v>261</v>
      </c>
      <c r="D269" s="73" t="s">
        <v>685</v>
      </c>
      <c r="E269" s="74" t="s">
        <v>133</v>
      </c>
      <c r="F269" s="75" t="n">
        <v>7</v>
      </c>
      <c r="G269" s="76" t="n">
        <f aca="false">IF(COUNTIF('Quote Lines'!$P$3:$P$805,$A269&amp;"|"&amp;G$6&amp;"|1")=0,"—",SUMIFS('Quote Lines'!$O$3:$O$805,'Quote Lines'!$P$3:$P$805,$A269&amp;"|"&amp;G$6&amp;"|1")/SUMIFS('Quote Lines'!$L$3:$L$805,'Quote Lines'!$P$3:$P$805,$A269&amp;"|"&amp;G$6&amp;"|1"))</f>
        <v>427.91</v>
      </c>
      <c r="H269" s="76" t="n">
        <f aca="false">IF(COUNTIF('Quote Lines'!$P$3:$P$805,$A269&amp;"|"&amp;H$6&amp;"|1")=0,"—",SUMIFS('Quote Lines'!$O$3:$O$805,'Quote Lines'!$P$3:$P$805,$A269&amp;"|"&amp;H$6&amp;"|1")/SUMIFS('Quote Lines'!$L$3:$L$805,'Quote Lines'!$P$3:$P$805,$A269&amp;"|"&amp;H$6&amp;"|1"))</f>
        <v>340.92</v>
      </c>
      <c r="I269" s="76" t="n">
        <f aca="false">IF(COUNTIF('Quote Lines'!$P$3:$P$805,$A269&amp;"|"&amp;I$6&amp;"|1")=0,"—",SUMIFS('Quote Lines'!$O$3:$O$805,'Quote Lines'!$P$3:$P$805,$A269&amp;"|"&amp;I$6&amp;"|1")/SUMIFS('Quote Lines'!$L$3:$L$805,'Quote Lines'!$P$3:$P$805,$A269&amp;"|"&amp;I$6&amp;"|1"))</f>
        <v>423.958571428571</v>
      </c>
      <c r="J269" s="76" t="n">
        <f aca="false">IF(COUNTIF('Quote Lines'!$P$3:$P$805,$A269&amp;"|"&amp;J$6&amp;"|1")=0,"—",SUMIFS('Quote Lines'!$O$3:$O$805,'Quote Lines'!$P$3:$P$805,$A269&amp;"|"&amp;J$6&amp;"|1")/SUMIFS('Quote Lines'!$L$3:$L$805,'Quote Lines'!$P$3:$P$805,$A269&amp;"|"&amp;J$6&amp;"|1"))</f>
        <v>530.61</v>
      </c>
      <c r="K269" s="14" t="n">
        <f aca="false">IF(ISNUMBER(G269),G269*$F269,"—")</f>
        <v>2995.37</v>
      </c>
      <c r="L269" s="14" t="n">
        <f aca="false">IF(ISNUMBER(H269),H269*$F269,"—")</f>
        <v>2386.44</v>
      </c>
      <c r="M269" s="14" t="n">
        <f aca="false">IF(ISNUMBER(I269),I269*$F269,"—")</f>
        <v>2967.71</v>
      </c>
      <c r="N269" s="14" t="n">
        <f aca="false">IF(ISNUMBER(J269),J269*$F269,"—")</f>
        <v>3714.27</v>
      </c>
      <c r="O269" s="77" t="n">
        <f aca="false">IF($S269=0,"—",MIN(G269:J269))</f>
        <v>340.92</v>
      </c>
      <c r="P269" s="42" t="str">
        <f aca="false">IF($S269=0,"—",IF(COUNTIF(G269:J269,O269)&gt;1,"Tie",INDEX($G$6:$J$6,MATCH(O269,G269:J269,0))))</f>
        <v>HD Fowler</v>
      </c>
      <c r="Q269" s="48" t="n">
        <f aca="false">IF($S269&gt;=2,MAX(G269:J269)/MIN(G269:J269)-1,"—")</f>
        <v>0.55640619500176</v>
      </c>
      <c r="R269" s="78" t="n">
        <f aca="false">IF($S269&gt;=2,(MAX(G269:J269)-MIN(G269:J269))*$F269,"—")</f>
        <v>1327.83</v>
      </c>
      <c r="S269" s="18" t="n">
        <f aca="false">COUNT(G269:J269)</f>
        <v>4</v>
      </c>
      <c r="T269" s="79" t="str">
        <f aca="false">IF($S269&lt;=1,IF($S269=1,"Single quote","—"),"Alt spec – verify")</f>
        <v>Alt spec – verify</v>
      </c>
      <c r="U269" s="79" t="str">
        <f aca="false">IF(COUNT(W269:Z269)&lt;2,"",IF(MAX(W269:Z269)=MIN(W269:Z269),"OK","Qty differs"))</f>
        <v>Qty differs</v>
      </c>
      <c r="V269" s="80" t="s">
        <v>686</v>
      </c>
      <c r="W269" s="81" t="n">
        <f aca="false">IF(COUNTIFS('Quote Lines'!$P$3:$P$805,$A269&amp;"|"&amp;G$6&amp;"|1",'Quote Lines'!$M$3:$M$805,"Y")=0,"",SUMIFS('Quote Lines'!$L$3:$L$805,'Quote Lines'!$P$3:$P$805,$A269&amp;"|"&amp;G$6&amp;"|1",'Quote Lines'!$M$3:$M$805,"Y"))</f>
        <v>7</v>
      </c>
      <c r="X269" s="81" t="n">
        <f aca="false">IF(COUNTIFS('Quote Lines'!$P$3:$P$805,$A269&amp;"|"&amp;H$6&amp;"|1",'Quote Lines'!$M$3:$M$805,"Y")=0,"",SUMIFS('Quote Lines'!$L$3:$L$805,'Quote Lines'!$P$3:$P$805,$A269&amp;"|"&amp;H$6&amp;"|1",'Quote Lines'!$M$3:$M$805,"Y"))</f>
        <v>8</v>
      </c>
      <c r="Y269" s="81" t="n">
        <f aca="false">IF(COUNTIFS('Quote Lines'!$P$3:$P$805,$A269&amp;"|"&amp;I$6&amp;"|1",'Quote Lines'!$M$3:$M$805,"Y")=0,"",SUMIFS('Quote Lines'!$L$3:$L$805,'Quote Lines'!$P$3:$P$805,$A269&amp;"|"&amp;I$6&amp;"|1",'Quote Lines'!$M$3:$M$805,"Y"))</f>
        <v>7</v>
      </c>
      <c r="Z269" s="81" t="n">
        <f aca="false">IF(COUNTIFS('Quote Lines'!$P$3:$P$805,$A269&amp;"|"&amp;J$6&amp;"|1",'Quote Lines'!$M$3:$M$805,"Y")=0,"",SUMIFS('Quote Lines'!$L$3:$L$805,'Quote Lines'!$P$3:$P$805,$A269&amp;"|"&amp;J$6&amp;"|1",'Quote Lines'!$M$3:$M$805,"Y"))</f>
        <v>7</v>
      </c>
      <c r="AA269" s="82" t="n">
        <f aca="false">IF(ISNUMBER(G269),1+SUMPRODUCT(ISNUMBER($G269:$J269)*($G269:$J269&lt;G269)),"")</f>
        <v>3</v>
      </c>
      <c r="AB269" s="82" t="n">
        <f aca="false">IF(ISNUMBER(H269),1+SUMPRODUCT(ISNUMBER($G269:$J269)*($G269:$J269&lt;H269)),"")</f>
        <v>1</v>
      </c>
      <c r="AC269" s="82" t="n">
        <f aca="false">IF(ISNUMBER(I269),1+SUMPRODUCT(ISNUMBER($G269:$J269)*($G269:$J269&lt;I269)),"")</f>
        <v>2</v>
      </c>
      <c r="AD269" s="82" t="n">
        <f aca="false">IF(ISNUMBER(J269),1+SUMPRODUCT(ISNUMBER($G269:$J269)*($G269:$J269&lt;J269)),"")</f>
        <v>4</v>
      </c>
      <c r="AE269" s="82" t="n">
        <f aca="false">IF(NOT(ISNUMBER(G269)),0,IF($S269&lt;2,5,IF(AA269=1,1,IF(G269=MAX($G269:$J269),4,IF(AA269=2,2,3)))))</f>
        <v>3</v>
      </c>
      <c r="AF269" s="82" t="n">
        <f aca="false">IF(NOT(ISNUMBER(H269)),0,IF($S269&lt;2,5,IF(AB269=1,1,IF(H269=MAX($G269:$J269),4,IF(AB269=2,2,3)))))</f>
        <v>1</v>
      </c>
      <c r="AG269" s="82" t="n">
        <f aca="false">IF(NOT(ISNUMBER(I269)),0,IF($S269&lt;2,5,IF(AC269=1,1,IF(I269=MAX($G269:$J269),4,IF(AC269=2,2,3)))))</f>
        <v>2</v>
      </c>
      <c r="AH269" s="82" t="n">
        <f aca="false">IF(NOT(ISNUMBER(J269)),0,IF($S269&lt;2,5,IF(AD269=1,1,IF(J269=MAX($G269:$J269),4,IF(AD269=2,2,3)))))</f>
        <v>4</v>
      </c>
      <c r="AI269" s="83" t="n">
        <f aca="false">IF($S269&gt;=2,IF(ISNUMBER(G269),G269*$F269,MIN($G269:$J269)*$F269),0)</f>
        <v>2995.37</v>
      </c>
      <c r="AJ269" s="83" t="n">
        <f aca="false">IF($S269&gt;=2,IF(ISNUMBER(H269),H269*$F269,MIN($G269:$J269)*$F269),0)</f>
        <v>2386.44</v>
      </c>
      <c r="AK269" s="83" t="n">
        <f aca="false">IF($S269&gt;=2,IF(ISNUMBER(I269),I269*$F269,MIN($G269:$J269)*$F269),0)</f>
        <v>2967.71</v>
      </c>
      <c r="AL269" s="83" t="n">
        <f aca="false">IF($S269&gt;=2,IF(ISNUMBER(J269),J269*$F269,MIN($G269:$J269)*$F269),0)</f>
        <v>3714.27</v>
      </c>
      <c r="AM269" s="84" t="n">
        <f aca="false">IF($S269&gt;=2,$R269+ROW()/1000000,"")</f>
        <v>1327.830269</v>
      </c>
      <c r="AN269" s="83" t="n">
        <f aca="false">IF($S269&gt;=2,MAX(G269:J269),"")</f>
        <v>530.61</v>
      </c>
      <c r="AO269" s="82" t="str">
        <f aca="false">IF($S269&gt;=2,INDEX($G$6:$J$6,MATCH(MAX(G269:J269),G269:J269,0)),"")</f>
        <v>Scholzen</v>
      </c>
      <c r="AP269" s="83" t="n">
        <f aca="false">IF($S269&gt;=2,MIN(G269:J269)*$F269,0)</f>
        <v>2386.44</v>
      </c>
      <c r="AQ269" s="82" t="str">
        <f aca="false">IF($S269&gt;=2,INDEX($G$6:$J$6,MATCH(MIN(G269:J269),G269:J269,0)),"")</f>
        <v>HD Fowler</v>
      </c>
    </row>
    <row r="270" customFormat="false" ht="15" hidden="false" customHeight="true" outlineLevel="0" collapsed="false">
      <c r="A270" s="70" t="s">
        <v>687</v>
      </c>
      <c r="B270" s="71" t="s">
        <v>682</v>
      </c>
      <c r="C270" s="72" t="s">
        <v>261</v>
      </c>
      <c r="D270" s="73" t="s">
        <v>688</v>
      </c>
      <c r="E270" s="74" t="s">
        <v>133</v>
      </c>
      <c r="F270" s="75" t="n">
        <v>2</v>
      </c>
      <c r="G270" s="76" t="n">
        <f aca="false">IF(COUNTIF('Quote Lines'!$P$3:$P$805,$A270&amp;"|"&amp;G$6&amp;"|1")=0,"—",SUMIFS('Quote Lines'!$O$3:$O$805,'Quote Lines'!$P$3:$P$805,$A270&amp;"|"&amp;G$6&amp;"|1")/SUMIFS('Quote Lines'!$L$3:$L$805,'Quote Lines'!$P$3:$P$805,$A270&amp;"|"&amp;G$6&amp;"|1"))</f>
        <v>564.02</v>
      </c>
      <c r="H270" s="76" t="n">
        <f aca="false">IF(COUNTIF('Quote Lines'!$P$3:$P$805,$A270&amp;"|"&amp;H$6&amp;"|1")=0,"—",SUMIFS('Quote Lines'!$O$3:$O$805,'Quote Lines'!$P$3:$P$805,$A270&amp;"|"&amp;H$6&amp;"|1")/SUMIFS('Quote Lines'!$L$3:$L$805,'Quote Lines'!$P$3:$P$805,$A270&amp;"|"&amp;H$6&amp;"|1"))</f>
        <v>507.76</v>
      </c>
      <c r="I270" s="76" t="n">
        <f aca="false">IF(COUNTIF('Quote Lines'!$P$3:$P$805,$A270&amp;"|"&amp;I$6&amp;"|1")=0,"—",SUMIFS('Quote Lines'!$O$3:$O$805,'Quote Lines'!$P$3:$P$805,$A270&amp;"|"&amp;I$6&amp;"|1")/SUMIFS('Quote Lines'!$L$3:$L$805,'Quote Lines'!$P$3:$P$805,$A270&amp;"|"&amp;I$6&amp;"|1"))</f>
        <v>564.013333333333</v>
      </c>
      <c r="J270" s="76" t="n">
        <f aca="false">IF(COUNTIF('Quote Lines'!$P$3:$P$805,$A270&amp;"|"&amp;J$6&amp;"|1")=0,"—",SUMIFS('Quote Lines'!$O$3:$O$805,'Quote Lines'!$P$3:$P$805,$A270&amp;"|"&amp;J$6&amp;"|1")/SUMIFS('Quote Lines'!$L$3:$L$805,'Quote Lines'!$P$3:$P$805,$A270&amp;"|"&amp;J$6&amp;"|1"))</f>
        <v>654.25</v>
      </c>
      <c r="K270" s="14" t="n">
        <f aca="false">IF(ISNUMBER(G270),G270*$F270,"—")</f>
        <v>1128.04</v>
      </c>
      <c r="L270" s="14" t="n">
        <f aca="false">IF(ISNUMBER(H270),H270*$F270,"—")</f>
        <v>1015.52</v>
      </c>
      <c r="M270" s="14" t="n">
        <f aca="false">IF(ISNUMBER(I270),I270*$F270,"—")</f>
        <v>1128.02666666667</v>
      </c>
      <c r="N270" s="14" t="n">
        <f aca="false">IF(ISNUMBER(J270),J270*$F270,"—")</f>
        <v>1308.5</v>
      </c>
      <c r="O270" s="77" t="n">
        <f aca="false">IF($S270=0,"—",MIN(G270:J270))</f>
        <v>507.76</v>
      </c>
      <c r="P270" s="42" t="str">
        <f aca="false">IF($S270=0,"—",IF(COUNTIF(G270:J270,O270)&gt;1,"Tie",INDEX($G$6:$J$6,MATCH(O270,G270:J270,0))))</f>
        <v>HD Fowler</v>
      </c>
      <c r="Q270" s="48" t="n">
        <f aca="false">IF($S270&gt;=2,MAX(G270:J270)/MIN(G270:J270)-1,"—")</f>
        <v>0.288502442098629</v>
      </c>
      <c r="R270" s="78" t="n">
        <f aca="false">IF($S270&gt;=2,(MAX(G270:J270)-MIN(G270:J270))*$F270,"—")</f>
        <v>292.98</v>
      </c>
      <c r="S270" s="18" t="n">
        <f aca="false">COUNT(G270:J270)</f>
        <v>4</v>
      </c>
      <c r="T270" s="79" t="str">
        <f aca="false">IF($S270&lt;=1,IF($S270=1,"Single quote","—"),"Alt spec – verify")</f>
        <v>Alt spec – verify</v>
      </c>
      <c r="U270" s="79" t="str">
        <f aca="false">IF(COUNT(W270:Z270)&lt;2,"",IF(MAX(W270:Z270)=MIN(W270:Z270),"OK","Qty differs"))</f>
        <v>Qty differs</v>
      </c>
      <c r="V270" s="80" t="s">
        <v>689</v>
      </c>
      <c r="W270" s="81" t="n">
        <f aca="false">IF(COUNTIFS('Quote Lines'!$P$3:$P$805,$A270&amp;"|"&amp;G$6&amp;"|1",'Quote Lines'!$M$3:$M$805,"Y")=0,"",SUMIFS('Quote Lines'!$L$3:$L$805,'Quote Lines'!$P$3:$P$805,$A270&amp;"|"&amp;G$6&amp;"|1",'Quote Lines'!$M$3:$M$805,"Y"))</f>
        <v>2</v>
      </c>
      <c r="X270" s="81" t="n">
        <f aca="false">IF(COUNTIFS('Quote Lines'!$P$3:$P$805,$A270&amp;"|"&amp;H$6&amp;"|1",'Quote Lines'!$M$3:$M$805,"Y")=0,"",SUMIFS('Quote Lines'!$L$3:$L$805,'Quote Lines'!$P$3:$P$805,$A270&amp;"|"&amp;H$6&amp;"|1",'Quote Lines'!$M$3:$M$805,"Y"))</f>
        <v>1</v>
      </c>
      <c r="Y270" s="81" t="n">
        <f aca="false">IF(COUNTIFS('Quote Lines'!$P$3:$P$805,$A270&amp;"|"&amp;I$6&amp;"|1",'Quote Lines'!$M$3:$M$805,"Y")=0,"",SUMIFS('Quote Lines'!$L$3:$L$805,'Quote Lines'!$P$3:$P$805,$A270&amp;"|"&amp;I$6&amp;"|1",'Quote Lines'!$M$3:$M$805,"Y"))</f>
        <v>3</v>
      </c>
      <c r="Z270" s="81" t="n">
        <f aca="false">IF(COUNTIFS('Quote Lines'!$P$3:$P$805,$A270&amp;"|"&amp;J$6&amp;"|1",'Quote Lines'!$M$3:$M$805,"Y")=0,"",SUMIFS('Quote Lines'!$L$3:$L$805,'Quote Lines'!$P$3:$P$805,$A270&amp;"|"&amp;J$6&amp;"|1",'Quote Lines'!$M$3:$M$805,"Y"))</f>
        <v>2</v>
      </c>
      <c r="AA270" s="82" t="n">
        <f aca="false">IF(ISNUMBER(G270),1+SUMPRODUCT(ISNUMBER($G270:$J270)*($G270:$J270&lt;G270)),"")</f>
        <v>3</v>
      </c>
      <c r="AB270" s="82" t="n">
        <f aca="false">IF(ISNUMBER(H270),1+SUMPRODUCT(ISNUMBER($G270:$J270)*($G270:$J270&lt;H270)),"")</f>
        <v>1</v>
      </c>
      <c r="AC270" s="82" t="n">
        <f aca="false">IF(ISNUMBER(I270),1+SUMPRODUCT(ISNUMBER($G270:$J270)*($G270:$J270&lt;I270)),"")</f>
        <v>2</v>
      </c>
      <c r="AD270" s="82" t="n">
        <f aca="false">IF(ISNUMBER(J270),1+SUMPRODUCT(ISNUMBER($G270:$J270)*($G270:$J270&lt;J270)),"")</f>
        <v>4</v>
      </c>
      <c r="AE270" s="82" t="n">
        <f aca="false">IF(NOT(ISNUMBER(G270)),0,IF($S270&lt;2,5,IF(AA270=1,1,IF(G270=MAX($G270:$J270),4,IF(AA270=2,2,3)))))</f>
        <v>3</v>
      </c>
      <c r="AF270" s="82" t="n">
        <f aca="false">IF(NOT(ISNUMBER(H270)),0,IF($S270&lt;2,5,IF(AB270=1,1,IF(H270=MAX($G270:$J270),4,IF(AB270=2,2,3)))))</f>
        <v>1</v>
      </c>
      <c r="AG270" s="82" t="n">
        <f aca="false">IF(NOT(ISNUMBER(I270)),0,IF($S270&lt;2,5,IF(AC270=1,1,IF(I270=MAX($G270:$J270),4,IF(AC270=2,2,3)))))</f>
        <v>2</v>
      </c>
      <c r="AH270" s="82" t="n">
        <f aca="false">IF(NOT(ISNUMBER(J270)),0,IF($S270&lt;2,5,IF(AD270=1,1,IF(J270=MAX($G270:$J270),4,IF(AD270=2,2,3)))))</f>
        <v>4</v>
      </c>
      <c r="AI270" s="83" t="n">
        <f aca="false">IF($S270&gt;=2,IF(ISNUMBER(G270),G270*$F270,MIN($G270:$J270)*$F270),0)</f>
        <v>1128.04</v>
      </c>
      <c r="AJ270" s="83" t="n">
        <f aca="false">IF($S270&gt;=2,IF(ISNUMBER(H270),H270*$F270,MIN($G270:$J270)*$F270),0)</f>
        <v>1015.52</v>
      </c>
      <c r="AK270" s="83" t="n">
        <f aca="false">IF($S270&gt;=2,IF(ISNUMBER(I270),I270*$F270,MIN($G270:$J270)*$F270),0)</f>
        <v>1128.02666666667</v>
      </c>
      <c r="AL270" s="83" t="n">
        <f aca="false">IF($S270&gt;=2,IF(ISNUMBER(J270),J270*$F270,MIN($G270:$J270)*$F270),0)</f>
        <v>1308.5</v>
      </c>
      <c r="AM270" s="84" t="n">
        <f aca="false">IF($S270&gt;=2,$R270+ROW()/1000000,"")</f>
        <v>292.98027</v>
      </c>
      <c r="AN270" s="83" t="n">
        <f aca="false">IF($S270&gt;=2,MAX(G270:J270),"")</f>
        <v>654.25</v>
      </c>
      <c r="AO270" s="82" t="str">
        <f aca="false">IF($S270&gt;=2,INDEX($G$6:$J$6,MATCH(MAX(G270:J270),G270:J270,0)),"")</f>
        <v>Scholzen</v>
      </c>
      <c r="AP270" s="83" t="n">
        <f aca="false">IF($S270&gt;=2,MIN(G270:J270)*$F270,0)</f>
        <v>1015.52</v>
      </c>
      <c r="AQ270" s="82" t="str">
        <f aca="false">IF($S270&gt;=2,INDEX($G$6:$J$6,MATCH(MIN(G270:J270),G270:J270,0)),"")</f>
        <v>HD Fowler</v>
      </c>
    </row>
    <row r="271" customFormat="false" ht="15" hidden="false" customHeight="true" outlineLevel="0" collapsed="false">
      <c r="A271" s="70" t="s">
        <v>690</v>
      </c>
      <c r="B271" s="71" t="s">
        <v>682</v>
      </c>
      <c r="C271" s="72" t="s">
        <v>261</v>
      </c>
      <c r="D271" s="73" t="s">
        <v>691</v>
      </c>
      <c r="E271" s="74" t="s">
        <v>133</v>
      </c>
      <c r="F271" s="75" t="n">
        <v>9</v>
      </c>
      <c r="G271" s="76" t="n">
        <f aca="false">IF(COUNTIF('Quote Lines'!$P$3:$P$805,$A271&amp;"|"&amp;G$6&amp;"|1")=0,"—",SUMIFS('Quote Lines'!$O$3:$O$805,'Quote Lines'!$P$3:$P$805,$A271&amp;"|"&amp;G$6&amp;"|1")/SUMIFS('Quote Lines'!$L$3:$L$805,'Quote Lines'!$P$3:$P$805,$A271&amp;"|"&amp;G$6&amp;"|1"))</f>
        <v>129.26</v>
      </c>
      <c r="H271" s="76" t="n">
        <f aca="false">IF(COUNTIF('Quote Lines'!$P$3:$P$805,$A271&amp;"|"&amp;H$6&amp;"|1")=0,"—",SUMIFS('Quote Lines'!$O$3:$O$805,'Quote Lines'!$P$3:$P$805,$A271&amp;"|"&amp;H$6&amp;"|1")/SUMIFS('Quote Lines'!$L$3:$L$805,'Quote Lines'!$P$3:$P$805,$A271&amp;"|"&amp;H$6&amp;"|1"))</f>
        <v>89.87</v>
      </c>
      <c r="I271" s="76" t="n">
        <f aca="false">IF(COUNTIF('Quote Lines'!$P$3:$P$805,$A271&amp;"|"&amp;I$6&amp;"|1")=0,"—",SUMIFS('Quote Lines'!$O$3:$O$805,'Quote Lines'!$P$3:$P$805,$A271&amp;"|"&amp;I$6&amp;"|1")/SUMIFS('Quote Lines'!$L$3:$L$805,'Quote Lines'!$P$3:$P$805,$A271&amp;"|"&amp;I$6&amp;"|1"))</f>
        <v>106.312222222222</v>
      </c>
      <c r="J271" s="76" t="n">
        <f aca="false">IF(COUNTIF('Quote Lines'!$P$3:$P$805,$A271&amp;"|"&amp;J$6&amp;"|1")=0,"—",SUMIFS('Quote Lines'!$O$3:$O$805,'Quote Lines'!$P$3:$P$805,$A271&amp;"|"&amp;J$6&amp;"|1")/SUMIFS('Quote Lines'!$L$3:$L$805,'Quote Lines'!$P$3:$P$805,$A271&amp;"|"&amp;J$6&amp;"|1"))</f>
        <v>101.72</v>
      </c>
      <c r="K271" s="14" t="n">
        <f aca="false">IF(ISNUMBER(G271),G271*$F271,"—")</f>
        <v>1163.34</v>
      </c>
      <c r="L271" s="14" t="n">
        <f aca="false">IF(ISNUMBER(H271),H271*$F271,"—")</f>
        <v>808.83</v>
      </c>
      <c r="M271" s="14" t="n">
        <f aca="false">IF(ISNUMBER(I271),I271*$F271,"—")</f>
        <v>956.81</v>
      </c>
      <c r="N271" s="14" t="n">
        <f aca="false">IF(ISNUMBER(J271),J271*$F271,"—")</f>
        <v>915.48</v>
      </c>
      <c r="O271" s="77" t="n">
        <f aca="false">IF($S271=0,"—",MIN(G271:J271))</f>
        <v>89.87</v>
      </c>
      <c r="P271" s="42" t="str">
        <f aca="false">IF($S271=0,"—",IF(COUNTIF(G271:J271,O271)&gt;1,"Tie",INDEX($G$6:$J$6,MATCH(O271,G271:J271,0))))</f>
        <v>HD Fowler</v>
      </c>
      <c r="Q271" s="48" t="n">
        <f aca="false">IF($S271&gt;=2,MAX(G271:J271)/MIN(G271:J271)-1,"—")</f>
        <v>0.438299766329142</v>
      </c>
      <c r="R271" s="78" t="n">
        <f aca="false">IF($S271&gt;=2,(MAX(G271:J271)-MIN(G271:J271))*$F271,"—")</f>
        <v>354.51</v>
      </c>
      <c r="S271" s="18" t="n">
        <f aca="false">COUNT(G271:J271)</f>
        <v>4</v>
      </c>
      <c r="T271" s="79" t="str">
        <f aca="false">IF($S271&lt;=1,IF($S271=1,"Single quote","—"),"Like-for-like")</f>
        <v>Like-for-like</v>
      </c>
      <c r="U271" s="79" t="str">
        <f aca="false">IF(COUNT(W271:Z271)&lt;2,"",IF(MAX(W271:Z271)=MIN(W271:Z271),"OK","Qty differs"))</f>
        <v>Qty differs</v>
      </c>
      <c r="V271" s="80"/>
      <c r="W271" s="81" t="n">
        <f aca="false">IF(COUNTIFS('Quote Lines'!$P$3:$P$805,$A271&amp;"|"&amp;G$6&amp;"|1",'Quote Lines'!$M$3:$M$805,"Y")=0,"",SUMIFS('Quote Lines'!$L$3:$L$805,'Quote Lines'!$P$3:$P$805,$A271&amp;"|"&amp;G$6&amp;"|1",'Quote Lines'!$M$3:$M$805,"Y"))</f>
        <v>10</v>
      </c>
      <c r="X271" s="81" t="n">
        <f aca="false">IF(COUNTIFS('Quote Lines'!$P$3:$P$805,$A271&amp;"|"&amp;H$6&amp;"|1",'Quote Lines'!$M$3:$M$805,"Y")=0,"",SUMIFS('Quote Lines'!$L$3:$L$805,'Quote Lines'!$P$3:$P$805,$A271&amp;"|"&amp;H$6&amp;"|1",'Quote Lines'!$M$3:$M$805,"Y"))</f>
        <v>9</v>
      </c>
      <c r="Y271" s="81" t="n">
        <f aca="false">IF(COUNTIFS('Quote Lines'!$P$3:$P$805,$A271&amp;"|"&amp;I$6&amp;"|1",'Quote Lines'!$M$3:$M$805,"Y")=0,"",SUMIFS('Quote Lines'!$L$3:$L$805,'Quote Lines'!$P$3:$P$805,$A271&amp;"|"&amp;I$6&amp;"|1",'Quote Lines'!$M$3:$M$805,"Y"))</f>
        <v>9</v>
      </c>
      <c r="Z271" s="81" t="n">
        <f aca="false">IF(COUNTIFS('Quote Lines'!$P$3:$P$805,$A271&amp;"|"&amp;J$6&amp;"|1",'Quote Lines'!$M$3:$M$805,"Y")=0,"",SUMIFS('Quote Lines'!$L$3:$L$805,'Quote Lines'!$P$3:$P$805,$A271&amp;"|"&amp;J$6&amp;"|1",'Quote Lines'!$M$3:$M$805,"Y"))</f>
        <v>9</v>
      </c>
      <c r="AA271" s="82" t="n">
        <f aca="false">IF(ISNUMBER(G271),1+SUMPRODUCT(ISNUMBER($G271:$J271)*($G271:$J271&lt;G271)),"")</f>
        <v>4</v>
      </c>
      <c r="AB271" s="82" t="n">
        <f aca="false">IF(ISNUMBER(H271),1+SUMPRODUCT(ISNUMBER($G271:$J271)*($G271:$J271&lt;H271)),"")</f>
        <v>1</v>
      </c>
      <c r="AC271" s="82" t="n">
        <f aca="false">IF(ISNUMBER(I271),1+SUMPRODUCT(ISNUMBER($G271:$J271)*($G271:$J271&lt;I271)),"")</f>
        <v>3</v>
      </c>
      <c r="AD271" s="82" t="n">
        <f aca="false">IF(ISNUMBER(J271),1+SUMPRODUCT(ISNUMBER($G271:$J271)*($G271:$J271&lt;J271)),"")</f>
        <v>2</v>
      </c>
      <c r="AE271" s="82" t="n">
        <f aca="false">IF(NOT(ISNUMBER(G271)),0,IF($S271&lt;2,5,IF(AA271=1,1,IF(G271=MAX($G271:$J271),4,IF(AA271=2,2,3)))))</f>
        <v>4</v>
      </c>
      <c r="AF271" s="82" t="n">
        <f aca="false">IF(NOT(ISNUMBER(H271)),0,IF($S271&lt;2,5,IF(AB271=1,1,IF(H271=MAX($G271:$J271),4,IF(AB271=2,2,3)))))</f>
        <v>1</v>
      </c>
      <c r="AG271" s="82" t="n">
        <f aca="false">IF(NOT(ISNUMBER(I271)),0,IF($S271&lt;2,5,IF(AC271=1,1,IF(I271=MAX($G271:$J271),4,IF(AC271=2,2,3)))))</f>
        <v>3</v>
      </c>
      <c r="AH271" s="82" t="n">
        <f aca="false">IF(NOT(ISNUMBER(J271)),0,IF($S271&lt;2,5,IF(AD271=1,1,IF(J271=MAX($G271:$J271),4,IF(AD271=2,2,3)))))</f>
        <v>2</v>
      </c>
      <c r="AI271" s="83" t="n">
        <f aca="false">IF($S271&gt;=2,IF(ISNUMBER(G271),G271*$F271,MIN($G271:$J271)*$F271),0)</f>
        <v>1163.34</v>
      </c>
      <c r="AJ271" s="83" t="n">
        <f aca="false">IF($S271&gt;=2,IF(ISNUMBER(H271),H271*$F271,MIN($G271:$J271)*$F271),0)</f>
        <v>808.83</v>
      </c>
      <c r="AK271" s="83" t="n">
        <f aca="false">IF($S271&gt;=2,IF(ISNUMBER(I271),I271*$F271,MIN($G271:$J271)*$F271),0)</f>
        <v>956.81</v>
      </c>
      <c r="AL271" s="83" t="n">
        <f aca="false">IF($S271&gt;=2,IF(ISNUMBER(J271),J271*$F271,MIN($G271:$J271)*$F271),0)</f>
        <v>915.48</v>
      </c>
      <c r="AM271" s="84" t="n">
        <f aca="false">IF($S271&gt;=2,$R271+ROW()/1000000,"")</f>
        <v>354.510271</v>
      </c>
      <c r="AN271" s="83" t="n">
        <f aca="false">IF($S271&gt;=2,MAX(G271:J271),"")</f>
        <v>129.26</v>
      </c>
      <c r="AO271" s="82" t="str">
        <f aca="false">IF($S271&gt;=2,INDEX($G$6:$J$6,MATCH(MAX(G271:J271),G271:J271,0)),"")</f>
        <v>Ferguson</v>
      </c>
      <c r="AP271" s="83" t="n">
        <f aca="false">IF($S271&gt;=2,MIN(G271:J271)*$F271,0)</f>
        <v>808.83</v>
      </c>
      <c r="AQ271" s="82" t="str">
        <f aca="false">IF($S271&gt;=2,INDEX($G$6:$J$6,MATCH(MIN(G271:J271),G271:J271,0)),"")</f>
        <v>HD Fowler</v>
      </c>
    </row>
    <row r="272" customFormat="false" ht="15" hidden="false" customHeight="true" outlineLevel="0" collapsed="false">
      <c r="A272" s="70" t="s">
        <v>692</v>
      </c>
      <c r="B272" s="71" t="s">
        <v>682</v>
      </c>
      <c r="C272" s="72" t="s">
        <v>261</v>
      </c>
      <c r="D272" s="73" t="s">
        <v>429</v>
      </c>
      <c r="E272" s="74" t="s">
        <v>133</v>
      </c>
      <c r="F272" s="75" t="n">
        <v>18</v>
      </c>
      <c r="G272" s="76" t="n">
        <f aca="false">IF(COUNTIF('Quote Lines'!$P$3:$P$805,$A272&amp;"|"&amp;G$6&amp;"|1")=0,"—",SUMIFS('Quote Lines'!$O$3:$O$805,'Quote Lines'!$P$3:$P$805,$A272&amp;"|"&amp;G$6&amp;"|1")/SUMIFS('Quote Lines'!$L$3:$L$805,'Quote Lines'!$P$3:$P$805,$A272&amp;"|"&amp;G$6&amp;"|1"))</f>
        <v>30.84</v>
      </c>
      <c r="H272" s="76" t="n">
        <f aca="false">IF(COUNTIF('Quote Lines'!$P$3:$P$805,$A272&amp;"|"&amp;H$6&amp;"|1")=0,"—",SUMIFS('Quote Lines'!$O$3:$O$805,'Quote Lines'!$P$3:$P$805,$A272&amp;"|"&amp;H$6&amp;"|1")/SUMIFS('Quote Lines'!$L$3:$L$805,'Quote Lines'!$P$3:$P$805,$A272&amp;"|"&amp;H$6&amp;"|1"))</f>
        <v>19.98</v>
      </c>
      <c r="I272" s="76" t="n">
        <f aca="false">IF(COUNTIF('Quote Lines'!$P$3:$P$805,$A272&amp;"|"&amp;I$6&amp;"|1")=0,"—",SUMIFS('Quote Lines'!$O$3:$O$805,'Quote Lines'!$P$3:$P$805,$A272&amp;"|"&amp;I$6&amp;"|1")/SUMIFS('Quote Lines'!$L$3:$L$805,'Quote Lines'!$P$3:$P$805,$A272&amp;"|"&amp;I$6&amp;"|1"))</f>
        <v>24.2494444444444</v>
      </c>
      <c r="J272" s="76" t="n">
        <f aca="false">IF(COUNTIF('Quote Lines'!$P$3:$P$805,$A272&amp;"|"&amp;J$6&amp;"|1")=0,"—",SUMIFS('Quote Lines'!$O$3:$O$805,'Quote Lines'!$P$3:$P$805,$A272&amp;"|"&amp;J$6&amp;"|1")/SUMIFS('Quote Lines'!$L$3:$L$805,'Quote Lines'!$P$3:$P$805,$A272&amp;"|"&amp;J$6&amp;"|1"))</f>
        <v>20.5</v>
      </c>
      <c r="K272" s="14" t="n">
        <f aca="false">IF(ISNUMBER(G272),G272*$F272,"—")</f>
        <v>555.12</v>
      </c>
      <c r="L272" s="14" t="n">
        <f aca="false">IF(ISNUMBER(H272),H272*$F272,"—")</f>
        <v>359.64</v>
      </c>
      <c r="M272" s="14" t="n">
        <f aca="false">IF(ISNUMBER(I272),I272*$F272,"—")</f>
        <v>436.49</v>
      </c>
      <c r="N272" s="14" t="n">
        <f aca="false">IF(ISNUMBER(J272),J272*$F272,"—")</f>
        <v>369</v>
      </c>
      <c r="O272" s="77" t="n">
        <f aca="false">IF($S272=0,"—",MIN(G272:J272))</f>
        <v>19.98</v>
      </c>
      <c r="P272" s="42" t="str">
        <f aca="false">IF($S272=0,"—",IF(COUNTIF(G272:J272,O272)&gt;1,"Tie",INDEX($G$6:$J$6,MATCH(O272,G272:J272,0))))</f>
        <v>HD Fowler</v>
      </c>
      <c r="Q272" s="48" t="n">
        <f aca="false">IF($S272&gt;=2,MAX(G272:J272)/MIN(G272:J272)-1,"—")</f>
        <v>0.543543543543544</v>
      </c>
      <c r="R272" s="78" t="n">
        <f aca="false">IF($S272&gt;=2,(MAX(G272:J272)-MIN(G272:J272))*$F272,"—")</f>
        <v>195.48</v>
      </c>
      <c r="S272" s="18" t="n">
        <f aca="false">COUNT(G272:J272)</f>
        <v>4</v>
      </c>
      <c r="T272" s="79" t="str">
        <f aca="false">IF($S272&lt;=1,IF($S272=1,"Single quote","—"),"Alt spec – verify")</f>
        <v>Alt spec – verify</v>
      </c>
      <c r="U272" s="79" t="str">
        <f aca="false">IF(COUNT(W272:Z272)&lt;2,"",IF(MAX(W272:Z272)=MIN(W272:Z272),"OK","Qty differs"))</f>
        <v>Qty differs</v>
      </c>
      <c r="V272" s="80" t="s">
        <v>693</v>
      </c>
      <c r="W272" s="81" t="n">
        <f aca="false">IF(COUNTIFS('Quote Lines'!$P$3:$P$805,$A272&amp;"|"&amp;G$6&amp;"|1",'Quote Lines'!$M$3:$M$805,"Y")=0,"",SUMIFS('Quote Lines'!$L$3:$L$805,'Quote Lines'!$P$3:$P$805,$A272&amp;"|"&amp;G$6&amp;"|1",'Quote Lines'!$M$3:$M$805,"Y"))</f>
        <v>19</v>
      </c>
      <c r="X272" s="81" t="n">
        <f aca="false">IF(COUNTIFS('Quote Lines'!$P$3:$P$805,$A272&amp;"|"&amp;H$6&amp;"|1",'Quote Lines'!$M$3:$M$805,"Y")=0,"",SUMIFS('Quote Lines'!$L$3:$L$805,'Quote Lines'!$P$3:$P$805,$A272&amp;"|"&amp;H$6&amp;"|1",'Quote Lines'!$M$3:$M$805,"Y"))</f>
        <v>18</v>
      </c>
      <c r="Y272" s="81" t="n">
        <f aca="false">IF(COUNTIFS('Quote Lines'!$P$3:$P$805,$A272&amp;"|"&amp;I$6&amp;"|1",'Quote Lines'!$M$3:$M$805,"Y")=0,"",SUMIFS('Quote Lines'!$L$3:$L$805,'Quote Lines'!$P$3:$P$805,$A272&amp;"|"&amp;I$6&amp;"|1",'Quote Lines'!$M$3:$M$805,"Y"))</f>
        <v>18</v>
      </c>
      <c r="Z272" s="81" t="n">
        <f aca="false">IF(COUNTIFS('Quote Lines'!$P$3:$P$805,$A272&amp;"|"&amp;J$6&amp;"|1",'Quote Lines'!$M$3:$M$805,"Y")=0,"",SUMIFS('Quote Lines'!$L$3:$L$805,'Quote Lines'!$P$3:$P$805,$A272&amp;"|"&amp;J$6&amp;"|1",'Quote Lines'!$M$3:$M$805,"Y"))</f>
        <v>18</v>
      </c>
      <c r="AA272" s="82" t="n">
        <f aca="false">IF(ISNUMBER(G272),1+SUMPRODUCT(ISNUMBER($G272:$J272)*($G272:$J272&lt;G272)),"")</f>
        <v>4</v>
      </c>
      <c r="AB272" s="82" t="n">
        <f aca="false">IF(ISNUMBER(H272),1+SUMPRODUCT(ISNUMBER($G272:$J272)*($G272:$J272&lt;H272)),"")</f>
        <v>1</v>
      </c>
      <c r="AC272" s="82" t="n">
        <f aca="false">IF(ISNUMBER(I272),1+SUMPRODUCT(ISNUMBER($G272:$J272)*($G272:$J272&lt;I272)),"")</f>
        <v>3</v>
      </c>
      <c r="AD272" s="82" t="n">
        <f aca="false">IF(ISNUMBER(J272),1+SUMPRODUCT(ISNUMBER($G272:$J272)*($G272:$J272&lt;J272)),"")</f>
        <v>2</v>
      </c>
      <c r="AE272" s="82" t="n">
        <f aca="false">IF(NOT(ISNUMBER(G272)),0,IF($S272&lt;2,5,IF(AA272=1,1,IF(G272=MAX($G272:$J272),4,IF(AA272=2,2,3)))))</f>
        <v>4</v>
      </c>
      <c r="AF272" s="82" t="n">
        <f aca="false">IF(NOT(ISNUMBER(H272)),0,IF($S272&lt;2,5,IF(AB272=1,1,IF(H272=MAX($G272:$J272),4,IF(AB272=2,2,3)))))</f>
        <v>1</v>
      </c>
      <c r="AG272" s="82" t="n">
        <f aca="false">IF(NOT(ISNUMBER(I272)),0,IF($S272&lt;2,5,IF(AC272=1,1,IF(I272=MAX($G272:$J272),4,IF(AC272=2,2,3)))))</f>
        <v>3</v>
      </c>
      <c r="AH272" s="82" t="n">
        <f aca="false">IF(NOT(ISNUMBER(J272)),0,IF($S272&lt;2,5,IF(AD272=1,1,IF(J272=MAX($G272:$J272),4,IF(AD272=2,2,3)))))</f>
        <v>2</v>
      </c>
      <c r="AI272" s="83" t="n">
        <f aca="false">IF($S272&gt;=2,IF(ISNUMBER(G272),G272*$F272,MIN($G272:$J272)*$F272),0)</f>
        <v>555.12</v>
      </c>
      <c r="AJ272" s="83" t="n">
        <f aca="false">IF($S272&gt;=2,IF(ISNUMBER(H272),H272*$F272,MIN($G272:$J272)*$F272),0)</f>
        <v>359.64</v>
      </c>
      <c r="AK272" s="83" t="n">
        <f aca="false">IF($S272&gt;=2,IF(ISNUMBER(I272),I272*$F272,MIN($G272:$J272)*$F272),0)</f>
        <v>436.49</v>
      </c>
      <c r="AL272" s="83" t="n">
        <f aca="false">IF($S272&gt;=2,IF(ISNUMBER(J272),J272*$F272,MIN($G272:$J272)*$F272),0)</f>
        <v>369</v>
      </c>
      <c r="AM272" s="84" t="n">
        <f aca="false">IF($S272&gt;=2,$R272+ROW()/1000000,"")</f>
        <v>195.480272</v>
      </c>
      <c r="AN272" s="83" t="n">
        <f aca="false">IF($S272&gt;=2,MAX(G272:J272),"")</f>
        <v>30.84</v>
      </c>
      <c r="AO272" s="82" t="str">
        <f aca="false">IF($S272&gt;=2,INDEX($G$6:$J$6,MATCH(MAX(G272:J272),G272:J272,0)),"")</f>
        <v>Ferguson</v>
      </c>
      <c r="AP272" s="83" t="n">
        <f aca="false">IF($S272&gt;=2,MIN(G272:J272)*$F272,0)</f>
        <v>359.64</v>
      </c>
      <c r="AQ272" s="82" t="str">
        <f aca="false">IF($S272&gt;=2,INDEX($G$6:$J$6,MATCH(MIN(G272:J272),G272:J272,0)),"")</f>
        <v>HD Fowler</v>
      </c>
    </row>
    <row r="273" customFormat="false" ht="15" hidden="false" customHeight="true" outlineLevel="0" collapsed="false">
      <c r="A273" s="70" t="s">
        <v>694</v>
      </c>
      <c r="B273" s="71" t="s">
        <v>682</v>
      </c>
      <c r="C273" s="72" t="s">
        <v>261</v>
      </c>
      <c r="D273" s="73" t="s">
        <v>695</v>
      </c>
      <c r="E273" s="74" t="s">
        <v>133</v>
      </c>
      <c r="F273" s="75" t="n">
        <v>18</v>
      </c>
      <c r="G273" s="76" t="n">
        <f aca="false">IF(COUNTIF('Quote Lines'!$P$3:$P$805,$A273&amp;"|"&amp;G$6&amp;"|1")=0,"—",SUMIFS('Quote Lines'!$O$3:$O$805,'Quote Lines'!$P$3:$P$805,$A273&amp;"|"&amp;G$6&amp;"|1")/SUMIFS('Quote Lines'!$L$3:$L$805,'Quote Lines'!$P$3:$P$805,$A273&amp;"|"&amp;G$6&amp;"|1"))</f>
        <v>22.77</v>
      </c>
      <c r="H273" s="76" t="n">
        <f aca="false">IF(COUNTIF('Quote Lines'!$P$3:$P$805,$A273&amp;"|"&amp;H$6&amp;"|1")=0,"—",SUMIFS('Quote Lines'!$O$3:$O$805,'Quote Lines'!$P$3:$P$805,$A273&amp;"|"&amp;H$6&amp;"|1")/SUMIFS('Quote Lines'!$L$3:$L$805,'Quote Lines'!$P$3:$P$805,$A273&amp;"|"&amp;H$6&amp;"|1"))</f>
        <v>14.71</v>
      </c>
      <c r="I273" s="76" t="n">
        <f aca="false">IF(COUNTIF('Quote Lines'!$P$3:$P$805,$A273&amp;"|"&amp;I$6&amp;"|1")=0,"—",SUMIFS('Quote Lines'!$O$3:$O$805,'Quote Lines'!$P$3:$P$805,$A273&amp;"|"&amp;I$6&amp;"|1")/SUMIFS('Quote Lines'!$L$3:$L$805,'Quote Lines'!$P$3:$P$805,$A273&amp;"|"&amp;I$6&amp;"|1"))</f>
        <v>17.1077777777778</v>
      </c>
      <c r="J273" s="76" t="n">
        <f aca="false">IF(COUNTIF('Quote Lines'!$P$3:$P$805,$A273&amp;"|"&amp;J$6&amp;"|1")=0,"—",SUMIFS('Quote Lines'!$O$3:$O$805,'Quote Lines'!$P$3:$P$805,$A273&amp;"|"&amp;J$6&amp;"|1")/SUMIFS('Quote Lines'!$L$3:$L$805,'Quote Lines'!$P$3:$P$805,$A273&amp;"|"&amp;J$6&amp;"|1"))</f>
        <v>20.67</v>
      </c>
      <c r="K273" s="14" t="n">
        <f aca="false">IF(ISNUMBER(G273),G273*$F273,"—")</f>
        <v>409.86</v>
      </c>
      <c r="L273" s="14" t="n">
        <f aca="false">IF(ISNUMBER(H273),H273*$F273,"—")</f>
        <v>264.78</v>
      </c>
      <c r="M273" s="14" t="n">
        <f aca="false">IF(ISNUMBER(I273),I273*$F273,"—")</f>
        <v>307.94</v>
      </c>
      <c r="N273" s="14" t="n">
        <f aca="false">IF(ISNUMBER(J273),J273*$F273,"—")</f>
        <v>372.06</v>
      </c>
      <c r="O273" s="77" t="n">
        <f aca="false">IF($S273=0,"—",MIN(G273:J273))</f>
        <v>14.71</v>
      </c>
      <c r="P273" s="42" t="str">
        <f aca="false">IF($S273=0,"—",IF(COUNTIF(G273:J273,O273)&gt;1,"Tie",INDEX($G$6:$J$6,MATCH(O273,G273:J273,0))))</f>
        <v>HD Fowler</v>
      </c>
      <c r="Q273" s="48" t="n">
        <f aca="false">IF($S273&gt;=2,MAX(G273:J273)/MIN(G273:J273)-1,"—")</f>
        <v>0.547926580557444</v>
      </c>
      <c r="R273" s="78" t="n">
        <f aca="false">IF($S273&gt;=2,(MAX(G273:J273)-MIN(G273:J273))*$F273,"—")</f>
        <v>145.08</v>
      </c>
      <c r="S273" s="18" t="n">
        <f aca="false">COUNT(G273:J273)</f>
        <v>4</v>
      </c>
      <c r="T273" s="79" t="str">
        <f aca="false">IF($S273&lt;=1,IF($S273=1,"Single quote","—"),"Like-for-like")</f>
        <v>Like-for-like</v>
      </c>
      <c r="U273" s="79" t="str">
        <f aca="false">IF(COUNT(W273:Z273)&lt;2,"",IF(MAX(W273:Z273)=MIN(W273:Z273),"OK","Qty differs"))</f>
        <v>Qty differs</v>
      </c>
      <c r="V273" s="80"/>
      <c r="W273" s="81" t="n">
        <f aca="false">IF(COUNTIFS('Quote Lines'!$P$3:$P$805,$A273&amp;"|"&amp;G$6&amp;"|1",'Quote Lines'!$M$3:$M$805,"Y")=0,"",SUMIFS('Quote Lines'!$L$3:$L$805,'Quote Lines'!$P$3:$P$805,$A273&amp;"|"&amp;G$6&amp;"|1",'Quote Lines'!$M$3:$M$805,"Y"))</f>
        <v>20</v>
      </c>
      <c r="X273" s="81" t="n">
        <f aca="false">IF(COUNTIFS('Quote Lines'!$P$3:$P$805,$A273&amp;"|"&amp;H$6&amp;"|1",'Quote Lines'!$M$3:$M$805,"Y")=0,"",SUMIFS('Quote Lines'!$L$3:$L$805,'Quote Lines'!$P$3:$P$805,$A273&amp;"|"&amp;H$6&amp;"|1",'Quote Lines'!$M$3:$M$805,"Y"))</f>
        <v>9</v>
      </c>
      <c r="Y273" s="81" t="n">
        <f aca="false">IF(COUNTIFS('Quote Lines'!$P$3:$P$805,$A273&amp;"|"&amp;I$6&amp;"|1",'Quote Lines'!$M$3:$M$805,"Y")=0,"",SUMIFS('Quote Lines'!$L$3:$L$805,'Quote Lines'!$P$3:$P$805,$A273&amp;"|"&amp;I$6&amp;"|1",'Quote Lines'!$M$3:$M$805,"Y"))</f>
        <v>18</v>
      </c>
      <c r="Z273" s="81" t="n">
        <f aca="false">IF(COUNTIFS('Quote Lines'!$P$3:$P$805,$A273&amp;"|"&amp;J$6&amp;"|1",'Quote Lines'!$M$3:$M$805,"Y")=0,"",SUMIFS('Quote Lines'!$L$3:$L$805,'Quote Lines'!$P$3:$P$805,$A273&amp;"|"&amp;J$6&amp;"|1",'Quote Lines'!$M$3:$M$805,"Y"))</f>
        <v>2</v>
      </c>
      <c r="AA273" s="82" t="n">
        <f aca="false">IF(ISNUMBER(G273),1+SUMPRODUCT(ISNUMBER($G273:$J273)*($G273:$J273&lt;G273)),"")</f>
        <v>4</v>
      </c>
      <c r="AB273" s="82" t="n">
        <f aca="false">IF(ISNUMBER(H273),1+SUMPRODUCT(ISNUMBER($G273:$J273)*($G273:$J273&lt;H273)),"")</f>
        <v>1</v>
      </c>
      <c r="AC273" s="82" t="n">
        <f aca="false">IF(ISNUMBER(I273),1+SUMPRODUCT(ISNUMBER($G273:$J273)*($G273:$J273&lt;I273)),"")</f>
        <v>2</v>
      </c>
      <c r="AD273" s="82" t="n">
        <f aca="false">IF(ISNUMBER(J273),1+SUMPRODUCT(ISNUMBER($G273:$J273)*($G273:$J273&lt;J273)),"")</f>
        <v>3</v>
      </c>
      <c r="AE273" s="82" t="n">
        <f aca="false">IF(NOT(ISNUMBER(G273)),0,IF($S273&lt;2,5,IF(AA273=1,1,IF(G273=MAX($G273:$J273),4,IF(AA273=2,2,3)))))</f>
        <v>4</v>
      </c>
      <c r="AF273" s="82" t="n">
        <f aca="false">IF(NOT(ISNUMBER(H273)),0,IF($S273&lt;2,5,IF(AB273=1,1,IF(H273=MAX($G273:$J273),4,IF(AB273=2,2,3)))))</f>
        <v>1</v>
      </c>
      <c r="AG273" s="82" t="n">
        <f aca="false">IF(NOT(ISNUMBER(I273)),0,IF($S273&lt;2,5,IF(AC273=1,1,IF(I273=MAX($G273:$J273),4,IF(AC273=2,2,3)))))</f>
        <v>2</v>
      </c>
      <c r="AH273" s="82" t="n">
        <f aca="false">IF(NOT(ISNUMBER(J273)),0,IF($S273&lt;2,5,IF(AD273=1,1,IF(J273=MAX($G273:$J273),4,IF(AD273=2,2,3)))))</f>
        <v>3</v>
      </c>
      <c r="AI273" s="83" t="n">
        <f aca="false">IF($S273&gt;=2,IF(ISNUMBER(G273),G273*$F273,MIN($G273:$J273)*$F273),0)</f>
        <v>409.86</v>
      </c>
      <c r="AJ273" s="83" t="n">
        <f aca="false">IF($S273&gt;=2,IF(ISNUMBER(H273),H273*$F273,MIN($G273:$J273)*$F273),0)</f>
        <v>264.78</v>
      </c>
      <c r="AK273" s="83" t="n">
        <f aca="false">IF($S273&gt;=2,IF(ISNUMBER(I273),I273*$F273,MIN($G273:$J273)*$F273),0)</f>
        <v>307.94</v>
      </c>
      <c r="AL273" s="83" t="n">
        <f aca="false">IF($S273&gt;=2,IF(ISNUMBER(J273),J273*$F273,MIN($G273:$J273)*$F273),0)</f>
        <v>372.06</v>
      </c>
      <c r="AM273" s="84" t="n">
        <f aca="false">IF($S273&gt;=2,$R273+ROW()/1000000,"")</f>
        <v>145.080273</v>
      </c>
      <c r="AN273" s="83" t="n">
        <f aca="false">IF($S273&gt;=2,MAX(G273:J273),"")</f>
        <v>22.77</v>
      </c>
      <c r="AO273" s="82" t="str">
        <f aca="false">IF($S273&gt;=2,INDEX($G$6:$J$6,MATCH(MAX(G273:J273),G273:J273,0)),"")</f>
        <v>Ferguson</v>
      </c>
      <c r="AP273" s="83" t="n">
        <f aca="false">IF($S273&gt;=2,MIN(G273:J273)*$F273,0)</f>
        <v>264.78</v>
      </c>
      <c r="AQ273" s="82" t="str">
        <f aca="false">IF($S273&gt;=2,INDEX($G$6:$J$6,MATCH(MIN(G273:J273),G273:J273,0)),"")</f>
        <v>HD Fowler</v>
      </c>
    </row>
    <row r="274" customFormat="false" ht="15" hidden="false" customHeight="true" outlineLevel="0" collapsed="false">
      <c r="A274" s="70" t="s">
        <v>696</v>
      </c>
      <c r="B274" s="71" t="s">
        <v>682</v>
      </c>
      <c r="C274" s="72" t="s">
        <v>261</v>
      </c>
      <c r="D274" s="73" t="s">
        <v>697</v>
      </c>
      <c r="E274" s="74" t="s">
        <v>133</v>
      </c>
      <c r="F274" s="75" t="n">
        <v>18</v>
      </c>
      <c r="G274" s="76" t="n">
        <f aca="false">IF(COUNTIF('Quote Lines'!$P$3:$P$805,$A274&amp;"|"&amp;G$6&amp;"|1")=0,"—",SUMIFS('Quote Lines'!$O$3:$O$805,'Quote Lines'!$P$3:$P$805,$A274&amp;"|"&amp;G$6&amp;"|1")/SUMIFS('Quote Lines'!$L$3:$L$805,'Quote Lines'!$P$3:$P$805,$A274&amp;"|"&amp;G$6&amp;"|1"))</f>
        <v>8.29</v>
      </c>
      <c r="H274" s="76" t="n">
        <f aca="false">IF(COUNTIF('Quote Lines'!$P$3:$P$805,$A274&amp;"|"&amp;H$6&amp;"|1")=0,"—",SUMIFS('Quote Lines'!$O$3:$O$805,'Quote Lines'!$P$3:$P$805,$A274&amp;"|"&amp;H$6&amp;"|1")/SUMIFS('Quote Lines'!$L$3:$L$805,'Quote Lines'!$P$3:$P$805,$A274&amp;"|"&amp;H$6&amp;"|1"))</f>
        <v>4.44</v>
      </c>
      <c r="I274" s="76" t="n">
        <f aca="false">IF(COUNTIF('Quote Lines'!$P$3:$P$805,$A274&amp;"|"&amp;I$6&amp;"|1")=0,"—",SUMIFS('Quote Lines'!$O$3:$O$805,'Quote Lines'!$P$3:$P$805,$A274&amp;"|"&amp;I$6&amp;"|1")/SUMIFS('Quote Lines'!$L$3:$L$805,'Quote Lines'!$P$3:$P$805,$A274&amp;"|"&amp;I$6&amp;"|1"))</f>
        <v>6.22111111111111</v>
      </c>
      <c r="J274" s="76" t="n">
        <f aca="false">IF(COUNTIF('Quote Lines'!$P$3:$P$805,$A274&amp;"|"&amp;J$6&amp;"|1")=0,"—",SUMIFS('Quote Lines'!$O$3:$O$805,'Quote Lines'!$P$3:$P$805,$A274&amp;"|"&amp;J$6&amp;"|1")/SUMIFS('Quote Lines'!$L$3:$L$805,'Quote Lines'!$P$3:$P$805,$A274&amp;"|"&amp;J$6&amp;"|1"))</f>
        <v>7.52</v>
      </c>
      <c r="K274" s="14" t="n">
        <f aca="false">IF(ISNUMBER(G274),G274*$F274,"—")</f>
        <v>149.22</v>
      </c>
      <c r="L274" s="14" t="n">
        <f aca="false">IF(ISNUMBER(H274),H274*$F274,"—")</f>
        <v>79.92</v>
      </c>
      <c r="M274" s="14" t="n">
        <f aca="false">IF(ISNUMBER(I274),I274*$F274,"—")</f>
        <v>111.98</v>
      </c>
      <c r="N274" s="14" t="n">
        <f aca="false">IF(ISNUMBER(J274),J274*$F274,"—")</f>
        <v>135.36</v>
      </c>
      <c r="O274" s="77" t="n">
        <f aca="false">IF($S274=0,"—",MIN(G274:J274))</f>
        <v>4.44</v>
      </c>
      <c r="P274" s="42" t="str">
        <f aca="false">IF($S274=0,"—",IF(COUNTIF(G274:J274,O274)&gt;1,"Tie",INDEX($G$6:$J$6,MATCH(O274,G274:J274,0))))</f>
        <v>HD Fowler</v>
      </c>
      <c r="Q274" s="48" t="n">
        <f aca="false">IF($S274&gt;=2,MAX(G274:J274)/MIN(G274:J274)-1,"—")</f>
        <v>0.867117117117117</v>
      </c>
      <c r="R274" s="78" t="n">
        <f aca="false">IF($S274&gt;=2,(MAX(G274:J274)-MIN(G274:J274))*$F274,"—")</f>
        <v>69.3</v>
      </c>
      <c r="S274" s="18" t="n">
        <f aca="false">COUNT(G274:J274)</f>
        <v>4</v>
      </c>
      <c r="T274" s="79" t="str">
        <f aca="false">IF($S274&lt;=1,IF($S274=1,"Single quote","—"),"Like-for-like")</f>
        <v>Like-for-like</v>
      </c>
      <c r="U274" s="79" t="str">
        <f aca="false">IF(COUNT(W274:Z274)&lt;2,"",IF(MAX(W274:Z274)=MIN(W274:Z274),"OK","Qty differs"))</f>
        <v>Qty differs</v>
      </c>
      <c r="V274" s="80"/>
      <c r="W274" s="81" t="n">
        <f aca="false">IF(COUNTIFS('Quote Lines'!$P$3:$P$805,$A274&amp;"|"&amp;G$6&amp;"|1",'Quote Lines'!$M$3:$M$805,"Y")=0,"",SUMIFS('Quote Lines'!$L$3:$L$805,'Quote Lines'!$P$3:$P$805,$A274&amp;"|"&amp;G$6&amp;"|1",'Quote Lines'!$M$3:$M$805,"Y"))</f>
        <v>10</v>
      </c>
      <c r="X274" s="81" t="n">
        <f aca="false">IF(COUNTIFS('Quote Lines'!$P$3:$P$805,$A274&amp;"|"&amp;H$6&amp;"|1",'Quote Lines'!$M$3:$M$805,"Y")=0,"",SUMIFS('Quote Lines'!$L$3:$L$805,'Quote Lines'!$P$3:$P$805,$A274&amp;"|"&amp;H$6&amp;"|1",'Quote Lines'!$M$3:$M$805,"Y"))</f>
        <v>36</v>
      </c>
      <c r="Y274" s="81" t="n">
        <f aca="false">IF(COUNTIFS('Quote Lines'!$P$3:$P$805,$A274&amp;"|"&amp;I$6&amp;"|1",'Quote Lines'!$M$3:$M$805,"Y")=0,"",SUMIFS('Quote Lines'!$L$3:$L$805,'Quote Lines'!$P$3:$P$805,$A274&amp;"|"&amp;I$6&amp;"|1",'Quote Lines'!$M$3:$M$805,"Y"))</f>
        <v>9</v>
      </c>
      <c r="Z274" s="81" t="n">
        <f aca="false">IF(COUNTIFS('Quote Lines'!$P$3:$P$805,$A274&amp;"|"&amp;J$6&amp;"|1",'Quote Lines'!$M$3:$M$805,"Y")=0,"",SUMIFS('Quote Lines'!$L$3:$L$805,'Quote Lines'!$P$3:$P$805,$A274&amp;"|"&amp;J$6&amp;"|1",'Quote Lines'!$M$3:$M$805,"Y"))</f>
        <v>18</v>
      </c>
      <c r="AA274" s="82" t="n">
        <f aca="false">IF(ISNUMBER(G274),1+SUMPRODUCT(ISNUMBER($G274:$J274)*($G274:$J274&lt;G274)),"")</f>
        <v>4</v>
      </c>
      <c r="AB274" s="82" t="n">
        <f aca="false">IF(ISNUMBER(H274),1+SUMPRODUCT(ISNUMBER($G274:$J274)*($G274:$J274&lt;H274)),"")</f>
        <v>1</v>
      </c>
      <c r="AC274" s="82" t="n">
        <f aca="false">IF(ISNUMBER(I274),1+SUMPRODUCT(ISNUMBER($G274:$J274)*($G274:$J274&lt;I274)),"")</f>
        <v>2</v>
      </c>
      <c r="AD274" s="82" t="n">
        <f aca="false">IF(ISNUMBER(J274),1+SUMPRODUCT(ISNUMBER($G274:$J274)*($G274:$J274&lt;J274)),"")</f>
        <v>3</v>
      </c>
      <c r="AE274" s="82" t="n">
        <f aca="false">IF(NOT(ISNUMBER(G274)),0,IF($S274&lt;2,5,IF(AA274=1,1,IF(G274=MAX($G274:$J274),4,IF(AA274=2,2,3)))))</f>
        <v>4</v>
      </c>
      <c r="AF274" s="82" t="n">
        <f aca="false">IF(NOT(ISNUMBER(H274)),0,IF($S274&lt;2,5,IF(AB274=1,1,IF(H274=MAX($G274:$J274),4,IF(AB274=2,2,3)))))</f>
        <v>1</v>
      </c>
      <c r="AG274" s="82" t="n">
        <f aca="false">IF(NOT(ISNUMBER(I274)),0,IF($S274&lt;2,5,IF(AC274=1,1,IF(I274=MAX($G274:$J274),4,IF(AC274=2,2,3)))))</f>
        <v>2</v>
      </c>
      <c r="AH274" s="82" t="n">
        <f aca="false">IF(NOT(ISNUMBER(J274)),0,IF($S274&lt;2,5,IF(AD274=1,1,IF(J274=MAX($G274:$J274),4,IF(AD274=2,2,3)))))</f>
        <v>3</v>
      </c>
      <c r="AI274" s="83" t="n">
        <f aca="false">IF($S274&gt;=2,IF(ISNUMBER(G274),G274*$F274,MIN($G274:$J274)*$F274),0)</f>
        <v>149.22</v>
      </c>
      <c r="AJ274" s="83" t="n">
        <f aca="false">IF($S274&gt;=2,IF(ISNUMBER(H274),H274*$F274,MIN($G274:$J274)*$F274),0)</f>
        <v>79.92</v>
      </c>
      <c r="AK274" s="83" t="n">
        <f aca="false">IF($S274&gt;=2,IF(ISNUMBER(I274),I274*$F274,MIN($G274:$J274)*$F274),0)</f>
        <v>111.98</v>
      </c>
      <c r="AL274" s="83" t="n">
        <f aca="false">IF($S274&gt;=2,IF(ISNUMBER(J274),J274*$F274,MIN($G274:$J274)*$F274),0)</f>
        <v>135.36</v>
      </c>
      <c r="AM274" s="84" t="n">
        <f aca="false">IF($S274&gt;=2,$R274+ROW()/1000000,"")</f>
        <v>69.300274</v>
      </c>
      <c r="AN274" s="83" t="n">
        <f aca="false">IF($S274&gt;=2,MAX(G274:J274),"")</f>
        <v>8.29</v>
      </c>
      <c r="AO274" s="82" t="str">
        <f aca="false">IF($S274&gt;=2,INDEX($G$6:$J$6,MATCH(MAX(G274:J274),G274:J274,0)),"")</f>
        <v>Ferguson</v>
      </c>
      <c r="AP274" s="83" t="n">
        <f aca="false">IF($S274&gt;=2,MIN(G274:J274)*$F274,0)</f>
        <v>79.92</v>
      </c>
      <c r="AQ274" s="82" t="str">
        <f aca="false">IF($S274&gt;=2,INDEX($G$6:$J$6,MATCH(MIN(G274:J274),G274:J274,0)),"")</f>
        <v>HD Fowler</v>
      </c>
    </row>
    <row r="275" customFormat="false" ht="15" hidden="false" customHeight="true" outlineLevel="0" collapsed="false">
      <c r="A275" s="70" t="s">
        <v>698</v>
      </c>
      <c r="B275" s="71" t="s">
        <v>682</v>
      </c>
      <c r="C275" s="72" t="s">
        <v>261</v>
      </c>
      <c r="D275" s="73" t="s">
        <v>699</v>
      </c>
      <c r="E275" s="74" t="s">
        <v>133</v>
      </c>
      <c r="F275" s="75" t="n">
        <v>9</v>
      </c>
      <c r="G275" s="76" t="n">
        <f aca="false">IF(COUNTIF('Quote Lines'!$P$3:$P$805,$A275&amp;"|"&amp;G$6&amp;"|1")=0,"—",SUMIFS('Quote Lines'!$O$3:$O$805,'Quote Lines'!$P$3:$P$805,$A275&amp;"|"&amp;G$6&amp;"|1")/SUMIFS('Quote Lines'!$L$3:$L$805,'Quote Lines'!$P$3:$P$805,$A275&amp;"|"&amp;G$6&amp;"|1"))</f>
        <v>12</v>
      </c>
      <c r="H275" s="76" t="n">
        <f aca="false">IF(COUNTIF('Quote Lines'!$P$3:$P$805,$A275&amp;"|"&amp;H$6&amp;"|1")=0,"—",SUMIFS('Quote Lines'!$O$3:$O$805,'Quote Lines'!$P$3:$P$805,$A275&amp;"|"&amp;H$6&amp;"|1")/SUMIFS('Quote Lines'!$L$3:$L$805,'Quote Lines'!$P$3:$P$805,$A275&amp;"|"&amp;H$6&amp;"|1"))</f>
        <v>24.32</v>
      </c>
      <c r="I275" s="76" t="n">
        <f aca="false">IF(COUNTIF('Quote Lines'!$P$3:$P$805,$A275&amp;"|"&amp;I$6&amp;"|1")=0,"—",SUMIFS('Quote Lines'!$O$3:$O$805,'Quote Lines'!$P$3:$P$805,$A275&amp;"|"&amp;I$6&amp;"|1")/SUMIFS('Quote Lines'!$L$3:$L$805,'Quote Lines'!$P$3:$P$805,$A275&amp;"|"&amp;I$6&amp;"|1"))</f>
        <v>28.6155555555556</v>
      </c>
      <c r="J275" s="76" t="n">
        <f aca="false">IF(COUNTIF('Quote Lines'!$P$3:$P$805,$A275&amp;"|"&amp;J$6&amp;"|1")=0,"—",SUMIFS('Quote Lines'!$O$3:$O$805,'Quote Lines'!$P$3:$P$805,$A275&amp;"|"&amp;J$6&amp;"|1")/SUMIFS('Quote Lines'!$L$3:$L$805,'Quote Lines'!$P$3:$P$805,$A275&amp;"|"&amp;J$6&amp;"|1"))</f>
        <v>34.18</v>
      </c>
      <c r="K275" s="14" t="n">
        <f aca="false">IF(ISNUMBER(G275),G275*$F275,"—")</f>
        <v>108</v>
      </c>
      <c r="L275" s="14" t="n">
        <f aca="false">IF(ISNUMBER(H275),H275*$F275,"—")</f>
        <v>218.88</v>
      </c>
      <c r="M275" s="14" t="n">
        <f aca="false">IF(ISNUMBER(I275),I275*$F275,"—")</f>
        <v>257.54</v>
      </c>
      <c r="N275" s="14" t="n">
        <f aca="false">IF(ISNUMBER(J275),J275*$F275,"—")</f>
        <v>307.62</v>
      </c>
      <c r="O275" s="77" t="n">
        <f aca="false">IF($S275=0,"—",MIN(G275:J275))</f>
        <v>12</v>
      </c>
      <c r="P275" s="42" t="str">
        <f aca="false">IF($S275=0,"—",IF(COUNTIF(G275:J275,O275)&gt;1,"Tie",INDEX($G$6:$J$6,MATCH(O275,G275:J275,0))))</f>
        <v>Ferguson</v>
      </c>
      <c r="Q275" s="48" t="n">
        <f aca="false">IF($S275&gt;=2,MAX(G275:J275)/MIN(G275:J275)-1,"—")</f>
        <v>1.84833333333333</v>
      </c>
      <c r="R275" s="78" t="n">
        <f aca="false">IF($S275&gt;=2,(MAX(G275:J275)-MIN(G275:J275))*$F275,"—")</f>
        <v>199.62</v>
      </c>
      <c r="S275" s="18" t="n">
        <f aca="false">COUNT(G275:J275)</f>
        <v>4</v>
      </c>
      <c r="T275" s="79" t="str">
        <f aca="false">IF($S275&lt;=1,IF($S275=1,"Single quote","—"),"Alt spec – verify")</f>
        <v>Alt spec – verify</v>
      </c>
      <c r="U275" s="79" t="str">
        <f aca="false">IF(COUNT(W275:Z275)&lt;2,"",IF(MAX(W275:Z275)=MIN(W275:Z275),"OK","Qty differs"))</f>
        <v>Qty differs</v>
      </c>
      <c r="V275" s="80" t="s">
        <v>700</v>
      </c>
      <c r="W275" s="81" t="n">
        <f aca="false">IF(COUNTIFS('Quote Lines'!$P$3:$P$805,$A275&amp;"|"&amp;G$6&amp;"|1",'Quote Lines'!$M$3:$M$805,"Y")=0,"",SUMIFS('Quote Lines'!$L$3:$L$805,'Quote Lines'!$P$3:$P$805,$A275&amp;"|"&amp;G$6&amp;"|1",'Quote Lines'!$M$3:$M$805,"Y"))</f>
        <v>10</v>
      </c>
      <c r="X275" s="81" t="n">
        <f aca="false">IF(COUNTIFS('Quote Lines'!$P$3:$P$805,$A275&amp;"|"&amp;H$6&amp;"|1",'Quote Lines'!$M$3:$M$805,"Y")=0,"",SUMIFS('Quote Lines'!$L$3:$L$805,'Quote Lines'!$P$3:$P$805,$A275&amp;"|"&amp;H$6&amp;"|1",'Quote Lines'!$M$3:$M$805,"Y"))</f>
        <v>9</v>
      </c>
      <c r="Y275" s="81" t="n">
        <f aca="false">IF(COUNTIFS('Quote Lines'!$P$3:$P$805,$A275&amp;"|"&amp;I$6&amp;"|1",'Quote Lines'!$M$3:$M$805,"Y")=0,"",SUMIFS('Quote Lines'!$L$3:$L$805,'Quote Lines'!$P$3:$P$805,$A275&amp;"|"&amp;I$6&amp;"|1",'Quote Lines'!$M$3:$M$805,"Y"))</f>
        <v>9</v>
      </c>
      <c r="Z275" s="81" t="n">
        <f aca="false">IF(COUNTIFS('Quote Lines'!$P$3:$P$805,$A275&amp;"|"&amp;J$6&amp;"|1",'Quote Lines'!$M$3:$M$805,"Y")=0,"",SUMIFS('Quote Lines'!$L$3:$L$805,'Quote Lines'!$P$3:$P$805,$A275&amp;"|"&amp;J$6&amp;"|1",'Quote Lines'!$M$3:$M$805,"Y"))</f>
        <v>9</v>
      </c>
      <c r="AA275" s="82" t="n">
        <f aca="false">IF(ISNUMBER(G275),1+SUMPRODUCT(ISNUMBER($G275:$J275)*($G275:$J275&lt;G275)),"")</f>
        <v>1</v>
      </c>
      <c r="AB275" s="82" t="n">
        <f aca="false">IF(ISNUMBER(H275),1+SUMPRODUCT(ISNUMBER($G275:$J275)*($G275:$J275&lt;H275)),"")</f>
        <v>2</v>
      </c>
      <c r="AC275" s="82" t="n">
        <f aca="false">IF(ISNUMBER(I275),1+SUMPRODUCT(ISNUMBER($G275:$J275)*($G275:$J275&lt;I275)),"")</f>
        <v>3</v>
      </c>
      <c r="AD275" s="82" t="n">
        <f aca="false">IF(ISNUMBER(J275),1+SUMPRODUCT(ISNUMBER($G275:$J275)*($G275:$J275&lt;J275)),"")</f>
        <v>4</v>
      </c>
      <c r="AE275" s="82" t="n">
        <f aca="false">IF(NOT(ISNUMBER(G275)),0,IF($S275&lt;2,5,IF(AA275=1,1,IF(G275=MAX($G275:$J275),4,IF(AA275=2,2,3)))))</f>
        <v>1</v>
      </c>
      <c r="AF275" s="82" t="n">
        <f aca="false">IF(NOT(ISNUMBER(H275)),0,IF($S275&lt;2,5,IF(AB275=1,1,IF(H275=MAX($G275:$J275),4,IF(AB275=2,2,3)))))</f>
        <v>2</v>
      </c>
      <c r="AG275" s="82" t="n">
        <f aca="false">IF(NOT(ISNUMBER(I275)),0,IF($S275&lt;2,5,IF(AC275=1,1,IF(I275=MAX($G275:$J275),4,IF(AC275=2,2,3)))))</f>
        <v>3</v>
      </c>
      <c r="AH275" s="82" t="n">
        <f aca="false">IF(NOT(ISNUMBER(J275)),0,IF($S275&lt;2,5,IF(AD275=1,1,IF(J275=MAX($G275:$J275),4,IF(AD275=2,2,3)))))</f>
        <v>4</v>
      </c>
      <c r="AI275" s="83" t="n">
        <f aca="false">IF($S275&gt;=2,IF(ISNUMBER(G275),G275*$F275,MIN($G275:$J275)*$F275),0)</f>
        <v>108</v>
      </c>
      <c r="AJ275" s="83" t="n">
        <f aca="false">IF($S275&gt;=2,IF(ISNUMBER(H275),H275*$F275,MIN($G275:$J275)*$F275),0)</f>
        <v>218.88</v>
      </c>
      <c r="AK275" s="83" t="n">
        <f aca="false">IF($S275&gt;=2,IF(ISNUMBER(I275),I275*$F275,MIN($G275:$J275)*$F275),0)</f>
        <v>257.54</v>
      </c>
      <c r="AL275" s="83" t="n">
        <f aca="false">IF($S275&gt;=2,IF(ISNUMBER(J275),J275*$F275,MIN($G275:$J275)*$F275),0)</f>
        <v>307.62</v>
      </c>
      <c r="AM275" s="84" t="n">
        <f aca="false">IF($S275&gt;=2,$R275+ROW()/1000000,"")</f>
        <v>199.620275</v>
      </c>
      <c r="AN275" s="83" t="n">
        <f aca="false">IF($S275&gt;=2,MAX(G275:J275),"")</f>
        <v>34.18</v>
      </c>
      <c r="AO275" s="82" t="str">
        <f aca="false">IF($S275&gt;=2,INDEX($G$6:$J$6,MATCH(MAX(G275:J275),G275:J275,0)),"")</f>
        <v>Scholzen</v>
      </c>
      <c r="AP275" s="83" t="n">
        <f aca="false">IF($S275&gt;=2,MIN(G275:J275)*$F275,0)</f>
        <v>108</v>
      </c>
      <c r="AQ275" s="82" t="str">
        <f aca="false">IF($S275&gt;=2,INDEX($G$6:$J$6,MATCH(MIN(G275:J275),G275:J275,0)),"")</f>
        <v>Ferguson</v>
      </c>
    </row>
    <row r="276" customFormat="false" ht="15" hidden="false" customHeight="true" outlineLevel="0" collapsed="false">
      <c r="A276" s="70" t="s">
        <v>701</v>
      </c>
      <c r="B276" s="71" t="s">
        <v>682</v>
      </c>
      <c r="C276" s="72" t="s">
        <v>261</v>
      </c>
      <c r="D276" s="73" t="s">
        <v>702</v>
      </c>
      <c r="E276" s="74" t="s">
        <v>178</v>
      </c>
      <c r="F276" s="75" t="n">
        <v>200</v>
      </c>
      <c r="G276" s="76" t="n">
        <f aca="false">IF(COUNTIF('Quote Lines'!$P$3:$P$805,$A276&amp;"|"&amp;G$6&amp;"|1")=0,"—",SUMIFS('Quote Lines'!$O$3:$O$805,'Quote Lines'!$P$3:$P$805,$A276&amp;"|"&amp;G$6&amp;"|1")/SUMIFS('Quote Lines'!$L$3:$L$805,'Quote Lines'!$P$3:$P$805,$A276&amp;"|"&amp;G$6&amp;"|1"))</f>
        <v>3.507</v>
      </c>
      <c r="H276" s="76" t="n">
        <f aca="false">IF(COUNTIF('Quote Lines'!$P$3:$P$805,$A276&amp;"|"&amp;H$6&amp;"|1")=0,"—",SUMIFS('Quote Lines'!$O$3:$O$805,'Quote Lines'!$P$3:$P$805,$A276&amp;"|"&amp;H$6&amp;"|1")/SUMIFS('Quote Lines'!$L$3:$L$805,'Quote Lines'!$P$3:$P$805,$A276&amp;"|"&amp;H$6&amp;"|1"))</f>
        <v>1.76</v>
      </c>
      <c r="I276" s="76" t="n">
        <f aca="false">IF(COUNTIF('Quote Lines'!$P$3:$P$805,$A276&amp;"|"&amp;I$6&amp;"|1")=0,"—",SUMIFS('Quote Lines'!$O$3:$O$805,'Quote Lines'!$P$3:$P$805,$A276&amp;"|"&amp;I$6&amp;"|1")/SUMIFS('Quote Lines'!$L$3:$L$805,'Quote Lines'!$P$3:$P$805,$A276&amp;"|"&amp;I$6&amp;"|1"))</f>
        <v>4.416</v>
      </c>
      <c r="J276" s="76" t="n">
        <f aca="false">IF(COUNTIF('Quote Lines'!$P$3:$P$805,$A276&amp;"|"&amp;J$6&amp;"|1")=0,"—",SUMIFS('Quote Lines'!$O$3:$O$805,'Quote Lines'!$P$3:$P$805,$A276&amp;"|"&amp;J$6&amp;"|1")/SUMIFS('Quote Lines'!$L$3:$L$805,'Quote Lines'!$P$3:$P$805,$A276&amp;"|"&amp;J$6&amp;"|1"))</f>
        <v>2.1</v>
      </c>
      <c r="K276" s="14" t="n">
        <f aca="false">IF(ISNUMBER(G276),G276*$F276,"—")</f>
        <v>701.4</v>
      </c>
      <c r="L276" s="14" t="n">
        <f aca="false">IF(ISNUMBER(H276),H276*$F276,"—")</f>
        <v>352</v>
      </c>
      <c r="M276" s="14" t="n">
        <f aca="false">IF(ISNUMBER(I276),I276*$F276,"—")</f>
        <v>883.2</v>
      </c>
      <c r="N276" s="14" t="n">
        <f aca="false">IF(ISNUMBER(J276),J276*$F276,"—")</f>
        <v>420</v>
      </c>
      <c r="O276" s="77" t="n">
        <f aca="false">IF($S276=0,"—",MIN(G276:J276))</f>
        <v>1.76</v>
      </c>
      <c r="P276" s="42" t="str">
        <f aca="false">IF($S276=0,"—",IF(COUNTIF(G276:J276,O276)&gt;1,"Tie",INDEX($G$6:$J$6,MATCH(O276,G276:J276,0))))</f>
        <v>HD Fowler</v>
      </c>
      <c r="Q276" s="48" t="n">
        <f aca="false">IF($S276&gt;=2,MAX(G276:J276)/MIN(G276:J276)-1,"—")</f>
        <v>1.50909090909091</v>
      </c>
      <c r="R276" s="78" t="n">
        <f aca="false">IF($S276&gt;=2,(MAX(G276:J276)-MIN(G276:J276))*$F276,"—")</f>
        <v>531.2</v>
      </c>
      <c r="S276" s="18" t="n">
        <f aca="false">COUNT(G276:J276)</f>
        <v>4</v>
      </c>
      <c r="T276" s="79" t="str">
        <f aca="false">IF($S276&lt;=1,IF($S276=1,"Single quote","—"),"Like-for-like")</f>
        <v>Like-for-like</v>
      </c>
      <c r="U276" s="79" t="str">
        <f aca="false">IF(COUNT(W276:Z276)&lt;2,"",IF(MAX(W276:Z276)=MIN(W276:Z276),"OK","Qty differs"))</f>
        <v>Qty differs</v>
      </c>
      <c r="V276" s="80"/>
      <c r="W276" s="81" t="n">
        <f aca="false">IF(COUNTIFS('Quote Lines'!$P$3:$P$805,$A276&amp;"|"&amp;G$6&amp;"|1",'Quote Lines'!$M$3:$M$805,"Y")=0,"",SUMIFS('Quote Lines'!$L$3:$L$805,'Quote Lines'!$P$3:$P$805,$A276&amp;"|"&amp;G$6&amp;"|1",'Quote Lines'!$M$3:$M$805,"Y"))</f>
        <v>200</v>
      </c>
      <c r="X276" s="81" t="n">
        <f aca="false">IF(COUNTIFS('Quote Lines'!$P$3:$P$805,$A276&amp;"|"&amp;H$6&amp;"|1",'Quote Lines'!$M$3:$M$805,"Y")=0,"",SUMIFS('Quote Lines'!$L$3:$L$805,'Quote Lines'!$P$3:$P$805,$A276&amp;"|"&amp;H$6&amp;"|1",'Quote Lines'!$M$3:$M$805,"Y"))</f>
        <v>200</v>
      </c>
      <c r="Y276" s="81" t="n">
        <f aca="false">IF(COUNTIFS('Quote Lines'!$P$3:$P$805,$A276&amp;"|"&amp;I$6&amp;"|1",'Quote Lines'!$M$3:$M$805,"Y")=0,"",SUMIFS('Quote Lines'!$L$3:$L$805,'Quote Lines'!$P$3:$P$805,$A276&amp;"|"&amp;I$6&amp;"|1",'Quote Lines'!$M$3:$M$805,"Y"))</f>
        <v>180</v>
      </c>
      <c r="Z276" s="81" t="n">
        <f aca="false">IF(COUNTIFS('Quote Lines'!$P$3:$P$805,$A276&amp;"|"&amp;J$6&amp;"|1",'Quote Lines'!$M$3:$M$805,"Y")=0,"",SUMIFS('Quote Lines'!$L$3:$L$805,'Quote Lines'!$P$3:$P$805,$A276&amp;"|"&amp;J$6&amp;"|1",'Quote Lines'!$M$3:$M$805,"Y"))</f>
        <v>100</v>
      </c>
      <c r="AA276" s="82" t="n">
        <f aca="false">IF(ISNUMBER(G276),1+SUMPRODUCT(ISNUMBER($G276:$J276)*($G276:$J276&lt;G276)),"")</f>
        <v>3</v>
      </c>
      <c r="AB276" s="82" t="n">
        <f aca="false">IF(ISNUMBER(H276),1+SUMPRODUCT(ISNUMBER($G276:$J276)*($G276:$J276&lt;H276)),"")</f>
        <v>1</v>
      </c>
      <c r="AC276" s="82" t="n">
        <f aca="false">IF(ISNUMBER(I276),1+SUMPRODUCT(ISNUMBER($G276:$J276)*($G276:$J276&lt;I276)),"")</f>
        <v>4</v>
      </c>
      <c r="AD276" s="82" t="n">
        <f aca="false">IF(ISNUMBER(J276),1+SUMPRODUCT(ISNUMBER($G276:$J276)*($G276:$J276&lt;J276)),"")</f>
        <v>2</v>
      </c>
      <c r="AE276" s="82" t="n">
        <f aca="false">IF(NOT(ISNUMBER(G276)),0,IF($S276&lt;2,5,IF(AA276=1,1,IF(G276=MAX($G276:$J276),4,IF(AA276=2,2,3)))))</f>
        <v>3</v>
      </c>
      <c r="AF276" s="82" t="n">
        <f aca="false">IF(NOT(ISNUMBER(H276)),0,IF($S276&lt;2,5,IF(AB276=1,1,IF(H276=MAX($G276:$J276),4,IF(AB276=2,2,3)))))</f>
        <v>1</v>
      </c>
      <c r="AG276" s="82" t="n">
        <f aca="false">IF(NOT(ISNUMBER(I276)),0,IF($S276&lt;2,5,IF(AC276=1,1,IF(I276=MAX($G276:$J276),4,IF(AC276=2,2,3)))))</f>
        <v>4</v>
      </c>
      <c r="AH276" s="82" t="n">
        <f aca="false">IF(NOT(ISNUMBER(J276)),0,IF($S276&lt;2,5,IF(AD276=1,1,IF(J276=MAX($G276:$J276),4,IF(AD276=2,2,3)))))</f>
        <v>2</v>
      </c>
      <c r="AI276" s="83" t="n">
        <f aca="false">IF($S276&gt;=2,IF(ISNUMBER(G276),G276*$F276,MIN($G276:$J276)*$F276),0)</f>
        <v>701.4</v>
      </c>
      <c r="AJ276" s="83" t="n">
        <f aca="false">IF($S276&gt;=2,IF(ISNUMBER(H276),H276*$F276,MIN($G276:$J276)*$F276),0)</f>
        <v>352</v>
      </c>
      <c r="AK276" s="83" t="n">
        <f aca="false">IF($S276&gt;=2,IF(ISNUMBER(I276),I276*$F276,MIN($G276:$J276)*$F276),0)</f>
        <v>883.2</v>
      </c>
      <c r="AL276" s="83" t="n">
        <f aca="false">IF($S276&gt;=2,IF(ISNUMBER(J276),J276*$F276,MIN($G276:$J276)*$F276),0)</f>
        <v>420</v>
      </c>
      <c r="AM276" s="84" t="n">
        <f aca="false">IF($S276&gt;=2,$R276+ROW()/1000000,"")</f>
        <v>531.200276</v>
      </c>
      <c r="AN276" s="83" t="n">
        <f aca="false">IF($S276&gt;=2,MAX(G276:J276),"")</f>
        <v>4.416</v>
      </c>
      <c r="AO276" s="82" t="str">
        <f aca="false">IF($S276&gt;=2,INDEX($G$6:$J$6,MATCH(MAX(G276:J276),G276:J276,0)),"")</f>
        <v>Mountainland</v>
      </c>
      <c r="AP276" s="83" t="n">
        <f aca="false">IF($S276&gt;=2,MIN(G276:J276)*$F276,0)</f>
        <v>352</v>
      </c>
      <c r="AQ276" s="82" t="str">
        <f aca="false">IF($S276&gt;=2,INDEX($G$6:$J$6,MATCH(MIN(G276:J276),G276:J276,0)),"")</f>
        <v>HD Fowler</v>
      </c>
    </row>
    <row r="277" customFormat="false" ht="15" hidden="false" customHeight="true" outlineLevel="0" collapsed="false">
      <c r="A277" s="70" t="s">
        <v>703</v>
      </c>
      <c r="B277" s="71" t="s">
        <v>682</v>
      </c>
      <c r="C277" s="72" t="s">
        <v>261</v>
      </c>
      <c r="D277" s="73" t="s">
        <v>704</v>
      </c>
      <c r="E277" s="74" t="s">
        <v>133</v>
      </c>
      <c r="F277" s="75" t="n">
        <v>23</v>
      </c>
      <c r="G277" s="76" t="n">
        <f aca="false">IF(COUNTIF('Quote Lines'!$P$3:$P$805,$A277&amp;"|"&amp;G$6&amp;"|1")=0,"—",SUMIFS('Quote Lines'!$O$3:$O$805,'Quote Lines'!$P$3:$P$805,$A277&amp;"|"&amp;G$6&amp;"|1")/SUMIFS('Quote Lines'!$L$3:$L$805,'Quote Lines'!$P$3:$P$805,$A277&amp;"|"&amp;G$6&amp;"|1"))</f>
        <v>36.06</v>
      </c>
      <c r="H277" s="85" t="s">
        <v>138</v>
      </c>
      <c r="I277" s="76" t="n">
        <f aca="false">IF(COUNTIF('Quote Lines'!$P$3:$P$805,$A277&amp;"|"&amp;I$6&amp;"|1")=0,"—",SUMIFS('Quote Lines'!$O$3:$O$805,'Quote Lines'!$P$3:$P$805,$A277&amp;"|"&amp;I$6&amp;"|1")/SUMIFS('Quote Lines'!$L$3:$L$805,'Quote Lines'!$P$3:$P$805,$A277&amp;"|"&amp;I$6&amp;"|1"))</f>
        <v>12.0388888888889</v>
      </c>
      <c r="J277" s="85" t="s">
        <v>138</v>
      </c>
      <c r="K277" s="14" t="n">
        <f aca="false">IF(ISNUMBER(G277),G277*$F277,"—")</f>
        <v>829.38</v>
      </c>
      <c r="L277" s="14" t="str">
        <f aca="false">IF(ISNUMBER(H277),H277*$F277,"—")</f>
        <v>—</v>
      </c>
      <c r="M277" s="14" t="n">
        <f aca="false">IF(ISNUMBER(I277),I277*$F277,"—")</f>
        <v>276.894444444444</v>
      </c>
      <c r="N277" s="14" t="str">
        <f aca="false">IF(ISNUMBER(J277),J277*$F277,"—")</f>
        <v>—</v>
      </c>
      <c r="O277" s="77" t="n">
        <f aca="false">IF($S277=0,"—",MIN(G277:J277))</f>
        <v>12.0388888888889</v>
      </c>
      <c r="P277" s="42" t="str">
        <f aca="false">IF($S277=0,"—",IF(COUNTIF(G277:J277,O277)&gt;1,"Tie",INDEX($G$6:$J$6,MATCH(O277,G277:J277,0))))</f>
        <v>Mountainland</v>
      </c>
      <c r="Q277" s="48" t="n">
        <f aca="false">IF($S277&gt;=2,MAX(G277:J277)/MIN(G277:J277)-1,"—")</f>
        <v>1.99529303184126</v>
      </c>
      <c r="R277" s="78" t="n">
        <f aca="false">IF($S277&gt;=2,(MAX(G277:J277)-MIN(G277:J277))*$F277,"—")</f>
        <v>552.485555555556</v>
      </c>
      <c r="S277" s="18" t="n">
        <f aca="false">COUNT(G277:J277)</f>
        <v>2</v>
      </c>
      <c r="T277" s="79" t="str">
        <f aca="false">IF($S277&lt;=1,IF($S277=1,"Single quote","—"),"Alt spec – verify")</f>
        <v>Alt spec – verify</v>
      </c>
      <c r="U277" s="79" t="str">
        <f aca="false">IF(COUNT(W277:Z277)&lt;2,"",IF(MAX(W277:Z277)=MIN(W277:Z277),"OK","Qty differs"))</f>
        <v>Qty differs</v>
      </c>
      <c r="V277" s="80" t="s">
        <v>705</v>
      </c>
      <c r="W277" s="81" t="n">
        <f aca="false">IF(COUNTIFS('Quote Lines'!$P$3:$P$805,$A277&amp;"|"&amp;G$6&amp;"|1",'Quote Lines'!$M$3:$M$805,"Y")=0,"",SUMIFS('Quote Lines'!$L$3:$L$805,'Quote Lines'!$P$3:$P$805,$A277&amp;"|"&amp;G$6&amp;"|1",'Quote Lines'!$M$3:$M$805,"Y"))</f>
        <v>23</v>
      </c>
      <c r="X277" s="81"/>
      <c r="Y277" s="81" t="n">
        <f aca="false">IF(COUNTIFS('Quote Lines'!$P$3:$P$805,$A277&amp;"|"&amp;I$6&amp;"|1",'Quote Lines'!$M$3:$M$805,"Y")=0,"",SUMIFS('Quote Lines'!$L$3:$L$805,'Quote Lines'!$P$3:$P$805,$A277&amp;"|"&amp;I$6&amp;"|1",'Quote Lines'!$M$3:$M$805,"Y"))</f>
        <v>9</v>
      </c>
      <c r="Z277" s="81"/>
      <c r="AA277" s="82" t="n">
        <f aca="false">IF(ISNUMBER(G277),1+SUMPRODUCT(ISNUMBER($G277:$J277)*($G277:$J277&lt;G277)),"")</f>
        <v>2</v>
      </c>
      <c r="AB277" s="82" t="str">
        <f aca="false">IF(ISNUMBER(H277),1+SUMPRODUCT(ISNUMBER($G277:$J277)*($G277:$J277&lt;H277)),"")</f>
        <v/>
      </c>
      <c r="AC277" s="82" t="n">
        <f aca="false">IF(ISNUMBER(I277),1+SUMPRODUCT(ISNUMBER($G277:$J277)*($G277:$J277&lt;I277)),"")</f>
        <v>1</v>
      </c>
      <c r="AD277" s="82" t="str">
        <f aca="false">IF(ISNUMBER(J277),1+SUMPRODUCT(ISNUMBER($G277:$J277)*($G277:$J277&lt;J277)),"")</f>
        <v/>
      </c>
      <c r="AE277" s="82" t="n">
        <f aca="false">IF(NOT(ISNUMBER(G277)),0,IF($S277&lt;2,5,IF(AA277=1,1,IF(G277=MAX($G277:$J277),4,IF(AA277=2,2,3)))))</f>
        <v>4</v>
      </c>
      <c r="AF277" s="82" t="n">
        <f aca="false">IF(NOT(ISNUMBER(H277)),0,IF($S277&lt;2,5,IF(AB277=1,1,IF(H277=MAX($G277:$J277),4,IF(AB277=2,2,3)))))</f>
        <v>0</v>
      </c>
      <c r="AG277" s="82" t="n">
        <f aca="false">IF(NOT(ISNUMBER(I277)),0,IF($S277&lt;2,5,IF(AC277=1,1,IF(I277=MAX($G277:$J277),4,IF(AC277=2,2,3)))))</f>
        <v>1</v>
      </c>
      <c r="AH277" s="82" t="n">
        <f aca="false">IF(NOT(ISNUMBER(J277)),0,IF($S277&lt;2,5,IF(AD277=1,1,IF(J277=MAX($G277:$J277),4,IF(AD277=2,2,3)))))</f>
        <v>0</v>
      </c>
      <c r="AI277" s="83" t="n">
        <f aca="false">IF($S277&gt;=2,IF(ISNUMBER(G277),G277*$F277,MIN($G277:$J277)*$F277),0)</f>
        <v>829.38</v>
      </c>
      <c r="AJ277" s="83" t="n">
        <f aca="false">IF($S277&gt;=2,IF(ISNUMBER(H277),H277*$F277,MIN($G277:$J277)*$F277),0)</f>
        <v>276.894444444444</v>
      </c>
      <c r="AK277" s="83" t="n">
        <f aca="false">IF($S277&gt;=2,IF(ISNUMBER(I277),I277*$F277,MIN($G277:$J277)*$F277),0)</f>
        <v>276.894444444444</v>
      </c>
      <c r="AL277" s="83" t="n">
        <f aca="false">IF($S277&gt;=2,IF(ISNUMBER(J277),J277*$F277,MIN($G277:$J277)*$F277),0)</f>
        <v>276.894444444444</v>
      </c>
      <c r="AM277" s="84" t="n">
        <f aca="false">IF($S277&gt;=2,$R277+ROW()/1000000,"")</f>
        <v>552.485832555556</v>
      </c>
      <c r="AN277" s="83" t="n">
        <f aca="false">IF($S277&gt;=2,MAX(G277:J277),"")</f>
        <v>36.06</v>
      </c>
      <c r="AO277" s="82" t="str">
        <f aca="false">IF($S277&gt;=2,INDEX($G$6:$J$6,MATCH(MAX(G277:J277),G277:J277,0)),"")</f>
        <v>Ferguson</v>
      </c>
      <c r="AP277" s="83" t="n">
        <f aca="false">IF($S277&gt;=2,MIN(G277:J277)*$F277,0)</f>
        <v>276.894444444444</v>
      </c>
      <c r="AQ277" s="82" t="str">
        <f aca="false">IF($S277&gt;=2,INDEX($G$6:$J$6,MATCH(MIN(G277:J277),G277:J277,0)),"")</f>
        <v>Mountainland</v>
      </c>
    </row>
    <row r="278" customFormat="false" ht="15" hidden="false" customHeight="true" outlineLevel="0" collapsed="false">
      <c r="A278" s="70" t="s">
        <v>706</v>
      </c>
      <c r="B278" s="71" t="s">
        <v>682</v>
      </c>
      <c r="C278" s="72" t="s">
        <v>261</v>
      </c>
      <c r="D278" s="73" t="s">
        <v>423</v>
      </c>
      <c r="E278" s="74" t="s">
        <v>133</v>
      </c>
      <c r="F278" s="75" t="n">
        <v>10</v>
      </c>
      <c r="G278" s="76" t="n">
        <f aca="false">IF(COUNTIF('Quote Lines'!$P$3:$P$805,$A278&amp;"|"&amp;G$6&amp;"|1")=0,"—",SUMIFS('Quote Lines'!$O$3:$O$805,'Quote Lines'!$P$3:$P$805,$A278&amp;"|"&amp;G$6&amp;"|1")/SUMIFS('Quote Lines'!$L$3:$L$805,'Quote Lines'!$P$3:$P$805,$A278&amp;"|"&amp;G$6&amp;"|1"))</f>
        <v>29.04</v>
      </c>
      <c r="H278" s="85" t="s">
        <v>138</v>
      </c>
      <c r="I278" s="85" t="s">
        <v>138</v>
      </c>
      <c r="J278" s="76" t="n">
        <f aca="false">IF(COUNTIF('Quote Lines'!$P$3:$P$805,$A278&amp;"|"&amp;J$6&amp;"|1")=0,"—",SUMIFS('Quote Lines'!$O$3:$O$805,'Quote Lines'!$P$3:$P$805,$A278&amp;"|"&amp;J$6&amp;"|1")/SUMIFS('Quote Lines'!$L$3:$L$805,'Quote Lines'!$P$3:$P$805,$A278&amp;"|"&amp;J$6&amp;"|1"))</f>
        <v>6.97</v>
      </c>
      <c r="K278" s="14" t="n">
        <f aca="false">IF(ISNUMBER(G278),G278*$F278,"—")</f>
        <v>290.4</v>
      </c>
      <c r="L278" s="14" t="str">
        <f aca="false">IF(ISNUMBER(H278),H278*$F278,"—")</f>
        <v>—</v>
      </c>
      <c r="M278" s="14" t="str">
        <f aca="false">IF(ISNUMBER(I278),I278*$F278,"—")</f>
        <v>—</v>
      </c>
      <c r="N278" s="14" t="n">
        <f aca="false">IF(ISNUMBER(J278),J278*$F278,"—")</f>
        <v>69.7</v>
      </c>
      <c r="O278" s="77" t="n">
        <f aca="false">IF($S278=0,"—",MIN(G278:J278))</f>
        <v>6.97</v>
      </c>
      <c r="P278" s="42" t="str">
        <f aca="false">IF($S278=0,"—",IF(COUNTIF(G278:J278,O278)&gt;1,"Tie",INDEX($G$6:$J$6,MATCH(O278,G278:J278,0))))</f>
        <v>Scholzen</v>
      </c>
      <c r="Q278" s="48" t="n">
        <f aca="false">IF($S278&gt;=2,MAX(G278:J278)/MIN(G278:J278)-1,"—")</f>
        <v>3.16642754662841</v>
      </c>
      <c r="R278" s="78" t="n">
        <f aca="false">IF($S278&gt;=2,(MAX(G278:J278)-MIN(G278:J278))*$F278,"—")</f>
        <v>220.7</v>
      </c>
      <c r="S278" s="18" t="n">
        <f aca="false">COUNT(G278:J278)</f>
        <v>2</v>
      </c>
      <c r="T278" s="79" t="str">
        <f aca="false">IF($S278&lt;=1,IF($S278=1,"Single quote","—"),"Alt spec – verify")</f>
        <v>Alt spec – verify</v>
      </c>
      <c r="U278" s="79" t="str">
        <f aca="false">IF(COUNT(W278:Z278)&lt;2,"",IF(MAX(W278:Z278)=MIN(W278:Z278),"OK","Qty differs"))</f>
        <v>Qty differs</v>
      </c>
      <c r="V278" s="80" t="s">
        <v>707</v>
      </c>
      <c r="W278" s="81" t="n">
        <f aca="false">IF(COUNTIFS('Quote Lines'!$P$3:$P$805,$A278&amp;"|"&amp;G$6&amp;"|1",'Quote Lines'!$M$3:$M$805,"Y")=0,"",SUMIFS('Quote Lines'!$L$3:$L$805,'Quote Lines'!$P$3:$P$805,$A278&amp;"|"&amp;G$6&amp;"|1",'Quote Lines'!$M$3:$M$805,"Y"))</f>
        <v>10</v>
      </c>
      <c r="X278" s="81"/>
      <c r="Y278" s="81"/>
      <c r="Z278" s="81" t="n">
        <f aca="false">IF(COUNTIFS('Quote Lines'!$P$3:$P$805,$A278&amp;"|"&amp;J$6&amp;"|1",'Quote Lines'!$M$3:$M$805,"Y")=0,"",SUMIFS('Quote Lines'!$L$3:$L$805,'Quote Lines'!$P$3:$P$805,$A278&amp;"|"&amp;J$6&amp;"|1",'Quote Lines'!$M$3:$M$805,"Y"))</f>
        <v>9</v>
      </c>
      <c r="AA278" s="82" t="n">
        <f aca="false">IF(ISNUMBER(G278),1+SUMPRODUCT(ISNUMBER($G278:$J278)*($G278:$J278&lt;G278)),"")</f>
        <v>2</v>
      </c>
      <c r="AB278" s="82" t="str">
        <f aca="false">IF(ISNUMBER(H278),1+SUMPRODUCT(ISNUMBER($G278:$J278)*($G278:$J278&lt;H278)),"")</f>
        <v/>
      </c>
      <c r="AC278" s="82" t="str">
        <f aca="false">IF(ISNUMBER(I278),1+SUMPRODUCT(ISNUMBER($G278:$J278)*($G278:$J278&lt;I278)),"")</f>
        <v/>
      </c>
      <c r="AD278" s="82" t="n">
        <f aca="false">IF(ISNUMBER(J278),1+SUMPRODUCT(ISNUMBER($G278:$J278)*($G278:$J278&lt;J278)),"")</f>
        <v>1</v>
      </c>
      <c r="AE278" s="82" t="n">
        <f aca="false">IF(NOT(ISNUMBER(G278)),0,IF($S278&lt;2,5,IF(AA278=1,1,IF(G278=MAX($G278:$J278),4,IF(AA278=2,2,3)))))</f>
        <v>4</v>
      </c>
      <c r="AF278" s="82" t="n">
        <f aca="false">IF(NOT(ISNUMBER(H278)),0,IF($S278&lt;2,5,IF(AB278=1,1,IF(H278=MAX($G278:$J278),4,IF(AB278=2,2,3)))))</f>
        <v>0</v>
      </c>
      <c r="AG278" s="82" t="n">
        <f aca="false">IF(NOT(ISNUMBER(I278)),0,IF($S278&lt;2,5,IF(AC278=1,1,IF(I278=MAX($G278:$J278),4,IF(AC278=2,2,3)))))</f>
        <v>0</v>
      </c>
      <c r="AH278" s="82" t="n">
        <f aca="false">IF(NOT(ISNUMBER(J278)),0,IF($S278&lt;2,5,IF(AD278=1,1,IF(J278=MAX($G278:$J278),4,IF(AD278=2,2,3)))))</f>
        <v>1</v>
      </c>
      <c r="AI278" s="83" t="n">
        <f aca="false">IF($S278&gt;=2,IF(ISNUMBER(G278),G278*$F278,MIN($G278:$J278)*$F278),0)</f>
        <v>290.4</v>
      </c>
      <c r="AJ278" s="83" t="n">
        <f aca="false">IF($S278&gt;=2,IF(ISNUMBER(H278),H278*$F278,MIN($G278:$J278)*$F278),0)</f>
        <v>69.7</v>
      </c>
      <c r="AK278" s="83" t="n">
        <f aca="false">IF($S278&gt;=2,IF(ISNUMBER(I278),I278*$F278,MIN($G278:$J278)*$F278),0)</f>
        <v>69.7</v>
      </c>
      <c r="AL278" s="83" t="n">
        <f aca="false">IF($S278&gt;=2,IF(ISNUMBER(J278),J278*$F278,MIN($G278:$J278)*$F278),0)</f>
        <v>69.7</v>
      </c>
      <c r="AM278" s="84" t="n">
        <f aca="false">IF($S278&gt;=2,$R278+ROW()/1000000,"")</f>
        <v>220.700278</v>
      </c>
      <c r="AN278" s="83" t="n">
        <f aca="false">IF($S278&gt;=2,MAX(G278:J278),"")</f>
        <v>29.04</v>
      </c>
      <c r="AO278" s="82" t="str">
        <f aca="false">IF($S278&gt;=2,INDEX($G$6:$J$6,MATCH(MAX(G278:J278),G278:J278,0)),"")</f>
        <v>Ferguson</v>
      </c>
      <c r="AP278" s="83" t="n">
        <f aca="false">IF($S278&gt;=2,MIN(G278:J278)*$F278,0)</f>
        <v>69.7</v>
      </c>
      <c r="AQ278" s="82" t="str">
        <f aca="false">IF($S278&gt;=2,INDEX($G$6:$J$6,MATCH(MIN(G278:J278),G278:J278,0)),"")</f>
        <v>Scholzen</v>
      </c>
    </row>
    <row r="279" customFormat="false" ht="15" hidden="false" customHeight="true" outlineLevel="0" collapsed="false">
      <c r="A279" s="70" t="s">
        <v>708</v>
      </c>
      <c r="B279" s="71" t="s">
        <v>682</v>
      </c>
      <c r="C279" s="72" t="s">
        <v>261</v>
      </c>
      <c r="D279" s="73" t="s">
        <v>709</v>
      </c>
      <c r="E279" s="74" t="s">
        <v>133</v>
      </c>
      <c r="F279" s="75" t="n">
        <v>10</v>
      </c>
      <c r="G279" s="76" t="n">
        <f aca="false">IF(COUNTIF('Quote Lines'!$P$3:$P$805,$A279&amp;"|"&amp;G$6&amp;"|1")=0,"—",SUMIFS('Quote Lines'!$O$3:$O$805,'Quote Lines'!$P$3:$P$805,$A279&amp;"|"&amp;G$6&amp;"|1")/SUMIFS('Quote Lines'!$L$3:$L$805,'Quote Lines'!$P$3:$P$805,$A279&amp;"|"&amp;G$6&amp;"|1"))</f>
        <v>33.64</v>
      </c>
      <c r="H279" s="85" t="s">
        <v>138</v>
      </c>
      <c r="I279" s="85" t="s">
        <v>138</v>
      </c>
      <c r="J279" s="85" t="s">
        <v>138</v>
      </c>
      <c r="K279" s="14" t="n">
        <f aca="false">IF(ISNUMBER(G279),G279*$F279,"—")</f>
        <v>336.4</v>
      </c>
      <c r="L279" s="14" t="str">
        <f aca="false">IF(ISNUMBER(H279),H279*$F279,"—")</f>
        <v>—</v>
      </c>
      <c r="M279" s="14" t="str">
        <f aca="false">IF(ISNUMBER(I279),I279*$F279,"—")</f>
        <v>—</v>
      </c>
      <c r="N279" s="14" t="str">
        <f aca="false">IF(ISNUMBER(J279),J279*$F279,"—")</f>
        <v>—</v>
      </c>
      <c r="O279" s="77" t="n">
        <f aca="false">IF($S279=0,"—",MIN(G279:J279))</f>
        <v>33.64</v>
      </c>
      <c r="P279" s="42" t="str">
        <f aca="false">IF($S279=0,"—",IF(COUNTIF(G279:J279,O279)&gt;1,"Tie",INDEX($G$6:$J$6,MATCH(O279,G279:J279,0))))</f>
        <v>Ferguson</v>
      </c>
      <c r="Q279" s="48" t="str">
        <f aca="false">IF($S279&gt;=2,MAX(G279:J279)/MIN(G279:J279)-1,"—")</f>
        <v>—</v>
      </c>
      <c r="R279" s="78" t="str">
        <f aca="false">IF($S279&gt;=2,(MAX(G279:J279)-MIN(G279:J279))*$F279,"—")</f>
        <v>—</v>
      </c>
      <c r="S279" s="18" t="n">
        <f aca="false">COUNT(G279:J279)</f>
        <v>1</v>
      </c>
      <c r="T279" s="79" t="str">
        <f aca="false">IF($S279&lt;=1,IF($S279=1,"Single quote","—"),"Like-for-like")</f>
        <v>Single quote</v>
      </c>
      <c r="U279" s="79" t="str">
        <f aca="false">IF(COUNT(W279:Z279)&lt;2,"",IF(MAX(W279:Z279)=MIN(W279:Z279),"OK","Qty differs"))</f>
        <v/>
      </c>
      <c r="V279" s="80"/>
      <c r="W279" s="81" t="n">
        <f aca="false">IF(COUNTIFS('Quote Lines'!$P$3:$P$805,$A279&amp;"|"&amp;G$6&amp;"|1",'Quote Lines'!$M$3:$M$805,"Y")=0,"",SUMIFS('Quote Lines'!$L$3:$L$805,'Quote Lines'!$P$3:$P$805,$A279&amp;"|"&amp;G$6&amp;"|1",'Quote Lines'!$M$3:$M$805,"Y"))</f>
        <v>10</v>
      </c>
      <c r="X279" s="81"/>
      <c r="Y279" s="81"/>
      <c r="Z279" s="81"/>
      <c r="AA279" s="82" t="n">
        <f aca="false">IF(ISNUMBER(G279),1+SUMPRODUCT(ISNUMBER($G279:$J279)*($G279:$J279&lt;G279)),"")</f>
        <v>1</v>
      </c>
      <c r="AB279" s="82" t="str">
        <f aca="false">IF(ISNUMBER(H279),1+SUMPRODUCT(ISNUMBER($G279:$J279)*($G279:$J279&lt;H279)),"")</f>
        <v/>
      </c>
      <c r="AC279" s="82" t="str">
        <f aca="false">IF(ISNUMBER(I279),1+SUMPRODUCT(ISNUMBER($G279:$J279)*($G279:$J279&lt;I279)),"")</f>
        <v/>
      </c>
      <c r="AD279" s="82" t="str">
        <f aca="false">IF(ISNUMBER(J279),1+SUMPRODUCT(ISNUMBER($G279:$J279)*($G279:$J279&lt;J279)),"")</f>
        <v/>
      </c>
      <c r="AE279" s="82" t="n">
        <f aca="false">IF(NOT(ISNUMBER(G279)),0,IF($S279&lt;2,5,IF(AA279=1,1,IF(G279=MAX($G279:$J279),4,IF(AA279=2,2,3)))))</f>
        <v>5</v>
      </c>
      <c r="AF279" s="82" t="n">
        <f aca="false">IF(NOT(ISNUMBER(H279)),0,IF($S279&lt;2,5,IF(AB279=1,1,IF(H279=MAX($G279:$J279),4,IF(AB279=2,2,3)))))</f>
        <v>0</v>
      </c>
      <c r="AG279" s="82" t="n">
        <f aca="false">IF(NOT(ISNUMBER(I279)),0,IF($S279&lt;2,5,IF(AC279=1,1,IF(I279=MAX($G279:$J279),4,IF(AC279=2,2,3)))))</f>
        <v>0</v>
      </c>
      <c r="AH279" s="82" t="n">
        <f aca="false">IF(NOT(ISNUMBER(J279)),0,IF($S279&lt;2,5,IF(AD279=1,1,IF(J279=MAX($G279:$J279),4,IF(AD279=2,2,3)))))</f>
        <v>0</v>
      </c>
      <c r="AI279" s="83" t="n">
        <f aca="false">IF($S279&gt;=2,IF(ISNUMBER(G279),G279*$F279,MIN($G279:$J279)*$F279),0)</f>
        <v>0</v>
      </c>
      <c r="AJ279" s="83" t="n">
        <f aca="false">IF($S279&gt;=2,IF(ISNUMBER(H279),H279*$F279,MIN($G279:$J279)*$F279),0)</f>
        <v>0</v>
      </c>
      <c r="AK279" s="83" t="n">
        <f aca="false">IF($S279&gt;=2,IF(ISNUMBER(I279),I279*$F279,MIN($G279:$J279)*$F279),0)</f>
        <v>0</v>
      </c>
      <c r="AL279" s="83" t="n">
        <f aca="false">IF($S279&gt;=2,IF(ISNUMBER(J279),J279*$F279,MIN($G279:$J279)*$F279),0)</f>
        <v>0</v>
      </c>
      <c r="AM279" s="84" t="str">
        <f aca="false">IF($S279&gt;=2,$R279+ROW()/1000000,"")</f>
        <v/>
      </c>
      <c r="AN279" s="83" t="str">
        <f aca="false">IF($S279&gt;=2,MAX(G279:J279),"")</f>
        <v/>
      </c>
      <c r="AO279" s="82" t="str">
        <f aca="false">IF($S279&gt;=2,INDEX($G$6:$J$6,MATCH(MAX(G279:J279),G279:J279,0)),"")</f>
        <v/>
      </c>
      <c r="AP279" s="83" t="n">
        <f aca="false">IF($S279&gt;=2,MIN(G279:J279)*$F279,0)</f>
        <v>0</v>
      </c>
      <c r="AQ279" s="82" t="str">
        <f aca="false">IF($S279&gt;=2,INDEX($G$6:$J$6,MATCH(MIN(G279:J279),G279:J279,0)),"")</f>
        <v/>
      </c>
    </row>
    <row r="280" customFormat="false" ht="15" hidden="false" customHeight="true" outlineLevel="0" collapsed="false">
      <c r="A280" s="70" t="s">
        <v>710</v>
      </c>
      <c r="B280" s="71" t="s">
        <v>682</v>
      </c>
      <c r="C280" s="72" t="s">
        <v>261</v>
      </c>
      <c r="D280" s="73" t="s">
        <v>711</v>
      </c>
      <c r="E280" s="74" t="s">
        <v>133</v>
      </c>
      <c r="F280" s="75" t="n">
        <v>10</v>
      </c>
      <c r="G280" s="76" t="n">
        <f aca="false">IF(COUNTIF('Quote Lines'!$P$3:$P$805,$A280&amp;"|"&amp;G$6&amp;"|1")=0,"—",SUMIFS('Quote Lines'!$O$3:$O$805,'Quote Lines'!$P$3:$P$805,$A280&amp;"|"&amp;G$6&amp;"|1")/SUMIFS('Quote Lines'!$L$3:$L$805,'Quote Lines'!$P$3:$P$805,$A280&amp;"|"&amp;G$6&amp;"|1"))</f>
        <v>107.98</v>
      </c>
      <c r="H280" s="85" t="s">
        <v>138</v>
      </c>
      <c r="I280" s="85" t="s">
        <v>138</v>
      </c>
      <c r="J280" s="85" t="s">
        <v>138</v>
      </c>
      <c r="K280" s="14" t="n">
        <f aca="false">IF(ISNUMBER(G280),G280*$F280,"—")</f>
        <v>1079.8</v>
      </c>
      <c r="L280" s="14" t="str">
        <f aca="false">IF(ISNUMBER(H280),H280*$F280,"—")</f>
        <v>—</v>
      </c>
      <c r="M280" s="14" t="str">
        <f aca="false">IF(ISNUMBER(I280),I280*$F280,"—")</f>
        <v>—</v>
      </c>
      <c r="N280" s="14" t="str">
        <f aca="false">IF(ISNUMBER(J280),J280*$F280,"—")</f>
        <v>—</v>
      </c>
      <c r="O280" s="77" t="n">
        <f aca="false">IF($S280=0,"—",MIN(G280:J280))</f>
        <v>107.98</v>
      </c>
      <c r="P280" s="42" t="str">
        <f aca="false">IF($S280=0,"—",IF(COUNTIF(G280:J280,O280)&gt;1,"Tie",INDEX($G$6:$J$6,MATCH(O280,G280:J280,0))))</f>
        <v>Ferguson</v>
      </c>
      <c r="Q280" s="48" t="str">
        <f aca="false">IF($S280&gt;=2,MAX(G280:J280)/MIN(G280:J280)-1,"—")</f>
        <v>—</v>
      </c>
      <c r="R280" s="78" t="str">
        <f aca="false">IF($S280&gt;=2,(MAX(G280:J280)-MIN(G280:J280))*$F280,"—")</f>
        <v>—</v>
      </c>
      <c r="S280" s="18" t="n">
        <f aca="false">COUNT(G280:J280)</f>
        <v>1</v>
      </c>
      <c r="T280" s="79" t="str">
        <f aca="false">IF($S280&lt;=1,IF($S280=1,"Single quote","—"),"Like-for-like")</f>
        <v>Single quote</v>
      </c>
      <c r="U280" s="79" t="str">
        <f aca="false">IF(COUNT(W280:Z280)&lt;2,"",IF(MAX(W280:Z280)=MIN(W280:Z280),"OK","Qty differs"))</f>
        <v/>
      </c>
      <c r="V280" s="80" t="s">
        <v>712</v>
      </c>
      <c r="W280" s="81" t="n">
        <f aca="false">IF(COUNTIFS('Quote Lines'!$P$3:$P$805,$A280&amp;"|"&amp;G$6&amp;"|1",'Quote Lines'!$M$3:$M$805,"Y")=0,"",SUMIFS('Quote Lines'!$L$3:$L$805,'Quote Lines'!$P$3:$P$805,$A280&amp;"|"&amp;G$6&amp;"|1",'Quote Lines'!$M$3:$M$805,"Y"))</f>
        <v>10</v>
      </c>
      <c r="X280" s="81"/>
      <c r="Y280" s="81"/>
      <c r="Z280" s="81"/>
      <c r="AA280" s="82" t="n">
        <f aca="false">IF(ISNUMBER(G280),1+SUMPRODUCT(ISNUMBER($G280:$J280)*($G280:$J280&lt;G280)),"")</f>
        <v>1</v>
      </c>
      <c r="AB280" s="82" t="str">
        <f aca="false">IF(ISNUMBER(H280),1+SUMPRODUCT(ISNUMBER($G280:$J280)*($G280:$J280&lt;H280)),"")</f>
        <v/>
      </c>
      <c r="AC280" s="82" t="str">
        <f aca="false">IF(ISNUMBER(I280),1+SUMPRODUCT(ISNUMBER($G280:$J280)*($G280:$J280&lt;I280)),"")</f>
        <v/>
      </c>
      <c r="AD280" s="82" t="str">
        <f aca="false">IF(ISNUMBER(J280),1+SUMPRODUCT(ISNUMBER($G280:$J280)*($G280:$J280&lt;J280)),"")</f>
        <v/>
      </c>
      <c r="AE280" s="82" t="n">
        <f aca="false">IF(NOT(ISNUMBER(G280)),0,IF($S280&lt;2,5,IF(AA280=1,1,IF(G280=MAX($G280:$J280),4,IF(AA280=2,2,3)))))</f>
        <v>5</v>
      </c>
      <c r="AF280" s="82" t="n">
        <f aca="false">IF(NOT(ISNUMBER(H280)),0,IF($S280&lt;2,5,IF(AB280=1,1,IF(H280=MAX($G280:$J280),4,IF(AB280=2,2,3)))))</f>
        <v>0</v>
      </c>
      <c r="AG280" s="82" t="n">
        <f aca="false">IF(NOT(ISNUMBER(I280)),0,IF($S280&lt;2,5,IF(AC280=1,1,IF(I280=MAX($G280:$J280),4,IF(AC280=2,2,3)))))</f>
        <v>0</v>
      </c>
      <c r="AH280" s="82" t="n">
        <f aca="false">IF(NOT(ISNUMBER(J280)),0,IF($S280&lt;2,5,IF(AD280=1,1,IF(J280=MAX($G280:$J280),4,IF(AD280=2,2,3)))))</f>
        <v>0</v>
      </c>
      <c r="AI280" s="83" t="n">
        <f aca="false">IF($S280&gt;=2,IF(ISNUMBER(G280),G280*$F280,MIN($G280:$J280)*$F280),0)</f>
        <v>0</v>
      </c>
      <c r="AJ280" s="83" t="n">
        <f aca="false">IF($S280&gt;=2,IF(ISNUMBER(H280),H280*$F280,MIN($G280:$J280)*$F280),0)</f>
        <v>0</v>
      </c>
      <c r="AK280" s="83" t="n">
        <f aca="false">IF($S280&gt;=2,IF(ISNUMBER(I280),I280*$F280,MIN($G280:$J280)*$F280),0)</f>
        <v>0</v>
      </c>
      <c r="AL280" s="83" t="n">
        <f aca="false">IF($S280&gt;=2,IF(ISNUMBER(J280),J280*$F280,MIN($G280:$J280)*$F280),0)</f>
        <v>0</v>
      </c>
      <c r="AM280" s="84" t="str">
        <f aca="false">IF($S280&gt;=2,$R280+ROW()/1000000,"")</f>
        <v/>
      </c>
      <c r="AN280" s="83" t="str">
        <f aca="false">IF($S280&gt;=2,MAX(G280:J280),"")</f>
        <v/>
      </c>
      <c r="AO280" s="82" t="str">
        <f aca="false">IF($S280&gt;=2,INDEX($G$6:$J$6,MATCH(MAX(G280:J280),G280:J280,0)),"")</f>
        <v/>
      </c>
      <c r="AP280" s="83" t="n">
        <f aca="false">IF($S280&gt;=2,MIN(G280:J280)*$F280,0)</f>
        <v>0</v>
      </c>
      <c r="AQ280" s="82" t="str">
        <f aca="false">IF($S280&gt;=2,INDEX($G$6:$J$6,MATCH(MIN(G280:J280),G280:J280,0)),"")</f>
        <v/>
      </c>
    </row>
    <row r="281" customFormat="false" ht="15" hidden="false" customHeight="true" outlineLevel="0" collapsed="false">
      <c r="A281" s="70" t="s">
        <v>713</v>
      </c>
      <c r="B281" s="71" t="s">
        <v>682</v>
      </c>
      <c r="C281" s="72" t="s">
        <v>261</v>
      </c>
      <c r="D281" s="73" t="s">
        <v>714</v>
      </c>
      <c r="E281" s="74" t="s">
        <v>133</v>
      </c>
      <c r="F281" s="75" t="n">
        <v>9</v>
      </c>
      <c r="G281" s="85" t="s">
        <v>138</v>
      </c>
      <c r="H281" s="85" t="s">
        <v>138</v>
      </c>
      <c r="I281" s="85" t="s">
        <v>138</v>
      </c>
      <c r="J281" s="76" t="n">
        <f aca="false">IF(COUNTIF('Quote Lines'!$P$3:$P$805,$A281&amp;"|"&amp;J$6&amp;"|1")=0,"—",SUMIFS('Quote Lines'!$O$3:$O$805,'Quote Lines'!$P$3:$P$805,$A281&amp;"|"&amp;J$6&amp;"|1")/SUMIFS('Quote Lines'!$L$3:$L$805,'Quote Lines'!$P$3:$P$805,$A281&amp;"|"&amp;J$6&amp;"|1"))</f>
        <v>92.65</v>
      </c>
      <c r="K281" s="14" t="str">
        <f aca="false">IF(ISNUMBER(G281),G281*$F281,"—")</f>
        <v>—</v>
      </c>
      <c r="L281" s="14" t="str">
        <f aca="false">IF(ISNUMBER(H281),H281*$F281,"—")</f>
        <v>—</v>
      </c>
      <c r="M281" s="14" t="str">
        <f aca="false">IF(ISNUMBER(I281),I281*$F281,"—")</f>
        <v>—</v>
      </c>
      <c r="N281" s="14" t="n">
        <f aca="false">IF(ISNUMBER(J281),J281*$F281,"—")</f>
        <v>833.85</v>
      </c>
      <c r="O281" s="77" t="n">
        <f aca="false">IF($S281=0,"—",MIN(G281:J281))</f>
        <v>92.65</v>
      </c>
      <c r="P281" s="42" t="str">
        <f aca="false">IF($S281=0,"—",IF(COUNTIF(G281:J281,O281)&gt;1,"Tie",INDEX($G$6:$J$6,MATCH(O281,G281:J281,0))))</f>
        <v>Scholzen</v>
      </c>
      <c r="Q281" s="48" t="str">
        <f aca="false">IF($S281&gt;=2,MAX(G281:J281)/MIN(G281:J281)-1,"—")</f>
        <v>—</v>
      </c>
      <c r="R281" s="78" t="str">
        <f aca="false">IF($S281&gt;=2,(MAX(G281:J281)-MIN(G281:J281))*$F281,"—")</f>
        <v>—</v>
      </c>
      <c r="S281" s="18" t="n">
        <f aca="false">COUNT(G281:J281)</f>
        <v>1</v>
      </c>
      <c r="T281" s="79" t="str">
        <f aca="false">IF($S281&lt;=1,IF($S281=1,"Single quote","—"),"Like-for-like")</f>
        <v>Single quote</v>
      </c>
      <c r="U281" s="79" t="str">
        <f aca="false">IF(COUNT(W281:Z281)&lt;2,"",IF(MAX(W281:Z281)=MIN(W281:Z281),"OK","Qty differs"))</f>
        <v/>
      </c>
      <c r="V281" s="80"/>
      <c r="W281" s="81"/>
      <c r="X281" s="81"/>
      <c r="Y281" s="81"/>
      <c r="Z281" s="81" t="n">
        <f aca="false">IF(COUNTIFS('Quote Lines'!$P$3:$P$805,$A281&amp;"|"&amp;J$6&amp;"|1",'Quote Lines'!$M$3:$M$805,"Y")=0,"",SUMIFS('Quote Lines'!$L$3:$L$805,'Quote Lines'!$P$3:$P$805,$A281&amp;"|"&amp;J$6&amp;"|1",'Quote Lines'!$M$3:$M$805,"Y"))</f>
        <v>9</v>
      </c>
      <c r="AA281" s="82" t="str">
        <f aca="false">IF(ISNUMBER(G281),1+SUMPRODUCT(ISNUMBER($G281:$J281)*($G281:$J281&lt;G281)),"")</f>
        <v/>
      </c>
      <c r="AB281" s="82" t="str">
        <f aca="false">IF(ISNUMBER(H281),1+SUMPRODUCT(ISNUMBER($G281:$J281)*($G281:$J281&lt;H281)),"")</f>
        <v/>
      </c>
      <c r="AC281" s="82" t="str">
        <f aca="false">IF(ISNUMBER(I281),1+SUMPRODUCT(ISNUMBER($G281:$J281)*($G281:$J281&lt;I281)),"")</f>
        <v/>
      </c>
      <c r="AD281" s="82" t="n">
        <f aca="false">IF(ISNUMBER(J281),1+SUMPRODUCT(ISNUMBER($G281:$J281)*($G281:$J281&lt;J281)),"")</f>
        <v>1</v>
      </c>
      <c r="AE281" s="82" t="n">
        <f aca="false">IF(NOT(ISNUMBER(G281)),0,IF($S281&lt;2,5,IF(AA281=1,1,IF(G281=MAX($G281:$J281),4,IF(AA281=2,2,3)))))</f>
        <v>0</v>
      </c>
      <c r="AF281" s="82" t="n">
        <f aca="false">IF(NOT(ISNUMBER(H281)),0,IF($S281&lt;2,5,IF(AB281=1,1,IF(H281=MAX($G281:$J281),4,IF(AB281=2,2,3)))))</f>
        <v>0</v>
      </c>
      <c r="AG281" s="82" t="n">
        <f aca="false">IF(NOT(ISNUMBER(I281)),0,IF($S281&lt;2,5,IF(AC281=1,1,IF(I281=MAX($G281:$J281),4,IF(AC281=2,2,3)))))</f>
        <v>0</v>
      </c>
      <c r="AH281" s="82" t="n">
        <f aca="false">IF(NOT(ISNUMBER(J281)),0,IF($S281&lt;2,5,IF(AD281=1,1,IF(J281=MAX($G281:$J281),4,IF(AD281=2,2,3)))))</f>
        <v>5</v>
      </c>
      <c r="AI281" s="83" t="n">
        <f aca="false">IF($S281&gt;=2,IF(ISNUMBER(G281),G281*$F281,MIN($G281:$J281)*$F281),0)</f>
        <v>0</v>
      </c>
      <c r="AJ281" s="83" t="n">
        <f aca="false">IF($S281&gt;=2,IF(ISNUMBER(H281),H281*$F281,MIN($G281:$J281)*$F281),0)</f>
        <v>0</v>
      </c>
      <c r="AK281" s="83" t="n">
        <f aca="false">IF($S281&gt;=2,IF(ISNUMBER(I281),I281*$F281,MIN($G281:$J281)*$F281),0)</f>
        <v>0</v>
      </c>
      <c r="AL281" s="83" t="n">
        <f aca="false">IF($S281&gt;=2,IF(ISNUMBER(J281),J281*$F281,MIN($G281:$J281)*$F281),0)</f>
        <v>0</v>
      </c>
      <c r="AM281" s="84" t="str">
        <f aca="false">IF($S281&gt;=2,$R281+ROW()/1000000,"")</f>
        <v/>
      </c>
      <c r="AN281" s="83" t="str">
        <f aca="false">IF($S281&gt;=2,MAX(G281:J281),"")</f>
        <v/>
      </c>
      <c r="AO281" s="82" t="str">
        <f aca="false">IF($S281&gt;=2,INDEX($G$6:$J$6,MATCH(MAX(G281:J281),G281:J281,0)),"")</f>
        <v/>
      </c>
      <c r="AP281" s="83" t="n">
        <f aca="false">IF($S281&gt;=2,MIN(G281:J281)*$F281,0)</f>
        <v>0</v>
      </c>
      <c r="AQ281" s="82" t="str">
        <f aca="false">IF($S281&gt;=2,INDEX($G$6:$J$6,MATCH(MIN(G281:J281),G281:J281,0)),"")</f>
        <v/>
      </c>
    </row>
    <row r="282" customFormat="false" ht="15" hidden="false" customHeight="true" outlineLevel="0" collapsed="false">
      <c r="A282" s="70" t="s">
        <v>715</v>
      </c>
      <c r="B282" s="71" t="s">
        <v>682</v>
      </c>
      <c r="C282" s="72" t="s">
        <v>261</v>
      </c>
      <c r="D282" s="73" t="s">
        <v>716</v>
      </c>
      <c r="E282" s="74" t="s">
        <v>133</v>
      </c>
      <c r="F282" s="75" t="n">
        <v>9</v>
      </c>
      <c r="G282" s="85" t="s">
        <v>138</v>
      </c>
      <c r="H282" s="85" t="s">
        <v>138</v>
      </c>
      <c r="I282" s="76" t="n">
        <f aca="false">IF(COUNTIF('Quote Lines'!$P$3:$P$805,$A282&amp;"|"&amp;I$6&amp;"|1")=0,"—",SUMIFS('Quote Lines'!$O$3:$O$805,'Quote Lines'!$P$3:$P$805,$A282&amp;"|"&amp;I$6&amp;"|1")/SUMIFS('Quote Lines'!$L$3:$L$805,'Quote Lines'!$P$3:$P$805,$A282&amp;"|"&amp;I$6&amp;"|1"))</f>
        <v>62.0466666666667</v>
      </c>
      <c r="J282" s="85" t="s">
        <v>138</v>
      </c>
      <c r="K282" s="14" t="str">
        <f aca="false">IF(ISNUMBER(G282),G282*$F282,"—")</f>
        <v>—</v>
      </c>
      <c r="L282" s="14" t="str">
        <f aca="false">IF(ISNUMBER(H282),H282*$F282,"—")</f>
        <v>—</v>
      </c>
      <c r="M282" s="14" t="n">
        <f aca="false">IF(ISNUMBER(I282),I282*$F282,"—")</f>
        <v>558.42</v>
      </c>
      <c r="N282" s="14" t="str">
        <f aca="false">IF(ISNUMBER(J282),J282*$F282,"—")</f>
        <v>—</v>
      </c>
      <c r="O282" s="77" t="n">
        <f aca="false">IF($S282=0,"—",MIN(G282:J282))</f>
        <v>62.0466666666667</v>
      </c>
      <c r="P282" s="42" t="str">
        <f aca="false">IF($S282=0,"—",IF(COUNTIF(G282:J282,O282)&gt;1,"Tie",INDEX($G$6:$J$6,MATCH(O282,G282:J282,0))))</f>
        <v>Mountainland</v>
      </c>
      <c r="Q282" s="48" t="str">
        <f aca="false">IF($S282&gt;=2,MAX(G282:J282)/MIN(G282:J282)-1,"—")</f>
        <v>—</v>
      </c>
      <c r="R282" s="78" t="str">
        <f aca="false">IF($S282&gt;=2,(MAX(G282:J282)-MIN(G282:J282))*$F282,"—")</f>
        <v>—</v>
      </c>
      <c r="S282" s="18" t="n">
        <f aca="false">COUNT(G282:J282)</f>
        <v>1</v>
      </c>
      <c r="T282" s="79" t="str">
        <f aca="false">IF($S282&lt;=1,IF($S282=1,"Single quote","—"),"Like-for-like")</f>
        <v>Single quote</v>
      </c>
      <c r="U282" s="79" t="str">
        <f aca="false">IF(COUNT(W282:Z282)&lt;2,"",IF(MAX(W282:Z282)=MIN(W282:Z282),"OK","Qty differs"))</f>
        <v/>
      </c>
      <c r="V282" s="80"/>
      <c r="W282" s="81"/>
      <c r="X282" s="81"/>
      <c r="Y282" s="81" t="n">
        <f aca="false">IF(COUNTIFS('Quote Lines'!$P$3:$P$805,$A282&amp;"|"&amp;I$6&amp;"|1",'Quote Lines'!$M$3:$M$805,"Y")=0,"",SUMIFS('Quote Lines'!$L$3:$L$805,'Quote Lines'!$P$3:$P$805,$A282&amp;"|"&amp;I$6&amp;"|1",'Quote Lines'!$M$3:$M$805,"Y"))</f>
        <v>9</v>
      </c>
      <c r="Z282" s="81"/>
      <c r="AA282" s="82" t="str">
        <f aca="false">IF(ISNUMBER(G282),1+SUMPRODUCT(ISNUMBER($G282:$J282)*($G282:$J282&lt;G282)),"")</f>
        <v/>
      </c>
      <c r="AB282" s="82" t="str">
        <f aca="false">IF(ISNUMBER(H282),1+SUMPRODUCT(ISNUMBER($G282:$J282)*($G282:$J282&lt;H282)),"")</f>
        <v/>
      </c>
      <c r="AC282" s="82" t="n">
        <f aca="false">IF(ISNUMBER(I282),1+SUMPRODUCT(ISNUMBER($G282:$J282)*($G282:$J282&lt;I282)),"")</f>
        <v>1</v>
      </c>
      <c r="AD282" s="82" t="str">
        <f aca="false">IF(ISNUMBER(J282),1+SUMPRODUCT(ISNUMBER($G282:$J282)*($G282:$J282&lt;J282)),"")</f>
        <v/>
      </c>
      <c r="AE282" s="82" t="n">
        <f aca="false">IF(NOT(ISNUMBER(G282)),0,IF($S282&lt;2,5,IF(AA282=1,1,IF(G282=MAX($G282:$J282),4,IF(AA282=2,2,3)))))</f>
        <v>0</v>
      </c>
      <c r="AF282" s="82" t="n">
        <f aca="false">IF(NOT(ISNUMBER(H282)),0,IF($S282&lt;2,5,IF(AB282=1,1,IF(H282=MAX($G282:$J282),4,IF(AB282=2,2,3)))))</f>
        <v>0</v>
      </c>
      <c r="AG282" s="82" t="n">
        <f aca="false">IF(NOT(ISNUMBER(I282)),0,IF($S282&lt;2,5,IF(AC282=1,1,IF(I282=MAX($G282:$J282),4,IF(AC282=2,2,3)))))</f>
        <v>5</v>
      </c>
      <c r="AH282" s="82" t="n">
        <f aca="false">IF(NOT(ISNUMBER(J282)),0,IF($S282&lt;2,5,IF(AD282=1,1,IF(J282=MAX($G282:$J282),4,IF(AD282=2,2,3)))))</f>
        <v>0</v>
      </c>
      <c r="AI282" s="83" t="n">
        <f aca="false">IF($S282&gt;=2,IF(ISNUMBER(G282),G282*$F282,MIN($G282:$J282)*$F282),0)</f>
        <v>0</v>
      </c>
      <c r="AJ282" s="83" t="n">
        <f aca="false">IF($S282&gt;=2,IF(ISNUMBER(H282),H282*$F282,MIN($G282:$J282)*$F282),0)</f>
        <v>0</v>
      </c>
      <c r="AK282" s="83" t="n">
        <f aca="false">IF($S282&gt;=2,IF(ISNUMBER(I282),I282*$F282,MIN($G282:$J282)*$F282),0)</f>
        <v>0</v>
      </c>
      <c r="AL282" s="83" t="n">
        <f aca="false">IF($S282&gt;=2,IF(ISNUMBER(J282),J282*$F282,MIN($G282:$J282)*$F282),0)</f>
        <v>0</v>
      </c>
      <c r="AM282" s="84" t="str">
        <f aca="false">IF($S282&gt;=2,$R282+ROW()/1000000,"")</f>
        <v/>
      </c>
      <c r="AN282" s="83" t="str">
        <f aca="false">IF($S282&gt;=2,MAX(G282:J282),"")</f>
        <v/>
      </c>
      <c r="AO282" s="82" t="str">
        <f aca="false">IF($S282&gt;=2,INDEX($G$6:$J$6,MATCH(MAX(G282:J282),G282:J282,0)),"")</f>
        <v/>
      </c>
      <c r="AP282" s="83" t="n">
        <f aca="false">IF($S282&gt;=2,MIN(G282:J282)*$F282,0)</f>
        <v>0</v>
      </c>
      <c r="AQ282" s="82" t="str">
        <f aca="false">IF($S282&gt;=2,INDEX($G$6:$J$6,MATCH(MIN(G282:J282),G282:J282,0)),"")</f>
        <v/>
      </c>
    </row>
    <row r="283" customFormat="false" ht="15" hidden="false" customHeight="true" outlineLevel="0" collapsed="false">
      <c r="A283" s="70" t="s">
        <v>717</v>
      </c>
      <c r="B283" s="71" t="s">
        <v>682</v>
      </c>
      <c r="C283" s="72" t="s">
        <v>261</v>
      </c>
      <c r="D283" s="73" t="s">
        <v>407</v>
      </c>
      <c r="E283" s="74" t="s">
        <v>133</v>
      </c>
      <c r="F283" s="75" t="n">
        <v>20</v>
      </c>
      <c r="G283" s="76" t="n">
        <f aca="false">IF(COUNTIF('Quote Lines'!$P$3:$P$805,$A283&amp;"|"&amp;G$6&amp;"|1")=0,"—",SUMIFS('Quote Lines'!$O$3:$O$805,'Quote Lines'!$P$3:$P$805,$A283&amp;"|"&amp;G$6&amp;"|1")/SUMIFS('Quote Lines'!$L$3:$L$805,'Quote Lines'!$P$3:$P$805,$A283&amp;"|"&amp;G$6&amp;"|1"))</f>
        <v>24.25</v>
      </c>
      <c r="H283" s="85" t="s">
        <v>138</v>
      </c>
      <c r="I283" s="85" t="s">
        <v>138</v>
      </c>
      <c r="J283" s="85" t="s">
        <v>138</v>
      </c>
      <c r="K283" s="14" t="n">
        <f aca="false">IF(ISNUMBER(G283),G283*$F283,"—")</f>
        <v>485</v>
      </c>
      <c r="L283" s="14" t="str">
        <f aca="false">IF(ISNUMBER(H283),H283*$F283,"—")</f>
        <v>—</v>
      </c>
      <c r="M283" s="14" t="str">
        <f aca="false">IF(ISNUMBER(I283),I283*$F283,"—")</f>
        <v>—</v>
      </c>
      <c r="N283" s="14" t="str">
        <f aca="false">IF(ISNUMBER(J283),J283*$F283,"—")</f>
        <v>—</v>
      </c>
      <c r="O283" s="77" t="n">
        <f aca="false">IF($S283=0,"—",MIN(G283:J283))</f>
        <v>24.25</v>
      </c>
      <c r="P283" s="42" t="str">
        <f aca="false">IF($S283=0,"—",IF(COUNTIF(G283:J283,O283)&gt;1,"Tie",INDEX($G$6:$J$6,MATCH(O283,G283:J283,0))))</f>
        <v>Ferguson</v>
      </c>
      <c r="Q283" s="48" t="str">
        <f aca="false">IF($S283&gt;=2,MAX(G283:J283)/MIN(G283:J283)-1,"—")</f>
        <v>—</v>
      </c>
      <c r="R283" s="78" t="str">
        <f aca="false">IF($S283&gt;=2,(MAX(G283:J283)-MIN(G283:J283))*$F283,"—")</f>
        <v>—</v>
      </c>
      <c r="S283" s="18" t="n">
        <f aca="false">COUNT(G283:J283)</f>
        <v>1</v>
      </c>
      <c r="T283" s="79" t="str">
        <f aca="false">IF($S283&lt;=1,IF($S283=1,"Single quote","—"),"Like-for-like")</f>
        <v>Single quote</v>
      </c>
      <c r="U283" s="79" t="str">
        <f aca="false">IF(COUNT(W283:Z283)&lt;2,"",IF(MAX(W283:Z283)=MIN(W283:Z283),"OK","Qty differs"))</f>
        <v/>
      </c>
      <c r="V283" s="80"/>
      <c r="W283" s="81" t="n">
        <f aca="false">IF(COUNTIFS('Quote Lines'!$P$3:$P$805,$A283&amp;"|"&amp;G$6&amp;"|1",'Quote Lines'!$M$3:$M$805,"Y")=0,"",SUMIFS('Quote Lines'!$L$3:$L$805,'Quote Lines'!$P$3:$P$805,$A283&amp;"|"&amp;G$6&amp;"|1",'Quote Lines'!$M$3:$M$805,"Y"))</f>
        <v>20</v>
      </c>
      <c r="X283" s="81"/>
      <c r="Y283" s="81"/>
      <c r="Z283" s="81"/>
      <c r="AA283" s="82" t="n">
        <f aca="false">IF(ISNUMBER(G283),1+SUMPRODUCT(ISNUMBER($G283:$J283)*($G283:$J283&lt;G283)),"")</f>
        <v>1</v>
      </c>
      <c r="AB283" s="82" t="str">
        <f aca="false">IF(ISNUMBER(H283),1+SUMPRODUCT(ISNUMBER($G283:$J283)*($G283:$J283&lt;H283)),"")</f>
        <v/>
      </c>
      <c r="AC283" s="82" t="str">
        <f aca="false">IF(ISNUMBER(I283),1+SUMPRODUCT(ISNUMBER($G283:$J283)*($G283:$J283&lt;I283)),"")</f>
        <v/>
      </c>
      <c r="AD283" s="82" t="str">
        <f aca="false">IF(ISNUMBER(J283),1+SUMPRODUCT(ISNUMBER($G283:$J283)*($G283:$J283&lt;J283)),"")</f>
        <v/>
      </c>
      <c r="AE283" s="82" t="n">
        <f aca="false">IF(NOT(ISNUMBER(G283)),0,IF($S283&lt;2,5,IF(AA283=1,1,IF(G283=MAX($G283:$J283),4,IF(AA283=2,2,3)))))</f>
        <v>5</v>
      </c>
      <c r="AF283" s="82" t="n">
        <f aca="false">IF(NOT(ISNUMBER(H283)),0,IF($S283&lt;2,5,IF(AB283=1,1,IF(H283=MAX($G283:$J283),4,IF(AB283=2,2,3)))))</f>
        <v>0</v>
      </c>
      <c r="AG283" s="82" t="n">
        <f aca="false">IF(NOT(ISNUMBER(I283)),0,IF($S283&lt;2,5,IF(AC283=1,1,IF(I283=MAX($G283:$J283),4,IF(AC283=2,2,3)))))</f>
        <v>0</v>
      </c>
      <c r="AH283" s="82" t="n">
        <f aca="false">IF(NOT(ISNUMBER(J283)),0,IF($S283&lt;2,5,IF(AD283=1,1,IF(J283=MAX($G283:$J283),4,IF(AD283=2,2,3)))))</f>
        <v>0</v>
      </c>
      <c r="AI283" s="83" t="n">
        <f aca="false">IF($S283&gt;=2,IF(ISNUMBER(G283),G283*$F283,MIN($G283:$J283)*$F283),0)</f>
        <v>0</v>
      </c>
      <c r="AJ283" s="83" t="n">
        <f aca="false">IF($S283&gt;=2,IF(ISNUMBER(H283),H283*$F283,MIN($G283:$J283)*$F283),0)</f>
        <v>0</v>
      </c>
      <c r="AK283" s="83" t="n">
        <f aca="false">IF($S283&gt;=2,IF(ISNUMBER(I283),I283*$F283,MIN($G283:$J283)*$F283),0)</f>
        <v>0</v>
      </c>
      <c r="AL283" s="83" t="n">
        <f aca="false">IF($S283&gt;=2,IF(ISNUMBER(J283),J283*$F283,MIN($G283:$J283)*$F283),0)</f>
        <v>0</v>
      </c>
      <c r="AM283" s="84" t="str">
        <f aca="false">IF($S283&gt;=2,$R283+ROW()/1000000,"")</f>
        <v/>
      </c>
      <c r="AN283" s="83" t="str">
        <f aca="false">IF($S283&gt;=2,MAX(G283:J283),"")</f>
        <v/>
      </c>
      <c r="AO283" s="82" t="str">
        <f aca="false">IF($S283&gt;=2,INDEX($G$6:$J$6,MATCH(MAX(G283:J283),G283:J283,0)),"")</f>
        <v/>
      </c>
      <c r="AP283" s="83" t="n">
        <f aca="false">IF($S283&gt;=2,MIN(G283:J283)*$F283,0)</f>
        <v>0</v>
      </c>
      <c r="AQ283" s="82" t="str">
        <f aca="false">IF($S283&gt;=2,INDEX($G$6:$J$6,MATCH(MIN(G283:J283),G283:J283,0)),"")</f>
        <v/>
      </c>
    </row>
    <row r="284" customFormat="false" ht="15" hidden="false" customHeight="true" outlineLevel="0" collapsed="false">
      <c r="A284" s="70" t="s">
        <v>718</v>
      </c>
      <c r="B284" s="71" t="s">
        <v>682</v>
      </c>
      <c r="C284" s="72" t="s">
        <v>261</v>
      </c>
      <c r="D284" s="73" t="s">
        <v>719</v>
      </c>
      <c r="E284" s="74" t="s">
        <v>133</v>
      </c>
      <c r="F284" s="75" t="n">
        <v>9</v>
      </c>
      <c r="G284" s="85" t="s">
        <v>138</v>
      </c>
      <c r="H284" s="85" t="s">
        <v>138</v>
      </c>
      <c r="I284" s="85" t="s">
        <v>138</v>
      </c>
      <c r="J284" s="76" t="n">
        <f aca="false">IF(COUNTIF('Quote Lines'!$P$3:$P$805,$A284&amp;"|"&amp;J$6&amp;"|1")=0,"—",SUMIFS('Quote Lines'!$O$3:$O$805,'Quote Lines'!$P$3:$P$805,$A284&amp;"|"&amp;J$6&amp;"|1")/SUMIFS('Quote Lines'!$L$3:$L$805,'Quote Lines'!$P$3:$P$805,$A284&amp;"|"&amp;J$6&amp;"|1"))</f>
        <v>161.45</v>
      </c>
      <c r="K284" s="14" t="str">
        <f aca="false">IF(ISNUMBER(G284),G284*$F284,"—")</f>
        <v>—</v>
      </c>
      <c r="L284" s="14" t="str">
        <f aca="false">IF(ISNUMBER(H284),H284*$F284,"—")</f>
        <v>—</v>
      </c>
      <c r="M284" s="14" t="str">
        <f aca="false">IF(ISNUMBER(I284),I284*$F284,"—")</f>
        <v>—</v>
      </c>
      <c r="N284" s="14" t="n">
        <f aca="false">IF(ISNUMBER(J284),J284*$F284,"—")</f>
        <v>1453.05</v>
      </c>
      <c r="O284" s="77" t="n">
        <f aca="false">IF($S284=0,"—",MIN(G284:J284))</f>
        <v>161.45</v>
      </c>
      <c r="P284" s="42" t="str">
        <f aca="false">IF($S284=0,"—",IF(COUNTIF(G284:J284,O284)&gt;1,"Tie",INDEX($G$6:$J$6,MATCH(O284,G284:J284,0))))</f>
        <v>Scholzen</v>
      </c>
      <c r="Q284" s="48" t="str">
        <f aca="false">IF($S284&gt;=2,MAX(G284:J284)/MIN(G284:J284)-1,"—")</f>
        <v>—</v>
      </c>
      <c r="R284" s="78" t="str">
        <f aca="false">IF($S284&gt;=2,(MAX(G284:J284)-MIN(G284:J284))*$F284,"—")</f>
        <v>—</v>
      </c>
      <c r="S284" s="18" t="n">
        <f aca="false">COUNT(G284:J284)</f>
        <v>1</v>
      </c>
      <c r="T284" s="79" t="str">
        <f aca="false">IF($S284&lt;=1,IF($S284=1,"Single quote","—"),"Like-for-like")</f>
        <v>Single quote</v>
      </c>
      <c r="U284" s="79" t="str">
        <f aca="false">IF(COUNT(W284:Z284)&lt;2,"",IF(MAX(W284:Z284)=MIN(W284:Z284),"OK","Qty differs"))</f>
        <v/>
      </c>
      <c r="V284" s="80"/>
      <c r="W284" s="81"/>
      <c r="X284" s="81"/>
      <c r="Y284" s="81"/>
      <c r="Z284" s="81" t="n">
        <f aca="false">IF(COUNTIFS('Quote Lines'!$P$3:$P$805,$A284&amp;"|"&amp;J$6&amp;"|1",'Quote Lines'!$M$3:$M$805,"Y")=0,"",SUMIFS('Quote Lines'!$L$3:$L$805,'Quote Lines'!$P$3:$P$805,$A284&amp;"|"&amp;J$6&amp;"|1",'Quote Lines'!$M$3:$M$805,"Y"))</f>
        <v>9</v>
      </c>
      <c r="AA284" s="82" t="str">
        <f aca="false">IF(ISNUMBER(G284),1+SUMPRODUCT(ISNUMBER($G284:$J284)*($G284:$J284&lt;G284)),"")</f>
        <v/>
      </c>
      <c r="AB284" s="82" t="str">
        <f aca="false">IF(ISNUMBER(H284),1+SUMPRODUCT(ISNUMBER($G284:$J284)*($G284:$J284&lt;H284)),"")</f>
        <v/>
      </c>
      <c r="AC284" s="82" t="str">
        <f aca="false">IF(ISNUMBER(I284),1+SUMPRODUCT(ISNUMBER($G284:$J284)*($G284:$J284&lt;I284)),"")</f>
        <v/>
      </c>
      <c r="AD284" s="82" t="n">
        <f aca="false">IF(ISNUMBER(J284),1+SUMPRODUCT(ISNUMBER($G284:$J284)*($G284:$J284&lt;J284)),"")</f>
        <v>1</v>
      </c>
      <c r="AE284" s="82" t="n">
        <f aca="false">IF(NOT(ISNUMBER(G284)),0,IF($S284&lt;2,5,IF(AA284=1,1,IF(G284=MAX($G284:$J284),4,IF(AA284=2,2,3)))))</f>
        <v>0</v>
      </c>
      <c r="AF284" s="82" t="n">
        <f aca="false">IF(NOT(ISNUMBER(H284)),0,IF($S284&lt;2,5,IF(AB284=1,1,IF(H284=MAX($G284:$J284),4,IF(AB284=2,2,3)))))</f>
        <v>0</v>
      </c>
      <c r="AG284" s="82" t="n">
        <f aca="false">IF(NOT(ISNUMBER(I284)),0,IF($S284&lt;2,5,IF(AC284=1,1,IF(I284=MAX($G284:$J284),4,IF(AC284=2,2,3)))))</f>
        <v>0</v>
      </c>
      <c r="AH284" s="82" t="n">
        <f aca="false">IF(NOT(ISNUMBER(J284)),0,IF($S284&lt;2,5,IF(AD284=1,1,IF(J284=MAX($G284:$J284),4,IF(AD284=2,2,3)))))</f>
        <v>5</v>
      </c>
      <c r="AI284" s="83" t="n">
        <f aca="false">IF($S284&gt;=2,IF(ISNUMBER(G284),G284*$F284,MIN($G284:$J284)*$F284),0)</f>
        <v>0</v>
      </c>
      <c r="AJ284" s="83" t="n">
        <f aca="false">IF($S284&gt;=2,IF(ISNUMBER(H284),H284*$F284,MIN($G284:$J284)*$F284),0)</f>
        <v>0</v>
      </c>
      <c r="AK284" s="83" t="n">
        <f aca="false">IF($S284&gt;=2,IF(ISNUMBER(I284),I284*$F284,MIN($G284:$J284)*$F284),0)</f>
        <v>0</v>
      </c>
      <c r="AL284" s="83" t="n">
        <f aca="false">IF($S284&gt;=2,IF(ISNUMBER(J284),J284*$F284,MIN($G284:$J284)*$F284),0)</f>
        <v>0</v>
      </c>
      <c r="AM284" s="84" t="str">
        <f aca="false">IF($S284&gt;=2,$R284+ROW()/1000000,"")</f>
        <v/>
      </c>
      <c r="AN284" s="83" t="str">
        <f aca="false">IF($S284&gt;=2,MAX(G284:J284),"")</f>
        <v/>
      </c>
      <c r="AO284" s="82" t="str">
        <f aca="false">IF($S284&gt;=2,INDEX($G$6:$J$6,MATCH(MAX(G284:J284),G284:J284,0)),"")</f>
        <v/>
      </c>
      <c r="AP284" s="83" t="n">
        <f aca="false">IF($S284&gt;=2,MIN(G284:J284)*$F284,0)</f>
        <v>0</v>
      </c>
      <c r="AQ284" s="82" t="str">
        <f aca="false">IF($S284&gt;=2,INDEX($G$6:$J$6,MATCH(MIN(G284:J284),G284:J284,0)),"")</f>
        <v/>
      </c>
    </row>
    <row r="285" customFormat="false" ht="15" hidden="false" customHeight="true" outlineLevel="0" collapsed="false">
      <c r="A285" s="70" t="s">
        <v>720</v>
      </c>
      <c r="B285" s="71" t="s">
        <v>682</v>
      </c>
      <c r="C285" s="72" t="s">
        <v>261</v>
      </c>
      <c r="D285" s="73" t="s">
        <v>721</v>
      </c>
      <c r="E285" s="74" t="s">
        <v>133</v>
      </c>
      <c r="F285" s="75" t="n">
        <v>9</v>
      </c>
      <c r="G285" s="76" t="n">
        <f aca="false">IF(COUNTIF('Quote Lines'!$P$3:$P$805,$A285&amp;"|"&amp;G$6&amp;"|1")=0,"—",SUMIFS('Quote Lines'!$O$3:$O$805,'Quote Lines'!$P$3:$P$805,$A285&amp;"|"&amp;G$6&amp;"|1")/SUMIFS('Quote Lines'!$L$3:$L$805,'Quote Lines'!$P$3:$P$805,$A285&amp;"|"&amp;G$6&amp;"|1"))</f>
        <v>40.09</v>
      </c>
      <c r="H285" s="76" t="n">
        <f aca="false">IF(COUNTIF('Quote Lines'!$P$3:$P$805,$A285&amp;"|"&amp;H$6&amp;"|1")=0,"—",SUMIFS('Quote Lines'!$O$3:$O$805,'Quote Lines'!$P$3:$P$805,$A285&amp;"|"&amp;H$6&amp;"|1")/SUMIFS('Quote Lines'!$L$3:$L$805,'Quote Lines'!$P$3:$P$805,$A285&amp;"|"&amp;H$6&amp;"|1"))</f>
        <v>58.75</v>
      </c>
      <c r="I285" s="76" t="n">
        <f aca="false">IF(COUNTIF('Quote Lines'!$P$3:$P$805,$A285&amp;"|"&amp;I$6&amp;"|1")=0,"—",SUMIFS('Quote Lines'!$O$3:$O$805,'Quote Lines'!$P$3:$P$805,$A285&amp;"|"&amp;I$6&amp;"|1")/SUMIFS('Quote Lines'!$L$3:$L$805,'Quote Lines'!$P$3:$P$805,$A285&amp;"|"&amp;I$6&amp;"|1"))</f>
        <v>18.4144444444444</v>
      </c>
      <c r="J285" s="76" t="n">
        <f aca="false">IF(COUNTIF('Quote Lines'!$P$3:$P$805,$A285&amp;"|"&amp;J$6&amp;"|1")=0,"—",SUMIFS('Quote Lines'!$O$3:$O$805,'Quote Lines'!$P$3:$P$805,$A285&amp;"|"&amp;J$6&amp;"|1")/SUMIFS('Quote Lines'!$L$3:$L$805,'Quote Lines'!$P$3:$P$805,$A285&amp;"|"&amp;J$6&amp;"|1"))</f>
        <v>63.33</v>
      </c>
      <c r="K285" s="14" t="n">
        <f aca="false">IF(ISNUMBER(G285),G285*$F285,"—")</f>
        <v>360.81</v>
      </c>
      <c r="L285" s="14" t="n">
        <f aca="false">IF(ISNUMBER(H285),H285*$F285,"—")</f>
        <v>528.75</v>
      </c>
      <c r="M285" s="14" t="n">
        <f aca="false">IF(ISNUMBER(I285),I285*$F285,"—")</f>
        <v>165.73</v>
      </c>
      <c r="N285" s="14" t="n">
        <f aca="false">IF(ISNUMBER(J285),J285*$F285,"—")</f>
        <v>569.97</v>
      </c>
      <c r="O285" s="77" t="n">
        <f aca="false">IF($S285=0,"—",MIN(G285:J285))</f>
        <v>18.4144444444444</v>
      </c>
      <c r="P285" s="42" t="str">
        <f aca="false">IF($S285=0,"—",IF(COUNTIF(G285:J285,O285)&gt;1,"Tie",INDEX($G$6:$J$6,MATCH(O285,G285:J285,0))))</f>
        <v>Mountainland</v>
      </c>
      <c r="Q285" s="48" t="n">
        <f aca="false">IF($S285&gt;=2,MAX(G285:J285)/MIN(G285:J285)-1,"—")</f>
        <v>2.43914801182647</v>
      </c>
      <c r="R285" s="78" t="n">
        <f aca="false">IF($S285&gt;=2,(MAX(G285:J285)-MIN(G285:J285))*$F285,"—")</f>
        <v>404.24</v>
      </c>
      <c r="S285" s="18" t="n">
        <f aca="false">COUNT(G285:J285)</f>
        <v>4</v>
      </c>
      <c r="T285" s="79" t="str">
        <f aca="false">IF($S285&lt;=1,IF($S285=1,"Single quote","—"),"Alt spec – verify")</f>
        <v>Alt spec – verify</v>
      </c>
      <c r="U285" s="79" t="str">
        <f aca="false">IF(COUNT(W285:Z285)&lt;2,"",IF(MAX(W285:Z285)=MIN(W285:Z285),"OK","Qty differs"))</f>
        <v>Qty differs</v>
      </c>
      <c r="V285" s="80" t="s">
        <v>722</v>
      </c>
      <c r="W285" s="81" t="n">
        <f aca="false">IF(COUNTIFS('Quote Lines'!$P$3:$P$805,$A285&amp;"|"&amp;G$6&amp;"|1",'Quote Lines'!$M$3:$M$805,"Y")=0,"",SUMIFS('Quote Lines'!$L$3:$L$805,'Quote Lines'!$P$3:$P$805,$A285&amp;"|"&amp;G$6&amp;"|1",'Quote Lines'!$M$3:$M$805,"Y"))</f>
        <v>10</v>
      </c>
      <c r="X285" s="81" t="n">
        <f aca="false">IF(COUNTIFS('Quote Lines'!$P$3:$P$805,$A285&amp;"|"&amp;H$6&amp;"|1",'Quote Lines'!$M$3:$M$805,"Y")=0,"",SUMIFS('Quote Lines'!$L$3:$L$805,'Quote Lines'!$P$3:$P$805,$A285&amp;"|"&amp;H$6&amp;"|1",'Quote Lines'!$M$3:$M$805,"Y"))</f>
        <v>9</v>
      </c>
      <c r="Y285" s="81" t="n">
        <f aca="false">IF(COUNTIFS('Quote Lines'!$P$3:$P$805,$A285&amp;"|"&amp;I$6&amp;"|1",'Quote Lines'!$M$3:$M$805,"Y")=0,"",SUMIFS('Quote Lines'!$L$3:$L$805,'Quote Lines'!$P$3:$P$805,$A285&amp;"|"&amp;I$6&amp;"|1",'Quote Lines'!$M$3:$M$805,"Y"))</f>
        <v>9</v>
      </c>
      <c r="Z285" s="81" t="n">
        <f aca="false">IF(COUNTIFS('Quote Lines'!$P$3:$P$805,$A285&amp;"|"&amp;J$6&amp;"|1",'Quote Lines'!$M$3:$M$805,"Y")=0,"",SUMIFS('Quote Lines'!$L$3:$L$805,'Quote Lines'!$P$3:$P$805,$A285&amp;"|"&amp;J$6&amp;"|1",'Quote Lines'!$M$3:$M$805,"Y"))</f>
        <v>9</v>
      </c>
      <c r="AA285" s="82" t="n">
        <f aca="false">IF(ISNUMBER(G285),1+SUMPRODUCT(ISNUMBER($G285:$J285)*($G285:$J285&lt;G285)),"")</f>
        <v>2</v>
      </c>
      <c r="AB285" s="82" t="n">
        <f aca="false">IF(ISNUMBER(H285),1+SUMPRODUCT(ISNUMBER($G285:$J285)*($G285:$J285&lt;H285)),"")</f>
        <v>3</v>
      </c>
      <c r="AC285" s="82" t="n">
        <f aca="false">IF(ISNUMBER(I285),1+SUMPRODUCT(ISNUMBER($G285:$J285)*($G285:$J285&lt;I285)),"")</f>
        <v>1</v>
      </c>
      <c r="AD285" s="82" t="n">
        <f aca="false">IF(ISNUMBER(J285),1+SUMPRODUCT(ISNUMBER($G285:$J285)*($G285:$J285&lt;J285)),"")</f>
        <v>4</v>
      </c>
      <c r="AE285" s="82" t="n">
        <f aca="false">IF(NOT(ISNUMBER(G285)),0,IF($S285&lt;2,5,IF(AA285=1,1,IF(G285=MAX($G285:$J285),4,IF(AA285=2,2,3)))))</f>
        <v>2</v>
      </c>
      <c r="AF285" s="82" t="n">
        <f aca="false">IF(NOT(ISNUMBER(H285)),0,IF($S285&lt;2,5,IF(AB285=1,1,IF(H285=MAX($G285:$J285),4,IF(AB285=2,2,3)))))</f>
        <v>3</v>
      </c>
      <c r="AG285" s="82" t="n">
        <f aca="false">IF(NOT(ISNUMBER(I285)),0,IF($S285&lt;2,5,IF(AC285=1,1,IF(I285=MAX($G285:$J285),4,IF(AC285=2,2,3)))))</f>
        <v>1</v>
      </c>
      <c r="AH285" s="82" t="n">
        <f aca="false">IF(NOT(ISNUMBER(J285)),0,IF($S285&lt;2,5,IF(AD285=1,1,IF(J285=MAX($G285:$J285),4,IF(AD285=2,2,3)))))</f>
        <v>4</v>
      </c>
      <c r="AI285" s="83" t="n">
        <f aca="false">IF($S285&gt;=2,IF(ISNUMBER(G285),G285*$F285,MIN($G285:$J285)*$F285),0)</f>
        <v>360.81</v>
      </c>
      <c r="AJ285" s="83" t="n">
        <f aca="false">IF($S285&gt;=2,IF(ISNUMBER(H285),H285*$F285,MIN($G285:$J285)*$F285),0)</f>
        <v>528.75</v>
      </c>
      <c r="AK285" s="83" t="n">
        <f aca="false">IF($S285&gt;=2,IF(ISNUMBER(I285),I285*$F285,MIN($G285:$J285)*$F285),0)</f>
        <v>165.73</v>
      </c>
      <c r="AL285" s="83" t="n">
        <f aca="false">IF($S285&gt;=2,IF(ISNUMBER(J285),J285*$F285,MIN($G285:$J285)*$F285),0)</f>
        <v>569.97</v>
      </c>
      <c r="AM285" s="84" t="n">
        <f aca="false">IF($S285&gt;=2,$R285+ROW()/1000000,"")</f>
        <v>404.240285</v>
      </c>
      <c r="AN285" s="83" t="n">
        <f aca="false">IF($S285&gt;=2,MAX(G285:J285),"")</f>
        <v>63.33</v>
      </c>
      <c r="AO285" s="82" t="str">
        <f aca="false">IF($S285&gt;=2,INDEX($G$6:$J$6,MATCH(MAX(G285:J285),G285:J285,0)),"")</f>
        <v>Scholzen</v>
      </c>
      <c r="AP285" s="83" t="n">
        <f aca="false">IF($S285&gt;=2,MIN(G285:J285)*$F285,0)</f>
        <v>165.73</v>
      </c>
      <c r="AQ285" s="82" t="str">
        <f aca="false">IF($S285&gt;=2,INDEX($G$6:$J$6,MATCH(MIN(G285:J285),G285:J285,0)),"")</f>
        <v>Mountainland</v>
      </c>
    </row>
    <row r="286" customFormat="false" ht="27.75" hidden="false" customHeight="true" outlineLevel="0" collapsed="false">
      <c r="A286" s="70" t="s">
        <v>723</v>
      </c>
      <c r="B286" s="71" t="s">
        <v>682</v>
      </c>
      <c r="C286" s="72" t="s">
        <v>261</v>
      </c>
      <c r="D286" s="73" t="s">
        <v>724</v>
      </c>
      <c r="E286" s="74" t="s">
        <v>133</v>
      </c>
      <c r="F286" s="75" t="n">
        <v>1</v>
      </c>
      <c r="G286" s="76" t="n">
        <f aca="false">IF(COUNTIF('Quote Lines'!$P$3:$P$805,$A286&amp;"|"&amp;G$6&amp;"|1")=0,"—",SUMIFS('Quote Lines'!$O$3:$O$805,'Quote Lines'!$P$3:$P$805,$A286&amp;"|"&amp;G$6&amp;"|1")/SUMIFS('Quote Lines'!$L$3:$L$805,'Quote Lines'!$P$3:$P$805,$A286&amp;"|"&amp;G$6&amp;"|1"))</f>
        <v>1670.94</v>
      </c>
      <c r="H286" s="76" t="n">
        <f aca="false">IF(COUNTIF('Quote Lines'!$P$3:$P$805,$A286&amp;"|"&amp;H$6&amp;"|1")=0,"—",SUMIFS('Quote Lines'!$O$3:$O$805,'Quote Lines'!$P$3:$P$805,$A286&amp;"|"&amp;H$6&amp;"|1")/SUMIFS('Quote Lines'!$L$3:$L$805,'Quote Lines'!$P$3:$P$805,$A286&amp;"|"&amp;H$6&amp;"|1"))</f>
        <v>664.65</v>
      </c>
      <c r="I286" s="85" t="s">
        <v>138</v>
      </c>
      <c r="J286" s="85" t="s">
        <v>138</v>
      </c>
      <c r="K286" s="14" t="n">
        <f aca="false">IF(ISNUMBER(G286),G286*$F286,"—")</f>
        <v>1670.94</v>
      </c>
      <c r="L286" s="14" t="n">
        <f aca="false">IF(ISNUMBER(H286),H286*$F286,"—")</f>
        <v>664.65</v>
      </c>
      <c r="M286" s="14" t="str">
        <f aca="false">IF(ISNUMBER(I286),I286*$F286,"—")</f>
        <v>—</v>
      </c>
      <c r="N286" s="14" t="str">
        <f aca="false">IF(ISNUMBER(J286),J286*$F286,"—")</f>
        <v>—</v>
      </c>
      <c r="O286" s="77" t="n">
        <f aca="false">IF($S286=0,"—",MIN(G286:J286))</f>
        <v>664.65</v>
      </c>
      <c r="P286" s="42" t="str">
        <f aca="false">IF($S286=0,"—",IF(COUNTIF(G286:J286,O286)&gt;1,"Tie",INDEX($G$6:$J$6,MATCH(O286,G286:J286,0))))</f>
        <v>HD Fowler</v>
      </c>
      <c r="Q286" s="48" t="n">
        <f aca="false">IF($S286&gt;=2,MAX(G286:J286)/MIN(G286:J286)-1,"—")</f>
        <v>1.51401489505755</v>
      </c>
      <c r="R286" s="78" t="n">
        <f aca="false">IF($S286&gt;=2,(MAX(G286:J286)-MIN(G286:J286))*$F286,"—")</f>
        <v>1006.29</v>
      </c>
      <c r="S286" s="18" t="n">
        <f aca="false">COUNT(G286:J286)</f>
        <v>2</v>
      </c>
      <c r="T286" s="79" t="str">
        <f aca="false">IF($S286&lt;=1,IF($S286=1,"Single quote","—"),"Alt spec – verify")</f>
        <v>Alt spec – verify</v>
      </c>
      <c r="U286" s="79" t="str">
        <f aca="false">IF(COUNT(W286:Z286)&lt;2,"",IF(MAX(W286:Z286)=MIN(W286:Z286),"OK","Qty differs"))</f>
        <v>OK</v>
      </c>
      <c r="V286" s="80" t="s">
        <v>725</v>
      </c>
      <c r="W286" s="81" t="n">
        <f aca="false">IF(COUNTIFS('Quote Lines'!$P$3:$P$805,$A286&amp;"|"&amp;G$6&amp;"|1",'Quote Lines'!$M$3:$M$805,"Y")=0,"",SUMIFS('Quote Lines'!$L$3:$L$805,'Quote Lines'!$P$3:$P$805,$A286&amp;"|"&amp;G$6&amp;"|1",'Quote Lines'!$M$3:$M$805,"Y"))</f>
        <v>1</v>
      </c>
      <c r="X286" s="81" t="n">
        <f aca="false">IF(COUNTIFS('Quote Lines'!$P$3:$P$805,$A286&amp;"|"&amp;H$6&amp;"|1",'Quote Lines'!$M$3:$M$805,"Y")=0,"",SUMIFS('Quote Lines'!$L$3:$L$805,'Quote Lines'!$P$3:$P$805,$A286&amp;"|"&amp;H$6&amp;"|1",'Quote Lines'!$M$3:$M$805,"Y"))</f>
        <v>1</v>
      </c>
      <c r="Y286" s="81"/>
      <c r="Z286" s="81"/>
      <c r="AA286" s="82" t="n">
        <f aca="false">IF(ISNUMBER(G286),1+SUMPRODUCT(ISNUMBER($G286:$J286)*($G286:$J286&lt;G286)),"")</f>
        <v>2</v>
      </c>
      <c r="AB286" s="82" t="n">
        <f aca="false">IF(ISNUMBER(H286),1+SUMPRODUCT(ISNUMBER($G286:$J286)*($G286:$J286&lt;H286)),"")</f>
        <v>1</v>
      </c>
      <c r="AC286" s="82" t="str">
        <f aca="false">IF(ISNUMBER(I286),1+SUMPRODUCT(ISNUMBER($G286:$J286)*($G286:$J286&lt;I286)),"")</f>
        <v/>
      </c>
      <c r="AD286" s="82" t="str">
        <f aca="false">IF(ISNUMBER(J286),1+SUMPRODUCT(ISNUMBER($G286:$J286)*($G286:$J286&lt;J286)),"")</f>
        <v/>
      </c>
      <c r="AE286" s="82" t="n">
        <f aca="false">IF(NOT(ISNUMBER(G286)),0,IF($S286&lt;2,5,IF(AA286=1,1,IF(G286=MAX($G286:$J286),4,IF(AA286=2,2,3)))))</f>
        <v>4</v>
      </c>
      <c r="AF286" s="82" t="n">
        <f aca="false">IF(NOT(ISNUMBER(H286)),0,IF($S286&lt;2,5,IF(AB286=1,1,IF(H286=MAX($G286:$J286),4,IF(AB286=2,2,3)))))</f>
        <v>1</v>
      </c>
      <c r="AG286" s="82" t="n">
        <f aca="false">IF(NOT(ISNUMBER(I286)),0,IF($S286&lt;2,5,IF(AC286=1,1,IF(I286=MAX($G286:$J286),4,IF(AC286=2,2,3)))))</f>
        <v>0</v>
      </c>
      <c r="AH286" s="82" t="n">
        <f aca="false">IF(NOT(ISNUMBER(J286)),0,IF($S286&lt;2,5,IF(AD286=1,1,IF(J286=MAX($G286:$J286),4,IF(AD286=2,2,3)))))</f>
        <v>0</v>
      </c>
      <c r="AI286" s="83" t="n">
        <f aca="false">IF($S286&gt;=2,IF(ISNUMBER(G286),G286*$F286,MIN($G286:$J286)*$F286),0)</f>
        <v>1670.94</v>
      </c>
      <c r="AJ286" s="83" t="n">
        <f aca="false">IF($S286&gt;=2,IF(ISNUMBER(H286),H286*$F286,MIN($G286:$J286)*$F286),0)</f>
        <v>664.65</v>
      </c>
      <c r="AK286" s="83" t="n">
        <f aca="false">IF($S286&gt;=2,IF(ISNUMBER(I286),I286*$F286,MIN($G286:$J286)*$F286),0)</f>
        <v>664.65</v>
      </c>
      <c r="AL286" s="83" t="n">
        <f aca="false">IF($S286&gt;=2,IF(ISNUMBER(J286),J286*$F286,MIN($G286:$J286)*$F286),0)</f>
        <v>664.65</v>
      </c>
      <c r="AM286" s="84" t="n">
        <f aca="false">IF($S286&gt;=2,$R286+ROW()/1000000,"")</f>
        <v>1006.290286</v>
      </c>
      <c r="AN286" s="83" t="n">
        <f aca="false">IF($S286&gt;=2,MAX(G286:J286),"")</f>
        <v>1670.94</v>
      </c>
      <c r="AO286" s="82" t="str">
        <f aca="false">IF($S286&gt;=2,INDEX($G$6:$J$6,MATCH(MAX(G286:J286),G286:J286,0)),"")</f>
        <v>Ferguson</v>
      </c>
      <c r="AP286" s="83" t="n">
        <f aca="false">IF($S286&gt;=2,MIN(G286:J286)*$F286,0)</f>
        <v>664.65</v>
      </c>
      <c r="AQ286" s="82" t="str">
        <f aca="false">IF($S286&gt;=2,INDEX($G$6:$J$6,MATCH(MIN(G286:J286),G286:J286,0)),"")</f>
        <v>HD Fowler</v>
      </c>
    </row>
    <row r="287" customFormat="false" ht="15" hidden="false" customHeight="true" outlineLevel="0" collapsed="false">
      <c r="A287" s="70" t="s">
        <v>726</v>
      </c>
      <c r="B287" s="71" t="s">
        <v>682</v>
      </c>
      <c r="C287" s="72" t="s">
        <v>261</v>
      </c>
      <c r="D287" s="73" t="s">
        <v>727</v>
      </c>
      <c r="E287" s="74" t="s">
        <v>133</v>
      </c>
      <c r="F287" s="75" t="n">
        <v>1</v>
      </c>
      <c r="G287" s="76" t="n">
        <f aca="false">IF(COUNTIF('Quote Lines'!$P$3:$P$805,$A287&amp;"|"&amp;G$6&amp;"|1")=0,"—",SUMIFS('Quote Lines'!$O$3:$O$805,'Quote Lines'!$P$3:$P$805,$A287&amp;"|"&amp;G$6&amp;"|1")/SUMIFS('Quote Lines'!$L$3:$L$805,'Quote Lines'!$P$3:$P$805,$A287&amp;"|"&amp;G$6&amp;"|1"))</f>
        <v>368.3</v>
      </c>
      <c r="H287" s="76" t="n">
        <f aca="false">IF(COUNTIF('Quote Lines'!$P$3:$P$805,$A287&amp;"|"&amp;H$6&amp;"|1")=0,"—",SUMIFS('Quote Lines'!$O$3:$O$805,'Quote Lines'!$P$3:$P$805,$A287&amp;"|"&amp;H$6&amp;"|1")/SUMIFS('Quote Lines'!$L$3:$L$805,'Quote Lines'!$P$3:$P$805,$A287&amp;"|"&amp;H$6&amp;"|1"))</f>
        <v>372.94</v>
      </c>
      <c r="I287" s="76" t="n">
        <f aca="false">IF(COUNTIF('Quote Lines'!$P$3:$P$805,$A287&amp;"|"&amp;I$6&amp;"|1")=0,"—",SUMIFS('Quote Lines'!$O$3:$O$805,'Quote Lines'!$P$3:$P$805,$A287&amp;"|"&amp;I$6&amp;"|1")/SUMIFS('Quote Lines'!$L$3:$L$805,'Quote Lines'!$P$3:$P$805,$A287&amp;"|"&amp;I$6&amp;"|1"))</f>
        <v>380.47</v>
      </c>
      <c r="J287" s="85" t="s">
        <v>138</v>
      </c>
      <c r="K287" s="14" t="n">
        <f aca="false">IF(ISNUMBER(G287),G287*$F287,"—")</f>
        <v>368.3</v>
      </c>
      <c r="L287" s="14" t="n">
        <f aca="false">IF(ISNUMBER(H287),H287*$F287,"—")</f>
        <v>372.94</v>
      </c>
      <c r="M287" s="14" t="n">
        <f aca="false">IF(ISNUMBER(I287),I287*$F287,"—")</f>
        <v>380.47</v>
      </c>
      <c r="N287" s="14" t="str">
        <f aca="false">IF(ISNUMBER(J287),J287*$F287,"—")</f>
        <v>—</v>
      </c>
      <c r="O287" s="77" t="n">
        <f aca="false">IF($S287=0,"—",MIN(G287:J287))</f>
        <v>368.3</v>
      </c>
      <c r="P287" s="42" t="str">
        <f aca="false">IF($S287=0,"—",IF(COUNTIF(G287:J287,O287)&gt;1,"Tie",INDEX($G$6:$J$6,MATCH(O287,G287:J287,0))))</f>
        <v>Ferguson</v>
      </c>
      <c r="Q287" s="48" t="n">
        <f aca="false">IF($S287&gt;=2,MAX(G287:J287)/MIN(G287:J287)-1,"—")</f>
        <v>0.0330437143632909</v>
      </c>
      <c r="R287" s="78" t="n">
        <f aca="false">IF($S287&gt;=2,(MAX(G287:J287)-MIN(G287:J287))*$F287,"—")</f>
        <v>12.17</v>
      </c>
      <c r="S287" s="18" t="n">
        <f aca="false">COUNT(G287:J287)</f>
        <v>3</v>
      </c>
      <c r="T287" s="79" t="str">
        <f aca="false">IF($S287&lt;=1,IF($S287=1,"Single quote","—"),"Alt spec – verify")</f>
        <v>Alt spec – verify</v>
      </c>
      <c r="U287" s="79" t="str">
        <f aca="false">IF(COUNT(W287:Z287)&lt;2,"",IF(MAX(W287:Z287)=MIN(W287:Z287),"OK","Qty differs"))</f>
        <v>OK</v>
      </c>
      <c r="V287" s="80" t="s">
        <v>728</v>
      </c>
      <c r="W287" s="81" t="n">
        <f aca="false">IF(COUNTIFS('Quote Lines'!$P$3:$P$805,$A287&amp;"|"&amp;G$6&amp;"|1",'Quote Lines'!$M$3:$M$805,"Y")=0,"",SUMIFS('Quote Lines'!$L$3:$L$805,'Quote Lines'!$P$3:$P$805,$A287&amp;"|"&amp;G$6&amp;"|1",'Quote Lines'!$M$3:$M$805,"Y"))</f>
        <v>1</v>
      </c>
      <c r="X287" s="81" t="n">
        <f aca="false">IF(COUNTIFS('Quote Lines'!$P$3:$P$805,$A287&amp;"|"&amp;H$6&amp;"|1",'Quote Lines'!$M$3:$M$805,"Y")=0,"",SUMIFS('Quote Lines'!$L$3:$L$805,'Quote Lines'!$P$3:$P$805,$A287&amp;"|"&amp;H$6&amp;"|1",'Quote Lines'!$M$3:$M$805,"Y"))</f>
        <v>1</v>
      </c>
      <c r="Y287" s="81" t="n">
        <f aca="false">IF(COUNTIFS('Quote Lines'!$P$3:$P$805,$A287&amp;"|"&amp;I$6&amp;"|1",'Quote Lines'!$M$3:$M$805,"Y")=0,"",SUMIFS('Quote Lines'!$L$3:$L$805,'Quote Lines'!$P$3:$P$805,$A287&amp;"|"&amp;I$6&amp;"|1",'Quote Lines'!$M$3:$M$805,"Y"))</f>
        <v>1</v>
      </c>
      <c r="Z287" s="81"/>
      <c r="AA287" s="82" t="n">
        <f aca="false">IF(ISNUMBER(G287),1+SUMPRODUCT(ISNUMBER($G287:$J287)*($G287:$J287&lt;G287)),"")</f>
        <v>1</v>
      </c>
      <c r="AB287" s="82" t="n">
        <f aca="false">IF(ISNUMBER(H287),1+SUMPRODUCT(ISNUMBER($G287:$J287)*($G287:$J287&lt;H287)),"")</f>
        <v>2</v>
      </c>
      <c r="AC287" s="82" t="n">
        <f aca="false">IF(ISNUMBER(I287),1+SUMPRODUCT(ISNUMBER($G287:$J287)*($G287:$J287&lt;I287)),"")</f>
        <v>3</v>
      </c>
      <c r="AD287" s="82" t="str">
        <f aca="false">IF(ISNUMBER(J287),1+SUMPRODUCT(ISNUMBER($G287:$J287)*($G287:$J287&lt;J287)),"")</f>
        <v/>
      </c>
      <c r="AE287" s="82" t="n">
        <f aca="false">IF(NOT(ISNUMBER(G287)),0,IF($S287&lt;2,5,IF(AA287=1,1,IF(G287=MAX($G287:$J287),4,IF(AA287=2,2,3)))))</f>
        <v>1</v>
      </c>
      <c r="AF287" s="82" t="n">
        <f aca="false">IF(NOT(ISNUMBER(H287)),0,IF($S287&lt;2,5,IF(AB287=1,1,IF(H287=MAX($G287:$J287),4,IF(AB287=2,2,3)))))</f>
        <v>2</v>
      </c>
      <c r="AG287" s="82" t="n">
        <f aca="false">IF(NOT(ISNUMBER(I287)),0,IF($S287&lt;2,5,IF(AC287=1,1,IF(I287=MAX($G287:$J287),4,IF(AC287=2,2,3)))))</f>
        <v>4</v>
      </c>
      <c r="AH287" s="82" t="n">
        <f aca="false">IF(NOT(ISNUMBER(J287)),0,IF($S287&lt;2,5,IF(AD287=1,1,IF(J287=MAX($G287:$J287),4,IF(AD287=2,2,3)))))</f>
        <v>0</v>
      </c>
      <c r="AI287" s="83" t="n">
        <f aca="false">IF($S287&gt;=2,IF(ISNUMBER(G287),G287*$F287,MIN($G287:$J287)*$F287),0)</f>
        <v>368.3</v>
      </c>
      <c r="AJ287" s="83" t="n">
        <f aca="false">IF($S287&gt;=2,IF(ISNUMBER(H287),H287*$F287,MIN($G287:$J287)*$F287),0)</f>
        <v>372.94</v>
      </c>
      <c r="AK287" s="83" t="n">
        <f aca="false">IF($S287&gt;=2,IF(ISNUMBER(I287),I287*$F287,MIN($G287:$J287)*$F287),0)</f>
        <v>380.47</v>
      </c>
      <c r="AL287" s="83" t="n">
        <f aca="false">IF($S287&gt;=2,IF(ISNUMBER(J287),J287*$F287,MIN($G287:$J287)*$F287),0)</f>
        <v>368.3</v>
      </c>
      <c r="AM287" s="84" t="n">
        <f aca="false">IF($S287&gt;=2,$R287+ROW()/1000000,"")</f>
        <v>12.170287</v>
      </c>
      <c r="AN287" s="83" t="n">
        <f aca="false">IF($S287&gt;=2,MAX(G287:J287),"")</f>
        <v>380.47</v>
      </c>
      <c r="AO287" s="82" t="str">
        <f aca="false">IF($S287&gt;=2,INDEX($G$6:$J$6,MATCH(MAX(G287:J287),G287:J287,0)),"")</f>
        <v>Mountainland</v>
      </c>
      <c r="AP287" s="83" t="n">
        <f aca="false">IF($S287&gt;=2,MIN(G287:J287)*$F287,0)</f>
        <v>368.3</v>
      </c>
      <c r="AQ287" s="82" t="str">
        <f aca="false">IF($S287&gt;=2,INDEX($G$6:$J$6,MATCH(MIN(G287:J287),G287:J287,0)),"")</f>
        <v>Ferguson</v>
      </c>
    </row>
    <row r="288" customFormat="false" ht="15" hidden="false" customHeight="true" outlineLevel="0" collapsed="false">
      <c r="A288" s="70" t="s">
        <v>729</v>
      </c>
      <c r="B288" s="71" t="s">
        <v>682</v>
      </c>
      <c r="C288" s="72" t="s">
        <v>261</v>
      </c>
      <c r="D288" s="73" t="s">
        <v>730</v>
      </c>
      <c r="E288" s="74" t="s">
        <v>133</v>
      </c>
      <c r="F288" s="75" t="n">
        <v>1</v>
      </c>
      <c r="G288" s="76" t="n">
        <f aca="false">IF(COUNTIF('Quote Lines'!$P$3:$P$805,$A288&amp;"|"&amp;G$6&amp;"|1")=0,"—",SUMIFS('Quote Lines'!$O$3:$O$805,'Quote Lines'!$P$3:$P$805,$A288&amp;"|"&amp;G$6&amp;"|1")/SUMIFS('Quote Lines'!$L$3:$L$805,'Quote Lines'!$P$3:$P$805,$A288&amp;"|"&amp;G$6&amp;"|1"))</f>
        <v>160.68</v>
      </c>
      <c r="H288" s="76" t="n">
        <f aca="false">IF(COUNTIF('Quote Lines'!$P$3:$P$805,$A288&amp;"|"&amp;H$6&amp;"|1")=0,"—",SUMIFS('Quote Lines'!$O$3:$O$805,'Quote Lines'!$P$3:$P$805,$A288&amp;"|"&amp;H$6&amp;"|1")/SUMIFS('Quote Lines'!$L$3:$L$805,'Quote Lines'!$P$3:$P$805,$A288&amp;"|"&amp;H$6&amp;"|1"))</f>
        <v>112.07</v>
      </c>
      <c r="I288" s="76" t="n">
        <f aca="false">IF(COUNTIF('Quote Lines'!$P$3:$P$805,$A288&amp;"|"&amp;I$6&amp;"|1")=0,"—",SUMIFS('Quote Lines'!$O$3:$O$805,'Quote Lines'!$P$3:$P$805,$A288&amp;"|"&amp;I$6&amp;"|1")/SUMIFS('Quote Lines'!$L$3:$L$805,'Quote Lines'!$P$3:$P$805,$A288&amp;"|"&amp;I$6&amp;"|1"))</f>
        <v>165.99</v>
      </c>
      <c r="J288" s="85" t="s">
        <v>138</v>
      </c>
      <c r="K288" s="14" t="n">
        <f aca="false">IF(ISNUMBER(G288),G288*$F288,"—")</f>
        <v>160.68</v>
      </c>
      <c r="L288" s="14" t="n">
        <f aca="false">IF(ISNUMBER(H288),H288*$F288,"—")</f>
        <v>112.07</v>
      </c>
      <c r="M288" s="14" t="n">
        <f aca="false">IF(ISNUMBER(I288),I288*$F288,"—")</f>
        <v>165.99</v>
      </c>
      <c r="N288" s="14" t="str">
        <f aca="false">IF(ISNUMBER(J288),J288*$F288,"—")</f>
        <v>—</v>
      </c>
      <c r="O288" s="77" t="n">
        <f aca="false">IF($S288=0,"—",MIN(G288:J288))</f>
        <v>112.07</v>
      </c>
      <c r="P288" s="42" t="str">
        <f aca="false">IF($S288=0,"—",IF(COUNTIF(G288:J288,O288)&gt;1,"Tie",INDEX($G$6:$J$6,MATCH(O288,G288:J288,0))))</f>
        <v>HD Fowler</v>
      </c>
      <c r="Q288" s="48" t="n">
        <f aca="false">IF($S288&gt;=2,MAX(G288:J288)/MIN(G288:J288)-1,"—")</f>
        <v>0.481127866512002</v>
      </c>
      <c r="R288" s="78" t="n">
        <f aca="false">IF($S288&gt;=2,(MAX(G288:J288)-MIN(G288:J288))*$F288,"—")</f>
        <v>53.92</v>
      </c>
      <c r="S288" s="18" t="n">
        <f aca="false">COUNT(G288:J288)</f>
        <v>3</v>
      </c>
      <c r="T288" s="79" t="str">
        <f aca="false">IF($S288&lt;=1,IF($S288=1,"Single quote","—"),"Alt spec – verify")</f>
        <v>Alt spec – verify</v>
      </c>
      <c r="U288" s="79" t="str">
        <f aca="false">IF(COUNT(W288:Z288)&lt;2,"",IF(MAX(W288:Z288)=MIN(W288:Z288),"OK","Qty differs"))</f>
        <v>OK</v>
      </c>
      <c r="V288" s="80"/>
      <c r="W288" s="81" t="n">
        <f aca="false">IF(COUNTIFS('Quote Lines'!$P$3:$P$805,$A288&amp;"|"&amp;G$6&amp;"|1",'Quote Lines'!$M$3:$M$805,"Y")=0,"",SUMIFS('Quote Lines'!$L$3:$L$805,'Quote Lines'!$P$3:$P$805,$A288&amp;"|"&amp;G$6&amp;"|1",'Quote Lines'!$M$3:$M$805,"Y"))</f>
        <v>1</v>
      </c>
      <c r="X288" s="81" t="n">
        <f aca="false">IF(COUNTIFS('Quote Lines'!$P$3:$P$805,$A288&amp;"|"&amp;H$6&amp;"|1",'Quote Lines'!$M$3:$M$805,"Y")=0,"",SUMIFS('Quote Lines'!$L$3:$L$805,'Quote Lines'!$P$3:$P$805,$A288&amp;"|"&amp;H$6&amp;"|1",'Quote Lines'!$M$3:$M$805,"Y"))</f>
        <v>1</v>
      </c>
      <c r="Y288" s="81" t="n">
        <f aca="false">IF(COUNTIFS('Quote Lines'!$P$3:$P$805,$A288&amp;"|"&amp;I$6&amp;"|1",'Quote Lines'!$M$3:$M$805,"Y")=0,"",SUMIFS('Quote Lines'!$L$3:$L$805,'Quote Lines'!$P$3:$P$805,$A288&amp;"|"&amp;I$6&amp;"|1",'Quote Lines'!$M$3:$M$805,"Y"))</f>
        <v>1</v>
      </c>
      <c r="Z288" s="81"/>
      <c r="AA288" s="82" t="n">
        <f aca="false">IF(ISNUMBER(G288),1+SUMPRODUCT(ISNUMBER($G288:$J288)*($G288:$J288&lt;G288)),"")</f>
        <v>2</v>
      </c>
      <c r="AB288" s="82" t="n">
        <f aca="false">IF(ISNUMBER(H288),1+SUMPRODUCT(ISNUMBER($G288:$J288)*($G288:$J288&lt;H288)),"")</f>
        <v>1</v>
      </c>
      <c r="AC288" s="82" t="n">
        <f aca="false">IF(ISNUMBER(I288),1+SUMPRODUCT(ISNUMBER($G288:$J288)*($G288:$J288&lt;I288)),"")</f>
        <v>3</v>
      </c>
      <c r="AD288" s="82" t="str">
        <f aca="false">IF(ISNUMBER(J288),1+SUMPRODUCT(ISNUMBER($G288:$J288)*($G288:$J288&lt;J288)),"")</f>
        <v/>
      </c>
      <c r="AE288" s="82" t="n">
        <f aca="false">IF(NOT(ISNUMBER(G288)),0,IF($S288&lt;2,5,IF(AA288=1,1,IF(G288=MAX($G288:$J288),4,IF(AA288=2,2,3)))))</f>
        <v>2</v>
      </c>
      <c r="AF288" s="82" t="n">
        <f aca="false">IF(NOT(ISNUMBER(H288)),0,IF($S288&lt;2,5,IF(AB288=1,1,IF(H288=MAX($G288:$J288),4,IF(AB288=2,2,3)))))</f>
        <v>1</v>
      </c>
      <c r="AG288" s="82" t="n">
        <f aca="false">IF(NOT(ISNUMBER(I288)),0,IF($S288&lt;2,5,IF(AC288=1,1,IF(I288=MAX($G288:$J288),4,IF(AC288=2,2,3)))))</f>
        <v>4</v>
      </c>
      <c r="AH288" s="82" t="n">
        <f aca="false">IF(NOT(ISNUMBER(J288)),0,IF($S288&lt;2,5,IF(AD288=1,1,IF(J288=MAX($G288:$J288),4,IF(AD288=2,2,3)))))</f>
        <v>0</v>
      </c>
      <c r="AI288" s="83" t="n">
        <f aca="false">IF($S288&gt;=2,IF(ISNUMBER(G288),G288*$F288,MIN($G288:$J288)*$F288),0)</f>
        <v>160.68</v>
      </c>
      <c r="AJ288" s="83" t="n">
        <f aca="false">IF($S288&gt;=2,IF(ISNUMBER(H288),H288*$F288,MIN($G288:$J288)*$F288),0)</f>
        <v>112.07</v>
      </c>
      <c r="AK288" s="83" t="n">
        <f aca="false">IF($S288&gt;=2,IF(ISNUMBER(I288),I288*$F288,MIN($G288:$J288)*$F288),0)</f>
        <v>165.99</v>
      </c>
      <c r="AL288" s="83" t="n">
        <f aca="false">IF($S288&gt;=2,IF(ISNUMBER(J288),J288*$F288,MIN($G288:$J288)*$F288),0)</f>
        <v>112.07</v>
      </c>
      <c r="AM288" s="84" t="n">
        <f aca="false">IF($S288&gt;=2,$R288+ROW()/1000000,"")</f>
        <v>53.920288</v>
      </c>
      <c r="AN288" s="83" t="n">
        <f aca="false">IF($S288&gt;=2,MAX(G288:J288),"")</f>
        <v>165.99</v>
      </c>
      <c r="AO288" s="82" t="str">
        <f aca="false">IF($S288&gt;=2,INDEX($G$6:$J$6,MATCH(MAX(G288:J288),G288:J288,0)),"")</f>
        <v>Mountainland</v>
      </c>
      <c r="AP288" s="83" t="n">
        <f aca="false">IF($S288&gt;=2,MIN(G288:J288)*$F288,0)</f>
        <v>112.07</v>
      </c>
      <c r="AQ288" s="82" t="str">
        <f aca="false">IF($S288&gt;=2,INDEX($G$6:$J$6,MATCH(MIN(G288:J288),G288:J288,0)),"")</f>
        <v>HD Fowler</v>
      </c>
    </row>
    <row r="289" customFormat="false" ht="15" hidden="false" customHeight="true" outlineLevel="0" collapsed="false">
      <c r="A289" s="70" t="s">
        <v>731</v>
      </c>
      <c r="B289" s="71" t="s">
        <v>682</v>
      </c>
      <c r="C289" s="72" t="s">
        <v>261</v>
      </c>
      <c r="D289" s="73" t="s">
        <v>732</v>
      </c>
      <c r="E289" s="74" t="s">
        <v>133</v>
      </c>
      <c r="F289" s="75" t="n">
        <v>2</v>
      </c>
      <c r="G289" s="76" t="n">
        <f aca="false">IF(COUNTIF('Quote Lines'!$P$3:$P$805,$A289&amp;"|"&amp;G$6&amp;"|1")=0,"—",SUMIFS('Quote Lines'!$O$3:$O$805,'Quote Lines'!$P$3:$P$805,$A289&amp;"|"&amp;G$6&amp;"|1")/SUMIFS('Quote Lines'!$L$3:$L$805,'Quote Lines'!$P$3:$P$805,$A289&amp;"|"&amp;G$6&amp;"|1"))</f>
        <v>71.28</v>
      </c>
      <c r="H289" s="76" t="n">
        <f aca="false">IF(COUNTIF('Quote Lines'!$P$3:$P$805,$A289&amp;"|"&amp;H$6&amp;"|1")=0,"—",SUMIFS('Quote Lines'!$O$3:$O$805,'Quote Lines'!$P$3:$P$805,$A289&amp;"|"&amp;H$6&amp;"|1")/SUMIFS('Quote Lines'!$L$3:$L$805,'Quote Lines'!$P$3:$P$805,$A289&amp;"|"&amp;H$6&amp;"|1"))</f>
        <v>57.5</v>
      </c>
      <c r="I289" s="76" t="n">
        <f aca="false">IF(COUNTIF('Quote Lines'!$P$3:$P$805,$A289&amp;"|"&amp;I$6&amp;"|1")=0,"—",SUMIFS('Quote Lines'!$O$3:$O$805,'Quote Lines'!$P$3:$P$805,$A289&amp;"|"&amp;I$6&amp;"|1")/SUMIFS('Quote Lines'!$L$3:$L$805,'Quote Lines'!$P$3:$P$805,$A289&amp;"|"&amp;I$6&amp;"|1"))</f>
        <v>60.57</v>
      </c>
      <c r="J289" s="85" t="s">
        <v>138</v>
      </c>
      <c r="K289" s="14" t="n">
        <f aca="false">IF(ISNUMBER(G289),G289*$F289,"—")</f>
        <v>142.56</v>
      </c>
      <c r="L289" s="14" t="n">
        <f aca="false">IF(ISNUMBER(H289),H289*$F289,"—")</f>
        <v>115</v>
      </c>
      <c r="M289" s="14" t="n">
        <f aca="false">IF(ISNUMBER(I289),I289*$F289,"—")</f>
        <v>121.14</v>
      </c>
      <c r="N289" s="14" t="str">
        <f aca="false">IF(ISNUMBER(J289),J289*$F289,"—")</f>
        <v>—</v>
      </c>
      <c r="O289" s="77" t="n">
        <f aca="false">IF($S289=0,"—",MIN(G289:J289))</f>
        <v>57.5</v>
      </c>
      <c r="P289" s="42" t="str">
        <f aca="false">IF($S289=0,"—",IF(COUNTIF(G289:J289,O289)&gt;1,"Tie",INDEX($G$6:$J$6,MATCH(O289,G289:J289,0))))</f>
        <v>HD Fowler</v>
      </c>
      <c r="Q289" s="48" t="n">
        <f aca="false">IF($S289&gt;=2,MAX(G289:J289)/MIN(G289:J289)-1,"—")</f>
        <v>0.239652173913044</v>
      </c>
      <c r="R289" s="78" t="n">
        <f aca="false">IF($S289&gt;=2,(MAX(G289:J289)-MIN(G289:J289))*$F289,"—")</f>
        <v>27.56</v>
      </c>
      <c r="S289" s="18" t="n">
        <f aca="false">COUNT(G289:J289)</f>
        <v>3</v>
      </c>
      <c r="T289" s="79" t="str">
        <f aca="false">IF($S289&lt;=1,IF($S289=1,"Single quote","—"),"Like-for-like")</f>
        <v>Like-for-like</v>
      </c>
      <c r="U289" s="79" t="str">
        <f aca="false">IF(COUNT(W289:Z289)&lt;2,"",IF(MAX(W289:Z289)=MIN(W289:Z289),"OK","Qty differs"))</f>
        <v>Qty differs</v>
      </c>
      <c r="V289" s="80"/>
      <c r="W289" s="81" t="n">
        <f aca="false">IF(COUNTIFS('Quote Lines'!$P$3:$P$805,$A289&amp;"|"&amp;G$6&amp;"|1",'Quote Lines'!$M$3:$M$805,"Y")=0,"",SUMIFS('Quote Lines'!$L$3:$L$805,'Quote Lines'!$P$3:$P$805,$A289&amp;"|"&amp;G$6&amp;"|1",'Quote Lines'!$M$3:$M$805,"Y"))</f>
        <v>2</v>
      </c>
      <c r="X289" s="81" t="n">
        <f aca="false">IF(COUNTIFS('Quote Lines'!$P$3:$P$805,$A289&amp;"|"&amp;H$6&amp;"|1",'Quote Lines'!$M$3:$M$805,"Y")=0,"",SUMIFS('Quote Lines'!$L$3:$L$805,'Quote Lines'!$P$3:$P$805,$A289&amp;"|"&amp;H$6&amp;"|1",'Quote Lines'!$M$3:$M$805,"Y"))</f>
        <v>1</v>
      </c>
      <c r="Y289" s="81" t="n">
        <f aca="false">IF(COUNTIFS('Quote Lines'!$P$3:$P$805,$A289&amp;"|"&amp;I$6&amp;"|1",'Quote Lines'!$M$3:$M$805,"Y")=0,"",SUMIFS('Quote Lines'!$L$3:$L$805,'Quote Lines'!$P$3:$P$805,$A289&amp;"|"&amp;I$6&amp;"|1",'Quote Lines'!$M$3:$M$805,"Y"))</f>
        <v>2</v>
      </c>
      <c r="Z289" s="81"/>
      <c r="AA289" s="82" t="n">
        <f aca="false">IF(ISNUMBER(G289),1+SUMPRODUCT(ISNUMBER($G289:$J289)*($G289:$J289&lt;G289)),"")</f>
        <v>3</v>
      </c>
      <c r="AB289" s="82" t="n">
        <f aca="false">IF(ISNUMBER(H289),1+SUMPRODUCT(ISNUMBER($G289:$J289)*($G289:$J289&lt;H289)),"")</f>
        <v>1</v>
      </c>
      <c r="AC289" s="82" t="n">
        <f aca="false">IF(ISNUMBER(I289),1+SUMPRODUCT(ISNUMBER($G289:$J289)*($G289:$J289&lt;I289)),"")</f>
        <v>2</v>
      </c>
      <c r="AD289" s="82" t="str">
        <f aca="false">IF(ISNUMBER(J289),1+SUMPRODUCT(ISNUMBER($G289:$J289)*($G289:$J289&lt;J289)),"")</f>
        <v/>
      </c>
      <c r="AE289" s="82" t="n">
        <f aca="false">IF(NOT(ISNUMBER(G289)),0,IF($S289&lt;2,5,IF(AA289=1,1,IF(G289=MAX($G289:$J289),4,IF(AA289=2,2,3)))))</f>
        <v>4</v>
      </c>
      <c r="AF289" s="82" t="n">
        <f aca="false">IF(NOT(ISNUMBER(H289)),0,IF($S289&lt;2,5,IF(AB289=1,1,IF(H289=MAX($G289:$J289),4,IF(AB289=2,2,3)))))</f>
        <v>1</v>
      </c>
      <c r="AG289" s="82" t="n">
        <f aca="false">IF(NOT(ISNUMBER(I289)),0,IF($S289&lt;2,5,IF(AC289=1,1,IF(I289=MAX($G289:$J289),4,IF(AC289=2,2,3)))))</f>
        <v>2</v>
      </c>
      <c r="AH289" s="82" t="n">
        <f aca="false">IF(NOT(ISNUMBER(J289)),0,IF($S289&lt;2,5,IF(AD289=1,1,IF(J289=MAX($G289:$J289),4,IF(AD289=2,2,3)))))</f>
        <v>0</v>
      </c>
      <c r="AI289" s="83" t="n">
        <f aca="false">IF($S289&gt;=2,IF(ISNUMBER(G289),G289*$F289,MIN($G289:$J289)*$F289),0)</f>
        <v>142.56</v>
      </c>
      <c r="AJ289" s="83" t="n">
        <f aca="false">IF($S289&gt;=2,IF(ISNUMBER(H289),H289*$F289,MIN($G289:$J289)*$F289),0)</f>
        <v>115</v>
      </c>
      <c r="AK289" s="83" t="n">
        <f aca="false">IF($S289&gt;=2,IF(ISNUMBER(I289),I289*$F289,MIN($G289:$J289)*$F289),0)</f>
        <v>121.14</v>
      </c>
      <c r="AL289" s="83" t="n">
        <f aca="false">IF($S289&gt;=2,IF(ISNUMBER(J289),J289*$F289,MIN($G289:$J289)*$F289),0)</f>
        <v>115</v>
      </c>
      <c r="AM289" s="84" t="n">
        <f aca="false">IF($S289&gt;=2,$R289+ROW()/1000000,"")</f>
        <v>27.560289</v>
      </c>
      <c r="AN289" s="83" t="n">
        <f aca="false">IF($S289&gt;=2,MAX(G289:J289),"")</f>
        <v>71.28</v>
      </c>
      <c r="AO289" s="82" t="str">
        <f aca="false">IF($S289&gt;=2,INDEX($G$6:$J$6,MATCH(MAX(G289:J289),G289:J289,0)),"")</f>
        <v>Ferguson</v>
      </c>
      <c r="AP289" s="83" t="n">
        <f aca="false">IF($S289&gt;=2,MIN(G289:J289)*$F289,0)</f>
        <v>115</v>
      </c>
      <c r="AQ289" s="82" t="str">
        <f aca="false">IF($S289&gt;=2,INDEX($G$6:$J$6,MATCH(MIN(G289:J289),G289:J289,0)),"")</f>
        <v>HD Fowler</v>
      </c>
    </row>
    <row r="290" customFormat="false" ht="15" hidden="false" customHeight="true" outlineLevel="0" collapsed="false">
      <c r="A290" s="70" t="s">
        <v>733</v>
      </c>
      <c r="B290" s="71" t="s">
        <v>682</v>
      </c>
      <c r="C290" s="72" t="s">
        <v>261</v>
      </c>
      <c r="D290" s="73" t="s">
        <v>734</v>
      </c>
      <c r="E290" s="74" t="s">
        <v>178</v>
      </c>
      <c r="F290" s="75" t="n">
        <v>100</v>
      </c>
      <c r="G290" s="76" t="n">
        <f aca="false">IF(COUNTIF('Quote Lines'!$P$3:$P$805,$A290&amp;"|"&amp;G$6&amp;"|1")=0,"—",SUMIFS('Quote Lines'!$O$3:$O$805,'Quote Lines'!$P$3:$P$805,$A290&amp;"|"&amp;G$6&amp;"|1")/SUMIFS('Quote Lines'!$L$3:$L$805,'Quote Lines'!$P$3:$P$805,$A290&amp;"|"&amp;G$6&amp;"|1"))</f>
        <v>3.8333</v>
      </c>
      <c r="H290" s="76" t="n">
        <f aca="false">IF(COUNTIF('Quote Lines'!$P$3:$P$805,$A290&amp;"|"&amp;H$6&amp;"|1")=0,"—",SUMIFS('Quote Lines'!$O$3:$O$805,'Quote Lines'!$P$3:$P$805,$A290&amp;"|"&amp;H$6&amp;"|1")/SUMIFS('Quote Lines'!$L$3:$L$805,'Quote Lines'!$P$3:$P$805,$A290&amp;"|"&amp;H$6&amp;"|1"))</f>
        <v>2.13</v>
      </c>
      <c r="I290" s="76" t="n">
        <f aca="false">IF(COUNTIF('Quote Lines'!$P$3:$P$805,$A290&amp;"|"&amp;I$6&amp;"|1")=0,"—",SUMIFS('Quote Lines'!$O$3:$O$805,'Quote Lines'!$P$3:$P$805,$A290&amp;"|"&amp;I$6&amp;"|1")/SUMIFS('Quote Lines'!$L$3:$L$805,'Quote Lines'!$P$3:$P$805,$A290&amp;"|"&amp;I$6&amp;"|1"))</f>
        <v>4.0806</v>
      </c>
      <c r="J290" s="85" t="s">
        <v>138</v>
      </c>
      <c r="K290" s="14" t="n">
        <f aca="false">IF(ISNUMBER(G290),G290*$F290,"—")</f>
        <v>383.33</v>
      </c>
      <c r="L290" s="14" t="n">
        <f aca="false">IF(ISNUMBER(H290),H290*$F290,"—")</f>
        <v>213</v>
      </c>
      <c r="M290" s="14" t="n">
        <f aca="false">IF(ISNUMBER(I290),I290*$F290,"—")</f>
        <v>408.06</v>
      </c>
      <c r="N290" s="14" t="str">
        <f aca="false">IF(ISNUMBER(J290),J290*$F290,"—")</f>
        <v>—</v>
      </c>
      <c r="O290" s="77" t="n">
        <f aca="false">IF($S290=0,"—",MIN(G290:J290))</f>
        <v>2.13</v>
      </c>
      <c r="P290" s="42" t="str">
        <f aca="false">IF($S290=0,"—",IF(COUNTIF(G290:J290,O290)&gt;1,"Tie",INDEX($G$6:$J$6,MATCH(O290,G290:J290,0))))</f>
        <v>HD Fowler</v>
      </c>
      <c r="Q290" s="48" t="n">
        <f aca="false">IF($S290&gt;=2,MAX(G290:J290)/MIN(G290:J290)-1,"—")</f>
        <v>0.915774647887324</v>
      </c>
      <c r="R290" s="78" t="n">
        <f aca="false">IF($S290&gt;=2,(MAX(G290:J290)-MIN(G290:J290))*$F290,"—")</f>
        <v>195.06</v>
      </c>
      <c r="S290" s="18" t="n">
        <f aca="false">COUNT(G290:J290)</f>
        <v>3</v>
      </c>
      <c r="T290" s="79" t="str">
        <f aca="false">IF($S290&lt;=1,IF($S290=1,"Single quote","—"),"Alt spec – verify")</f>
        <v>Alt spec – verify</v>
      </c>
      <c r="U290" s="79" t="str">
        <f aca="false">IF(COUNT(W290:Z290)&lt;2,"",IF(MAX(W290:Z290)=MIN(W290:Z290),"OK","Qty differs"))</f>
        <v>OK</v>
      </c>
      <c r="V290" s="80" t="s">
        <v>735</v>
      </c>
      <c r="W290" s="81" t="n">
        <f aca="false">IF(COUNTIFS('Quote Lines'!$P$3:$P$805,$A290&amp;"|"&amp;G$6&amp;"|1",'Quote Lines'!$M$3:$M$805,"Y")=0,"",SUMIFS('Quote Lines'!$L$3:$L$805,'Quote Lines'!$P$3:$P$805,$A290&amp;"|"&amp;G$6&amp;"|1",'Quote Lines'!$M$3:$M$805,"Y"))</f>
        <v>100</v>
      </c>
      <c r="X290" s="81" t="n">
        <f aca="false">IF(COUNTIFS('Quote Lines'!$P$3:$P$805,$A290&amp;"|"&amp;H$6&amp;"|1",'Quote Lines'!$M$3:$M$805,"Y")=0,"",SUMIFS('Quote Lines'!$L$3:$L$805,'Quote Lines'!$P$3:$P$805,$A290&amp;"|"&amp;H$6&amp;"|1",'Quote Lines'!$M$3:$M$805,"Y"))</f>
        <v>100</v>
      </c>
      <c r="Y290" s="81" t="n">
        <f aca="false">IF(COUNTIFS('Quote Lines'!$P$3:$P$805,$A290&amp;"|"&amp;I$6&amp;"|1",'Quote Lines'!$M$3:$M$805,"Y")=0,"",SUMIFS('Quote Lines'!$L$3:$L$805,'Quote Lines'!$P$3:$P$805,$A290&amp;"|"&amp;I$6&amp;"|1",'Quote Lines'!$M$3:$M$805,"Y"))</f>
        <v>100</v>
      </c>
      <c r="Z290" s="81"/>
      <c r="AA290" s="82" t="n">
        <f aca="false">IF(ISNUMBER(G290),1+SUMPRODUCT(ISNUMBER($G290:$J290)*($G290:$J290&lt;G290)),"")</f>
        <v>2</v>
      </c>
      <c r="AB290" s="82" t="n">
        <f aca="false">IF(ISNUMBER(H290),1+SUMPRODUCT(ISNUMBER($G290:$J290)*($G290:$J290&lt;H290)),"")</f>
        <v>1</v>
      </c>
      <c r="AC290" s="82" t="n">
        <f aca="false">IF(ISNUMBER(I290),1+SUMPRODUCT(ISNUMBER($G290:$J290)*($G290:$J290&lt;I290)),"")</f>
        <v>3</v>
      </c>
      <c r="AD290" s="82" t="str">
        <f aca="false">IF(ISNUMBER(J290),1+SUMPRODUCT(ISNUMBER($G290:$J290)*($G290:$J290&lt;J290)),"")</f>
        <v/>
      </c>
      <c r="AE290" s="82" t="n">
        <f aca="false">IF(NOT(ISNUMBER(G290)),0,IF($S290&lt;2,5,IF(AA290=1,1,IF(G290=MAX($G290:$J290),4,IF(AA290=2,2,3)))))</f>
        <v>2</v>
      </c>
      <c r="AF290" s="82" t="n">
        <f aca="false">IF(NOT(ISNUMBER(H290)),0,IF($S290&lt;2,5,IF(AB290=1,1,IF(H290=MAX($G290:$J290),4,IF(AB290=2,2,3)))))</f>
        <v>1</v>
      </c>
      <c r="AG290" s="82" t="n">
        <f aca="false">IF(NOT(ISNUMBER(I290)),0,IF($S290&lt;2,5,IF(AC290=1,1,IF(I290=MAX($G290:$J290),4,IF(AC290=2,2,3)))))</f>
        <v>4</v>
      </c>
      <c r="AH290" s="82" t="n">
        <f aca="false">IF(NOT(ISNUMBER(J290)),0,IF($S290&lt;2,5,IF(AD290=1,1,IF(J290=MAX($G290:$J290),4,IF(AD290=2,2,3)))))</f>
        <v>0</v>
      </c>
      <c r="AI290" s="83" t="n">
        <f aca="false">IF($S290&gt;=2,IF(ISNUMBER(G290),G290*$F290,MIN($G290:$J290)*$F290),0)</f>
        <v>383.33</v>
      </c>
      <c r="AJ290" s="83" t="n">
        <f aca="false">IF($S290&gt;=2,IF(ISNUMBER(H290),H290*$F290,MIN($G290:$J290)*$F290),0)</f>
        <v>213</v>
      </c>
      <c r="AK290" s="83" t="n">
        <f aca="false">IF($S290&gt;=2,IF(ISNUMBER(I290),I290*$F290,MIN($G290:$J290)*$F290),0)</f>
        <v>408.06</v>
      </c>
      <c r="AL290" s="83" t="n">
        <f aca="false">IF($S290&gt;=2,IF(ISNUMBER(J290),J290*$F290,MIN($G290:$J290)*$F290),0)</f>
        <v>213</v>
      </c>
      <c r="AM290" s="84" t="n">
        <f aca="false">IF($S290&gt;=2,$R290+ROW()/1000000,"")</f>
        <v>195.06029</v>
      </c>
      <c r="AN290" s="83" t="n">
        <f aca="false">IF($S290&gt;=2,MAX(G290:J290),"")</f>
        <v>4.0806</v>
      </c>
      <c r="AO290" s="82" t="str">
        <f aca="false">IF($S290&gt;=2,INDEX($G$6:$J$6,MATCH(MAX(G290:J290),G290:J290,0)),"")</f>
        <v>Mountainland</v>
      </c>
      <c r="AP290" s="83" t="n">
        <f aca="false">IF($S290&gt;=2,MIN(G290:J290)*$F290,0)</f>
        <v>213</v>
      </c>
      <c r="AQ290" s="82" t="str">
        <f aca="false">IF($S290&gt;=2,INDEX($G$6:$J$6,MATCH(MIN(G290:J290),G290:J290,0)),"")</f>
        <v>HD Fowler</v>
      </c>
    </row>
    <row r="291" customFormat="false" ht="15" hidden="false" customHeight="true" outlineLevel="0" collapsed="false">
      <c r="A291" s="70" t="s">
        <v>736</v>
      </c>
      <c r="B291" s="71" t="s">
        <v>682</v>
      </c>
      <c r="C291" s="72" t="s">
        <v>261</v>
      </c>
      <c r="D291" s="73" t="s">
        <v>737</v>
      </c>
      <c r="E291" s="74" t="s">
        <v>133</v>
      </c>
      <c r="F291" s="75" t="n">
        <v>2</v>
      </c>
      <c r="G291" s="76" t="n">
        <f aca="false">IF(COUNTIF('Quote Lines'!$P$3:$P$805,$A291&amp;"|"&amp;G$6&amp;"|1")=0,"—",SUMIFS('Quote Lines'!$O$3:$O$805,'Quote Lines'!$P$3:$P$805,$A291&amp;"|"&amp;G$6&amp;"|1")/SUMIFS('Quote Lines'!$L$3:$L$805,'Quote Lines'!$P$3:$P$805,$A291&amp;"|"&amp;G$6&amp;"|1"))</f>
        <v>7.07</v>
      </c>
      <c r="H291" s="76" t="n">
        <f aca="false">IF(COUNTIF('Quote Lines'!$P$3:$P$805,$A291&amp;"|"&amp;H$6&amp;"|1")=0,"—",SUMIFS('Quote Lines'!$O$3:$O$805,'Quote Lines'!$P$3:$P$805,$A291&amp;"|"&amp;H$6&amp;"|1")/SUMIFS('Quote Lines'!$L$3:$L$805,'Quote Lines'!$P$3:$P$805,$A291&amp;"|"&amp;H$6&amp;"|1"))</f>
        <v>3.28</v>
      </c>
      <c r="I291" s="76" t="n">
        <f aca="false">IF(COUNTIF('Quote Lines'!$P$3:$P$805,$A291&amp;"|"&amp;I$6&amp;"|1")=0,"—",SUMIFS('Quote Lines'!$O$3:$O$805,'Quote Lines'!$P$3:$P$805,$A291&amp;"|"&amp;I$6&amp;"|1")/SUMIFS('Quote Lines'!$L$3:$L$805,'Quote Lines'!$P$3:$P$805,$A291&amp;"|"&amp;I$6&amp;"|1"))</f>
        <v>5.07</v>
      </c>
      <c r="J291" s="85" t="s">
        <v>138</v>
      </c>
      <c r="K291" s="14" t="n">
        <f aca="false">IF(ISNUMBER(G291),G291*$F291,"—")</f>
        <v>14.14</v>
      </c>
      <c r="L291" s="14" t="n">
        <f aca="false">IF(ISNUMBER(H291),H291*$F291,"—")</f>
        <v>6.56</v>
      </c>
      <c r="M291" s="14" t="n">
        <f aca="false">IF(ISNUMBER(I291),I291*$F291,"—")</f>
        <v>10.14</v>
      </c>
      <c r="N291" s="14" t="str">
        <f aca="false">IF(ISNUMBER(J291),J291*$F291,"—")</f>
        <v>—</v>
      </c>
      <c r="O291" s="77" t="n">
        <f aca="false">IF($S291=0,"—",MIN(G291:J291))</f>
        <v>3.28</v>
      </c>
      <c r="P291" s="42" t="str">
        <f aca="false">IF($S291=0,"—",IF(COUNTIF(G291:J291,O291)&gt;1,"Tie",INDEX($G$6:$J$6,MATCH(O291,G291:J291,0))))</f>
        <v>HD Fowler</v>
      </c>
      <c r="Q291" s="48" t="n">
        <f aca="false">IF($S291&gt;=2,MAX(G291:J291)/MIN(G291:J291)-1,"—")</f>
        <v>1.15548780487805</v>
      </c>
      <c r="R291" s="78" t="n">
        <f aca="false">IF($S291&gt;=2,(MAX(G291:J291)-MIN(G291:J291))*$F291,"—")</f>
        <v>7.58</v>
      </c>
      <c r="S291" s="18" t="n">
        <f aca="false">COUNT(G291:J291)</f>
        <v>3</v>
      </c>
      <c r="T291" s="79" t="str">
        <f aca="false">IF($S291&lt;=1,IF($S291=1,"Single quote","—"),"Like-for-like")</f>
        <v>Like-for-like</v>
      </c>
      <c r="U291" s="79" t="str">
        <f aca="false">IF(COUNT(W291:Z291)&lt;2,"",IF(MAX(W291:Z291)=MIN(W291:Z291),"OK","Qty differs"))</f>
        <v>OK</v>
      </c>
      <c r="V291" s="80"/>
      <c r="W291" s="81" t="n">
        <f aca="false">IF(COUNTIFS('Quote Lines'!$P$3:$P$805,$A291&amp;"|"&amp;G$6&amp;"|1",'Quote Lines'!$M$3:$M$805,"Y")=0,"",SUMIFS('Quote Lines'!$L$3:$L$805,'Quote Lines'!$P$3:$P$805,$A291&amp;"|"&amp;G$6&amp;"|1",'Quote Lines'!$M$3:$M$805,"Y"))</f>
        <v>2</v>
      </c>
      <c r="X291" s="81" t="n">
        <f aca="false">IF(COUNTIFS('Quote Lines'!$P$3:$P$805,$A291&amp;"|"&amp;H$6&amp;"|1",'Quote Lines'!$M$3:$M$805,"Y")=0,"",SUMIFS('Quote Lines'!$L$3:$L$805,'Quote Lines'!$P$3:$P$805,$A291&amp;"|"&amp;H$6&amp;"|1",'Quote Lines'!$M$3:$M$805,"Y"))</f>
        <v>2</v>
      </c>
      <c r="Y291" s="81" t="n">
        <f aca="false">IF(COUNTIFS('Quote Lines'!$P$3:$P$805,$A291&amp;"|"&amp;I$6&amp;"|1",'Quote Lines'!$M$3:$M$805,"Y")=0,"",SUMIFS('Quote Lines'!$L$3:$L$805,'Quote Lines'!$P$3:$P$805,$A291&amp;"|"&amp;I$6&amp;"|1",'Quote Lines'!$M$3:$M$805,"Y"))</f>
        <v>2</v>
      </c>
      <c r="Z291" s="81"/>
      <c r="AA291" s="82" t="n">
        <f aca="false">IF(ISNUMBER(G291),1+SUMPRODUCT(ISNUMBER($G291:$J291)*($G291:$J291&lt;G291)),"")</f>
        <v>3</v>
      </c>
      <c r="AB291" s="82" t="n">
        <f aca="false">IF(ISNUMBER(H291),1+SUMPRODUCT(ISNUMBER($G291:$J291)*($G291:$J291&lt;H291)),"")</f>
        <v>1</v>
      </c>
      <c r="AC291" s="82" t="n">
        <f aca="false">IF(ISNUMBER(I291),1+SUMPRODUCT(ISNUMBER($G291:$J291)*($G291:$J291&lt;I291)),"")</f>
        <v>2</v>
      </c>
      <c r="AD291" s="82" t="str">
        <f aca="false">IF(ISNUMBER(J291),1+SUMPRODUCT(ISNUMBER($G291:$J291)*($G291:$J291&lt;J291)),"")</f>
        <v/>
      </c>
      <c r="AE291" s="82" t="n">
        <f aca="false">IF(NOT(ISNUMBER(G291)),0,IF($S291&lt;2,5,IF(AA291=1,1,IF(G291=MAX($G291:$J291),4,IF(AA291=2,2,3)))))</f>
        <v>4</v>
      </c>
      <c r="AF291" s="82" t="n">
        <f aca="false">IF(NOT(ISNUMBER(H291)),0,IF($S291&lt;2,5,IF(AB291=1,1,IF(H291=MAX($G291:$J291),4,IF(AB291=2,2,3)))))</f>
        <v>1</v>
      </c>
      <c r="AG291" s="82" t="n">
        <f aca="false">IF(NOT(ISNUMBER(I291)),0,IF($S291&lt;2,5,IF(AC291=1,1,IF(I291=MAX($G291:$J291),4,IF(AC291=2,2,3)))))</f>
        <v>2</v>
      </c>
      <c r="AH291" s="82" t="n">
        <f aca="false">IF(NOT(ISNUMBER(J291)),0,IF($S291&lt;2,5,IF(AD291=1,1,IF(J291=MAX($G291:$J291),4,IF(AD291=2,2,3)))))</f>
        <v>0</v>
      </c>
      <c r="AI291" s="83" t="n">
        <f aca="false">IF($S291&gt;=2,IF(ISNUMBER(G291),G291*$F291,MIN($G291:$J291)*$F291),0)</f>
        <v>14.14</v>
      </c>
      <c r="AJ291" s="83" t="n">
        <f aca="false">IF($S291&gt;=2,IF(ISNUMBER(H291),H291*$F291,MIN($G291:$J291)*$F291),0)</f>
        <v>6.56</v>
      </c>
      <c r="AK291" s="83" t="n">
        <f aca="false">IF($S291&gt;=2,IF(ISNUMBER(I291),I291*$F291,MIN($G291:$J291)*$F291),0)</f>
        <v>10.14</v>
      </c>
      <c r="AL291" s="83" t="n">
        <f aca="false">IF($S291&gt;=2,IF(ISNUMBER(J291),J291*$F291,MIN($G291:$J291)*$F291),0)</f>
        <v>6.56</v>
      </c>
      <c r="AM291" s="84" t="n">
        <f aca="false">IF($S291&gt;=2,$R291+ROW()/1000000,"")</f>
        <v>7.580291</v>
      </c>
      <c r="AN291" s="83" t="n">
        <f aca="false">IF($S291&gt;=2,MAX(G291:J291),"")</f>
        <v>7.07</v>
      </c>
      <c r="AO291" s="82" t="str">
        <f aca="false">IF($S291&gt;=2,INDEX($G$6:$J$6,MATCH(MAX(G291:J291),G291:J291,0)),"")</f>
        <v>Ferguson</v>
      </c>
      <c r="AP291" s="83" t="n">
        <f aca="false">IF($S291&gt;=2,MIN(G291:J291)*$F291,0)</f>
        <v>6.56</v>
      </c>
      <c r="AQ291" s="82" t="str">
        <f aca="false">IF($S291&gt;=2,INDEX($G$6:$J$6,MATCH(MIN(G291:J291),G291:J291,0)),"")</f>
        <v>HD Fowler</v>
      </c>
    </row>
    <row r="292" customFormat="false" ht="15" hidden="false" customHeight="true" outlineLevel="0" collapsed="false">
      <c r="A292" s="70" t="s">
        <v>738</v>
      </c>
      <c r="B292" s="71" t="s">
        <v>682</v>
      </c>
      <c r="C292" s="72" t="s">
        <v>739</v>
      </c>
      <c r="D292" s="73" t="s">
        <v>740</v>
      </c>
      <c r="E292" s="74" t="s">
        <v>178</v>
      </c>
      <c r="F292" s="75" t="n">
        <v>5</v>
      </c>
      <c r="G292" s="76" t="n">
        <f aca="false">IF(COUNTIF('Quote Lines'!$P$3:$P$805,$A292&amp;"|"&amp;G$6&amp;"|1")=0,"—",SUMIFS('Quote Lines'!$O$3:$O$805,'Quote Lines'!$P$3:$P$805,$A292&amp;"|"&amp;G$6&amp;"|1")/SUMIFS('Quote Lines'!$L$3:$L$805,'Quote Lines'!$P$3:$P$805,$A292&amp;"|"&amp;G$6&amp;"|1"))</f>
        <v>54.46</v>
      </c>
      <c r="H292" s="85" t="s">
        <v>138</v>
      </c>
      <c r="I292" s="85" t="s">
        <v>138</v>
      </c>
      <c r="J292" s="85" t="s">
        <v>138</v>
      </c>
      <c r="K292" s="14" t="n">
        <f aca="false">IF(ISNUMBER(G292),G292*$F292,"—")</f>
        <v>272.3</v>
      </c>
      <c r="L292" s="14" t="str">
        <f aca="false">IF(ISNUMBER(H292),H292*$F292,"—")</f>
        <v>—</v>
      </c>
      <c r="M292" s="14" t="str">
        <f aca="false">IF(ISNUMBER(I292),I292*$F292,"—")</f>
        <v>—</v>
      </c>
      <c r="N292" s="14" t="str">
        <f aca="false">IF(ISNUMBER(J292),J292*$F292,"—")</f>
        <v>—</v>
      </c>
      <c r="O292" s="77" t="n">
        <f aca="false">IF($S292=0,"—",MIN(G292:J292))</f>
        <v>54.46</v>
      </c>
      <c r="P292" s="42" t="str">
        <f aca="false">IF($S292=0,"—",IF(COUNTIF(G292:J292,O292)&gt;1,"Tie",INDEX($G$6:$J$6,MATCH(O292,G292:J292,0))))</f>
        <v>Ferguson</v>
      </c>
      <c r="Q292" s="48" t="str">
        <f aca="false">IF($S292&gt;=2,MAX(G292:J292)/MIN(G292:J292)-1,"—")</f>
        <v>—</v>
      </c>
      <c r="R292" s="78" t="str">
        <f aca="false">IF($S292&gt;=2,(MAX(G292:J292)-MIN(G292:J292))*$F292,"—")</f>
        <v>—</v>
      </c>
      <c r="S292" s="18" t="n">
        <f aca="false">COUNT(G292:J292)</f>
        <v>1</v>
      </c>
      <c r="T292" s="79" t="str">
        <f aca="false">IF($S292&lt;=1,IF($S292=1,"Single quote","—"),"Like-for-like")</f>
        <v>Single quote</v>
      </c>
      <c r="U292" s="79" t="str">
        <f aca="false">IF(COUNT(W292:Z292)&lt;2,"",IF(MAX(W292:Z292)=MIN(W292:Z292),"OK","Qty differs"))</f>
        <v/>
      </c>
      <c r="V292" s="80"/>
      <c r="W292" s="81" t="n">
        <f aca="false">IF(COUNTIFS('Quote Lines'!$P$3:$P$805,$A292&amp;"|"&amp;G$6&amp;"|1",'Quote Lines'!$M$3:$M$805,"Y")=0,"",SUMIFS('Quote Lines'!$L$3:$L$805,'Quote Lines'!$P$3:$P$805,$A292&amp;"|"&amp;G$6&amp;"|1",'Quote Lines'!$M$3:$M$805,"Y"))</f>
        <v>5</v>
      </c>
      <c r="X292" s="81"/>
      <c r="Y292" s="81"/>
      <c r="Z292" s="81"/>
      <c r="AA292" s="82" t="n">
        <f aca="false">IF(ISNUMBER(G292),1+SUMPRODUCT(ISNUMBER($G292:$J292)*($G292:$J292&lt;G292)),"")</f>
        <v>1</v>
      </c>
      <c r="AB292" s="82" t="str">
        <f aca="false">IF(ISNUMBER(H292),1+SUMPRODUCT(ISNUMBER($G292:$J292)*($G292:$J292&lt;H292)),"")</f>
        <v/>
      </c>
      <c r="AC292" s="82" t="str">
        <f aca="false">IF(ISNUMBER(I292),1+SUMPRODUCT(ISNUMBER($G292:$J292)*($G292:$J292&lt;I292)),"")</f>
        <v/>
      </c>
      <c r="AD292" s="82" t="str">
        <f aca="false">IF(ISNUMBER(J292),1+SUMPRODUCT(ISNUMBER($G292:$J292)*($G292:$J292&lt;J292)),"")</f>
        <v/>
      </c>
      <c r="AE292" s="82" t="n">
        <f aca="false">IF(NOT(ISNUMBER(G292)),0,IF($S292&lt;2,5,IF(AA292=1,1,IF(G292=MAX($G292:$J292),4,IF(AA292=2,2,3)))))</f>
        <v>5</v>
      </c>
      <c r="AF292" s="82" t="n">
        <f aca="false">IF(NOT(ISNUMBER(H292)),0,IF($S292&lt;2,5,IF(AB292=1,1,IF(H292=MAX($G292:$J292),4,IF(AB292=2,2,3)))))</f>
        <v>0</v>
      </c>
      <c r="AG292" s="82" t="n">
        <f aca="false">IF(NOT(ISNUMBER(I292)),0,IF($S292&lt;2,5,IF(AC292=1,1,IF(I292=MAX($G292:$J292),4,IF(AC292=2,2,3)))))</f>
        <v>0</v>
      </c>
      <c r="AH292" s="82" t="n">
        <f aca="false">IF(NOT(ISNUMBER(J292)),0,IF($S292&lt;2,5,IF(AD292=1,1,IF(J292=MAX($G292:$J292),4,IF(AD292=2,2,3)))))</f>
        <v>0</v>
      </c>
      <c r="AI292" s="83" t="n">
        <f aca="false">IF($S292&gt;=2,IF(ISNUMBER(G292),G292*$F292,MIN($G292:$J292)*$F292),0)</f>
        <v>0</v>
      </c>
      <c r="AJ292" s="83" t="n">
        <f aca="false">IF($S292&gt;=2,IF(ISNUMBER(H292),H292*$F292,MIN($G292:$J292)*$F292),0)</f>
        <v>0</v>
      </c>
      <c r="AK292" s="83" t="n">
        <f aca="false">IF($S292&gt;=2,IF(ISNUMBER(I292),I292*$F292,MIN($G292:$J292)*$F292),0)</f>
        <v>0</v>
      </c>
      <c r="AL292" s="83" t="n">
        <f aca="false">IF($S292&gt;=2,IF(ISNUMBER(J292),J292*$F292,MIN($G292:$J292)*$F292),0)</f>
        <v>0</v>
      </c>
      <c r="AM292" s="84" t="str">
        <f aca="false">IF($S292&gt;=2,$R292+ROW()/1000000,"")</f>
        <v/>
      </c>
      <c r="AN292" s="83" t="str">
        <f aca="false">IF($S292&gt;=2,MAX(G292:J292),"")</f>
        <v/>
      </c>
      <c r="AO292" s="82" t="str">
        <f aca="false">IF($S292&gt;=2,INDEX($G$6:$J$6,MATCH(MAX(G292:J292),G292:J292,0)),"")</f>
        <v/>
      </c>
      <c r="AP292" s="83" t="n">
        <f aca="false">IF($S292&gt;=2,MIN(G292:J292)*$F292,0)</f>
        <v>0</v>
      </c>
      <c r="AQ292" s="82" t="str">
        <f aca="false">IF($S292&gt;=2,INDEX($G$6:$J$6,MATCH(MIN(G292:J292),G292:J292,0)),"")</f>
        <v/>
      </c>
    </row>
    <row r="293" customFormat="false" ht="15" hidden="false" customHeight="true" outlineLevel="0" collapsed="false">
      <c r="A293" s="70" t="s">
        <v>741</v>
      </c>
      <c r="B293" s="71" t="s">
        <v>682</v>
      </c>
      <c r="C293" s="72" t="s">
        <v>739</v>
      </c>
      <c r="D293" s="73" t="s">
        <v>742</v>
      </c>
      <c r="E293" s="74" t="s">
        <v>133</v>
      </c>
      <c r="F293" s="75" t="n">
        <v>1</v>
      </c>
      <c r="G293" s="76" t="n">
        <f aca="false">IF(COUNTIF('Quote Lines'!$P$3:$P$805,$A293&amp;"|"&amp;G$6&amp;"|1")=0,"—",SUMIFS('Quote Lines'!$O$3:$O$805,'Quote Lines'!$P$3:$P$805,$A293&amp;"|"&amp;G$6&amp;"|1")/SUMIFS('Quote Lines'!$L$3:$L$805,'Quote Lines'!$P$3:$P$805,$A293&amp;"|"&amp;G$6&amp;"|1"))</f>
        <v>420.21</v>
      </c>
      <c r="H293" s="85" t="s">
        <v>138</v>
      </c>
      <c r="I293" s="85" t="s">
        <v>138</v>
      </c>
      <c r="J293" s="85" t="s">
        <v>138</v>
      </c>
      <c r="K293" s="14" t="n">
        <f aca="false">IF(ISNUMBER(G293),G293*$F293,"—")</f>
        <v>420.21</v>
      </c>
      <c r="L293" s="14" t="str">
        <f aca="false">IF(ISNUMBER(H293),H293*$F293,"—")</f>
        <v>—</v>
      </c>
      <c r="M293" s="14" t="str">
        <f aca="false">IF(ISNUMBER(I293),I293*$F293,"—")</f>
        <v>—</v>
      </c>
      <c r="N293" s="14" t="str">
        <f aca="false">IF(ISNUMBER(J293),J293*$F293,"—")</f>
        <v>—</v>
      </c>
      <c r="O293" s="77" t="n">
        <f aca="false">IF($S293=0,"—",MIN(G293:J293))</f>
        <v>420.21</v>
      </c>
      <c r="P293" s="42" t="str">
        <f aca="false">IF($S293=0,"—",IF(COUNTIF(G293:J293,O293)&gt;1,"Tie",INDEX($G$6:$J$6,MATCH(O293,G293:J293,0))))</f>
        <v>Ferguson</v>
      </c>
      <c r="Q293" s="48" t="str">
        <f aca="false">IF($S293&gt;=2,MAX(G293:J293)/MIN(G293:J293)-1,"—")</f>
        <v>—</v>
      </c>
      <c r="R293" s="78" t="str">
        <f aca="false">IF($S293&gt;=2,(MAX(G293:J293)-MIN(G293:J293))*$F293,"—")</f>
        <v>—</v>
      </c>
      <c r="S293" s="18" t="n">
        <f aca="false">COUNT(G293:J293)</f>
        <v>1</v>
      </c>
      <c r="T293" s="79" t="str">
        <f aca="false">IF($S293&lt;=1,IF($S293=1,"Single quote","—"),"Like-for-like")</f>
        <v>Single quote</v>
      </c>
      <c r="U293" s="79" t="str">
        <f aca="false">IF(COUNT(W293:Z293)&lt;2,"",IF(MAX(W293:Z293)=MIN(W293:Z293),"OK","Qty differs"))</f>
        <v/>
      </c>
      <c r="V293" s="80"/>
      <c r="W293" s="81" t="n">
        <f aca="false">IF(COUNTIFS('Quote Lines'!$P$3:$P$805,$A293&amp;"|"&amp;G$6&amp;"|1",'Quote Lines'!$M$3:$M$805,"Y")=0,"",SUMIFS('Quote Lines'!$L$3:$L$805,'Quote Lines'!$P$3:$P$805,$A293&amp;"|"&amp;G$6&amp;"|1",'Quote Lines'!$M$3:$M$805,"Y"))</f>
        <v>1</v>
      </c>
      <c r="X293" s="81"/>
      <c r="Y293" s="81"/>
      <c r="Z293" s="81"/>
      <c r="AA293" s="82" t="n">
        <f aca="false">IF(ISNUMBER(G293),1+SUMPRODUCT(ISNUMBER($G293:$J293)*($G293:$J293&lt;G293)),"")</f>
        <v>1</v>
      </c>
      <c r="AB293" s="82" t="str">
        <f aca="false">IF(ISNUMBER(H293),1+SUMPRODUCT(ISNUMBER($G293:$J293)*($G293:$J293&lt;H293)),"")</f>
        <v/>
      </c>
      <c r="AC293" s="82" t="str">
        <f aca="false">IF(ISNUMBER(I293),1+SUMPRODUCT(ISNUMBER($G293:$J293)*($G293:$J293&lt;I293)),"")</f>
        <v/>
      </c>
      <c r="AD293" s="82" t="str">
        <f aca="false">IF(ISNUMBER(J293),1+SUMPRODUCT(ISNUMBER($G293:$J293)*($G293:$J293&lt;J293)),"")</f>
        <v/>
      </c>
      <c r="AE293" s="82" t="n">
        <f aca="false">IF(NOT(ISNUMBER(G293)),0,IF($S293&lt;2,5,IF(AA293=1,1,IF(G293=MAX($G293:$J293),4,IF(AA293=2,2,3)))))</f>
        <v>5</v>
      </c>
      <c r="AF293" s="82" t="n">
        <f aca="false">IF(NOT(ISNUMBER(H293)),0,IF($S293&lt;2,5,IF(AB293=1,1,IF(H293=MAX($G293:$J293),4,IF(AB293=2,2,3)))))</f>
        <v>0</v>
      </c>
      <c r="AG293" s="82" t="n">
        <f aca="false">IF(NOT(ISNUMBER(I293)),0,IF($S293&lt;2,5,IF(AC293=1,1,IF(I293=MAX($G293:$J293),4,IF(AC293=2,2,3)))))</f>
        <v>0</v>
      </c>
      <c r="AH293" s="82" t="n">
        <f aca="false">IF(NOT(ISNUMBER(J293)),0,IF($S293&lt;2,5,IF(AD293=1,1,IF(J293=MAX($G293:$J293),4,IF(AD293=2,2,3)))))</f>
        <v>0</v>
      </c>
      <c r="AI293" s="83" t="n">
        <f aca="false">IF($S293&gt;=2,IF(ISNUMBER(G293),G293*$F293,MIN($G293:$J293)*$F293),0)</f>
        <v>0</v>
      </c>
      <c r="AJ293" s="83" t="n">
        <f aca="false">IF($S293&gt;=2,IF(ISNUMBER(H293),H293*$F293,MIN($G293:$J293)*$F293),0)</f>
        <v>0</v>
      </c>
      <c r="AK293" s="83" t="n">
        <f aca="false">IF($S293&gt;=2,IF(ISNUMBER(I293),I293*$F293,MIN($G293:$J293)*$F293),0)</f>
        <v>0</v>
      </c>
      <c r="AL293" s="83" t="n">
        <f aca="false">IF($S293&gt;=2,IF(ISNUMBER(J293),J293*$F293,MIN($G293:$J293)*$F293),0)</f>
        <v>0</v>
      </c>
      <c r="AM293" s="84" t="str">
        <f aca="false">IF($S293&gt;=2,$R293+ROW()/1000000,"")</f>
        <v/>
      </c>
      <c r="AN293" s="83" t="str">
        <f aca="false">IF($S293&gt;=2,MAX(G293:J293),"")</f>
        <v/>
      </c>
      <c r="AO293" s="82" t="str">
        <f aca="false">IF($S293&gt;=2,INDEX($G$6:$J$6,MATCH(MAX(G293:J293),G293:J293,0)),"")</f>
        <v/>
      </c>
      <c r="AP293" s="83" t="n">
        <f aca="false">IF($S293&gt;=2,MIN(G293:J293)*$F293,0)</f>
        <v>0</v>
      </c>
      <c r="AQ293" s="82" t="str">
        <f aca="false">IF($S293&gt;=2,INDEX($G$6:$J$6,MATCH(MIN(G293:J293),G293:J293,0)),"")</f>
        <v/>
      </c>
    </row>
    <row r="294" customFormat="false" ht="19.5" hidden="false" customHeight="true" outlineLevel="0" collapsed="false">
      <c r="A294" s="69"/>
      <c r="B294" s="9" t="s">
        <v>743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</row>
    <row r="295" customFormat="false" ht="15" hidden="false" customHeight="true" outlineLevel="0" collapsed="false">
      <c r="A295" s="70" t="s">
        <v>744</v>
      </c>
      <c r="B295" s="71" t="s">
        <v>745</v>
      </c>
      <c r="C295" s="72" t="s">
        <v>746</v>
      </c>
      <c r="D295" s="73" t="s">
        <v>747</v>
      </c>
      <c r="E295" s="74" t="s">
        <v>133</v>
      </c>
      <c r="F295" s="75" t="n">
        <v>1</v>
      </c>
      <c r="G295" s="85" t="s">
        <v>138</v>
      </c>
      <c r="H295" s="76" t="n">
        <f aca="false">IF(COUNTIF('Quote Lines'!$P$3:$P$805,$A295&amp;"|"&amp;H$6&amp;"|1")=0,"—",SUMIFS('Quote Lines'!$O$3:$O$805,'Quote Lines'!$P$3:$P$805,$A295&amp;"|"&amp;H$6&amp;"|1")/SUMIFS('Quote Lines'!$L$3:$L$805,'Quote Lines'!$P$3:$P$805,$A295&amp;"|"&amp;H$6&amp;"|1"))</f>
        <v>45.76</v>
      </c>
      <c r="I295" s="85" t="s">
        <v>138</v>
      </c>
      <c r="J295" s="85" t="s">
        <v>138</v>
      </c>
      <c r="K295" s="14" t="str">
        <f aca="false">IF(ISNUMBER(G295),G295*$F295,"—")</f>
        <v>—</v>
      </c>
      <c r="L295" s="14" t="n">
        <f aca="false">IF(ISNUMBER(H295),H295*$F295,"—")</f>
        <v>45.76</v>
      </c>
      <c r="M295" s="14" t="str">
        <f aca="false">IF(ISNUMBER(I295),I295*$F295,"—")</f>
        <v>—</v>
      </c>
      <c r="N295" s="14" t="str">
        <f aca="false">IF(ISNUMBER(J295),J295*$F295,"—")</f>
        <v>—</v>
      </c>
      <c r="O295" s="77" t="n">
        <f aca="false">IF($S295=0,"—",MIN(G295:J295))</f>
        <v>45.76</v>
      </c>
      <c r="P295" s="42" t="str">
        <f aca="false">IF($S295=0,"—",IF(COUNTIF(G295:J295,O295)&gt;1,"Tie",INDEX($G$6:$J$6,MATCH(O295,G295:J295,0))))</f>
        <v>HD Fowler</v>
      </c>
      <c r="Q295" s="48" t="str">
        <f aca="false">IF($S295&gt;=2,MAX(G295:J295)/MIN(G295:J295)-1,"—")</f>
        <v>—</v>
      </c>
      <c r="R295" s="78" t="str">
        <f aca="false">IF($S295&gt;=2,(MAX(G295:J295)-MIN(G295:J295))*$F295,"—")</f>
        <v>—</v>
      </c>
      <c r="S295" s="18" t="n">
        <f aca="false">COUNT(G295:J295)</f>
        <v>1</v>
      </c>
      <c r="T295" s="79" t="str">
        <f aca="false">IF($S295&lt;=1,IF($S295=1,"Single quote","—"),"Like-for-like")</f>
        <v>Single quote</v>
      </c>
      <c r="U295" s="79" t="str">
        <f aca="false">IF(COUNT(W295:Z295)&lt;2,"",IF(MAX(W295:Z295)=MIN(W295:Z295),"OK","Qty differs"))</f>
        <v/>
      </c>
      <c r="V295" s="80"/>
      <c r="W295" s="81"/>
      <c r="X295" s="81" t="n">
        <f aca="false">IF(COUNTIFS('Quote Lines'!$P$3:$P$805,$A295&amp;"|"&amp;H$6&amp;"|1",'Quote Lines'!$M$3:$M$805,"Y")=0,"",SUMIFS('Quote Lines'!$L$3:$L$805,'Quote Lines'!$P$3:$P$805,$A295&amp;"|"&amp;H$6&amp;"|1",'Quote Lines'!$M$3:$M$805,"Y"))</f>
        <v>1</v>
      </c>
      <c r="Y295" s="81"/>
      <c r="Z295" s="81"/>
      <c r="AA295" s="82" t="str">
        <f aca="false">IF(ISNUMBER(G295),1+SUMPRODUCT(ISNUMBER($G295:$J295)*($G295:$J295&lt;G295)),"")</f>
        <v/>
      </c>
      <c r="AB295" s="82" t="n">
        <f aca="false">IF(ISNUMBER(H295),1+SUMPRODUCT(ISNUMBER($G295:$J295)*($G295:$J295&lt;H295)),"")</f>
        <v>1</v>
      </c>
      <c r="AC295" s="82" t="str">
        <f aca="false">IF(ISNUMBER(I295),1+SUMPRODUCT(ISNUMBER($G295:$J295)*($G295:$J295&lt;I295)),"")</f>
        <v/>
      </c>
      <c r="AD295" s="82" t="str">
        <f aca="false">IF(ISNUMBER(J295),1+SUMPRODUCT(ISNUMBER($G295:$J295)*($G295:$J295&lt;J295)),"")</f>
        <v/>
      </c>
      <c r="AE295" s="82" t="n">
        <f aca="false">IF(NOT(ISNUMBER(G295)),0,IF($S295&lt;2,5,IF(AA295=1,1,IF(G295=MAX($G295:$J295),4,IF(AA295=2,2,3)))))</f>
        <v>0</v>
      </c>
      <c r="AF295" s="82" t="n">
        <f aca="false">IF(NOT(ISNUMBER(H295)),0,IF($S295&lt;2,5,IF(AB295=1,1,IF(H295=MAX($G295:$J295),4,IF(AB295=2,2,3)))))</f>
        <v>5</v>
      </c>
      <c r="AG295" s="82" t="n">
        <f aca="false">IF(NOT(ISNUMBER(I295)),0,IF($S295&lt;2,5,IF(AC295=1,1,IF(I295=MAX($G295:$J295),4,IF(AC295=2,2,3)))))</f>
        <v>0</v>
      </c>
      <c r="AH295" s="82" t="n">
        <f aca="false">IF(NOT(ISNUMBER(J295)),0,IF($S295&lt;2,5,IF(AD295=1,1,IF(J295=MAX($G295:$J295),4,IF(AD295=2,2,3)))))</f>
        <v>0</v>
      </c>
      <c r="AI295" s="83" t="n">
        <f aca="false">IF($S295&gt;=2,IF(ISNUMBER(G295),G295*$F295,MIN($G295:$J295)*$F295),0)</f>
        <v>0</v>
      </c>
      <c r="AJ295" s="83" t="n">
        <f aca="false">IF($S295&gt;=2,IF(ISNUMBER(H295),H295*$F295,MIN($G295:$J295)*$F295),0)</f>
        <v>0</v>
      </c>
      <c r="AK295" s="83" t="n">
        <f aca="false">IF($S295&gt;=2,IF(ISNUMBER(I295),I295*$F295,MIN($G295:$J295)*$F295),0)</f>
        <v>0</v>
      </c>
      <c r="AL295" s="83" t="n">
        <f aca="false">IF($S295&gt;=2,IF(ISNUMBER(J295),J295*$F295,MIN($G295:$J295)*$F295),0)</f>
        <v>0</v>
      </c>
      <c r="AM295" s="84" t="str">
        <f aca="false">IF($S295&gt;=2,$R295+ROW()/1000000,"")</f>
        <v/>
      </c>
      <c r="AN295" s="83" t="str">
        <f aca="false">IF($S295&gt;=2,MAX(G295:J295),"")</f>
        <v/>
      </c>
      <c r="AO295" s="82" t="str">
        <f aca="false">IF($S295&gt;=2,INDEX($G$6:$J$6,MATCH(MAX(G295:J295),G295:J295,0)),"")</f>
        <v/>
      </c>
      <c r="AP295" s="83" t="n">
        <f aca="false">IF($S295&gt;=2,MIN(G295:J295)*$F295,0)</f>
        <v>0</v>
      </c>
      <c r="AQ295" s="82" t="str">
        <f aca="false">IF($S295&gt;=2,INDEX($G$6:$J$6,MATCH(MIN(G295:J295),G295:J295,0)),"")</f>
        <v/>
      </c>
    </row>
    <row r="296" customFormat="false" ht="15" hidden="false" customHeight="true" outlineLevel="0" collapsed="false">
      <c r="A296" s="70" t="s">
        <v>748</v>
      </c>
      <c r="B296" s="71" t="s">
        <v>745</v>
      </c>
      <c r="C296" s="72" t="s">
        <v>746</v>
      </c>
      <c r="D296" s="73" t="s">
        <v>749</v>
      </c>
      <c r="E296" s="74" t="s">
        <v>133</v>
      </c>
      <c r="F296" s="75" t="n">
        <v>1</v>
      </c>
      <c r="G296" s="85" t="s">
        <v>138</v>
      </c>
      <c r="H296" s="76" t="n">
        <f aca="false">IF(COUNTIF('Quote Lines'!$P$3:$P$805,$A296&amp;"|"&amp;H$6&amp;"|1")=0,"—",SUMIFS('Quote Lines'!$O$3:$O$805,'Quote Lines'!$P$3:$P$805,$A296&amp;"|"&amp;H$6&amp;"|1")/SUMIFS('Quote Lines'!$L$3:$L$805,'Quote Lines'!$P$3:$P$805,$A296&amp;"|"&amp;H$6&amp;"|1"))</f>
        <v>76.33</v>
      </c>
      <c r="I296" s="85" t="s">
        <v>138</v>
      </c>
      <c r="J296" s="85" t="s">
        <v>138</v>
      </c>
      <c r="K296" s="14" t="str">
        <f aca="false">IF(ISNUMBER(G296),G296*$F296,"—")</f>
        <v>—</v>
      </c>
      <c r="L296" s="14" t="n">
        <f aca="false">IF(ISNUMBER(H296),H296*$F296,"—")</f>
        <v>76.33</v>
      </c>
      <c r="M296" s="14" t="str">
        <f aca="false">IF(ISNUMBER(I296),I296*$F296,"—")</f>
        <v>—</v>
      </c>
      <c r="N296" s="14" t="str">
        <f aca="false">IF(ISNUMBER(J296),J296*$F296,"—")</f>
        <v>—</v>
      </c>
      <c r="O296" s="77" t="n">
        <f aca="false">IF($S296=0,"—",MIN(G296:J296))</f>
        <v>76.33</v>
      </c>
      <c r="P296" s="42" t="str">
        <f aca="false">IF($S296=0,"—",IF(COUNTIF(G296:J296,O296)&gt;1,"Tie",INDEX($G$6:$J$6,MATCH(O296,G296:J296,0))))</f>
        <v>HD Fowler</v>
      </c>
      <c r="Q296" s="48" t="str">
        <f aca="false">IF($S296&gt;=2,MAX(G296:J296)/MIN(G296:J296)-1,"—")</f>
        <v>—</v>
      </c>
      <c r="R296" s="78" t="str">
        <f aca="false">IF($S296&gt;=2,(MAX(G296:J296)-MIN(G296:J296))*$F296,"—")</f>
        <v>—</v>
      </c>
      <c r="S296" s="18" t="n">
        <f aca="false">COUNT(G296:J296)</f>
        <v>1</v>
      </c>
      <c r="T296" s="79" t="str">
        <f aca="false">IF($S296&lt;=1,IF($S296=1,"Single quote","—"),"Like-for-like")</f>
        <v>Single quote</v>
      </c>
      <c r="U296" s="79" t="str">
        <f aca="false">IF(COUNT(W296:Z296)&lt;2,"",IF(MAX(W296:Z296)=MIN(W296:Z296),"OK","Qty differs"))</f>
        <v/>
      </c>
      <c r="V296" s="80"/>
      <c r="W296" s="81"/>
      <c r="X296" s="81" t="n">
        <f aca="false">IF(COUNTIFS('Quote Lines'!$P$3:$P$805,$A296&amp;"|"&amp;H$6&amp;"|1",'Quote Lines'!$M$3:$M$805,"Y")=0,"",SUMIFS('Quote Lines'!$L$3:$L$805,'Quote Lines'!$P$3:$P$805,$A296&amp;"|"&amp;H$6&amp;"|1",'Quote Lines'!$M$3:$M$805,"Y"))</f>
        <v>1</v>
      </c>
      <c r="Y296" s="81"/>
      <c r="Z296" s="81"/>
      <c r="AA296" s="82" t="str">
        <f aca="false">IF(ISNUMBER(G296),1+SUMPRODUCT(ISNUMBER($G296:$J296)*($G296:$J296&lt;G296)),"")</f>
        <v/>
      </c>
      <c r="AB296" s="82" t="n">
        <f aca="false">IF(ISNUMBER(H296),1+SUMPRODUCT(ISNUMBER($G296:$J296)*($G296:$J296&lt;H296)),"")</f>
        <v>1</v>
      </c>
      <c r="AC296" s="82" t="str">
        <f aca="false">IF(ISNUMBER(I296),1+SUMPRODUCT(ISNUMBER($G296:$J296)*($G296:$J296&lt;I296)),"")</f>
        <v/>
      </c>
      <c r="AD296" s="82" t="str">
        <f aca="false">IF(ISNUMBER(J296),1+SUMPRODUCT(ISNUMBER($G296:$J296)*($G296:$J296&lt;J296)),"")</f>
        <v/>
      </c>
      <c r="AE296" s="82" t="n">
        <f aca="false">IF(NOT(ISNUMBER(G296)),0,IF($S296&lt;2,5,IF(AA296=1,1,IF(G296=MAX($G296:$J296),4,IF(AA296=2,2,3)))))</f>
        <v>0</v>
      </c>
      <c r="AF296" s="82" t="n">
        <f aca="false">IF(NOT(ISNUMBER(H296)),0,IF($S296&lt;2,5,IF(AB296=1,1,IF(H296=MAX($G296:$J296),4,IF(AB296=2,2,3)))))</f>
        <v>5</v>
      </c>
      <c r="AG296" s="82" t="n">
        <f aca="false">IF(NOT(ISNUMBER(I296)),0,IF($S296&lt;2,5,IF(AC296=1,1,IF(I296=MAX($G296:$J296),4,IF(AC296=2,2,3)))))</f>
        <v>0</v>
      </c>
      <c r="AH296" s="82" t="n">
        <f aca="false">IF(NOT(ISNUMBER(J296)),0,IF($S296&lt;2,5,IF(AD296=1,1,IF(J296=MAX($G296:$J296),4,IF(AD296=2,2,3)))))</f>
        <v>0</v>
      </c>
      <c r="AI296" s="83" t="n">
        <f aca="false">IF($S296&gt;=2,IF(ISNUMBER(G296),G296*$F296,MIN($G296:$J296)*$F296),0)</f>
        <v>0</v>
      </c>
      <c r="AJ296" s="83" t="n">
        <f aca="false">IF($S296&gt;=2,IF(ISNUMBER(H296),H296*$F296,MIN($G296:$J296)*$F296),0)</f>
        <v>0</v>
      </c>
      <c r="AK296" s="83" t="n">
        <f aca="false">IF($S296&gt;=2,IF(ISNUMBER(I296),I296*$F296,MIN($G296:$J296)*$F296),0)</f>
        <v>0</v>
      </c>
      <c r="AL296" s="83" t="n">
        <f aca="false">IF($S296&gt;=2,IF(ISNUMBER(J296),J296*$F296,MIN($G296:$J296)*$F296),0)</f>
        <v>0</v>
      </c>
      <c r="AM296" s="84" t="str">
        <f aca="false">IF($S296&gt;=2,$R296+ROW()/1000000,"")</f>
        <v/>
      </c>
      <c r="AN296" s="83" t="str">
        <f aca="false">IF($S296&gt;=2,MAX(G296:J296),"")</f>
        <v/>
      </c>
      <c r="AO296" s="82" t="str">
        <f aca="false">IF($S296&gt;=2,INDEX($G$6:$J$6,MATCH(MAX(G296:J296),G296:J296,0)),"")</f>
        <v/>
      </c>
      <c r="AP296" s="83" t="n">
        <f aca="false">IF($S296&gt;=2,MIN(G296:J296)*$F296,0)</f>
        <v>0</v>
      </c>
      <c r="AQ296" s="82" t="str">
        <f aca="false">IF($S296&gt;=2,INDEX($G$6:$J$6,MATCH(MIN(G296:J296),G296:J296,0)),"")</f>
        <v/>
      </c>
    </row>
    <row r="297" customFormat="false" ht="15" hidden="false" customHeight="true" outlineLevel="0" collapsed="false">
      <c r="A297" s="70" t="s">
        <v>750</v>
      </c>
      <c r="B297" s="71" t="s">
        <v>745</v>
      </c>
      <c r="C297" s="72" t="s">
        <v>746</v>
      </c>
      <c r="D297" s="73" t="s">
        <v>751</v>
      </c>
      <c r="E297" s="74" t="s">
        <v>133</v>
      </c>
      <c r="F297" s="75" t="n">
        <v>1</v>
      </c>
      <c r="G297" s="85" t="s">
        <v>138</v>
      </c>
      <c r="H297" s="76" t="n">
        <f aca="false">IF(COUNTIF('Quote Lines'!$P$3:$P$805,$A297&amp;"|"&amp;H$6&amp;"|1")=0,"—",SUMIFS('Quote Lines'!$O$3:$O$805,'Quote Lines'!$P$3:$P$805,$A297&amp;"|"&amp;H$6&amp;"|1")/SUMIFS('Quote Lines'!$L$3:$L$805,'Quote Lines'!$P$3:$P$805,$A297&amp;"|"&amp;H$6&amp;"|1"))</f>
        <v>224.07</v>
      </c>
      <c r="I297" s="85" t="s">
        <v>138</v>
      </c>
      <c r="J297" s="85" t="s">
        <v>138</v>
      </c>
      <c r="K297" s="14" t="str">
        <f aca="false">IF(ISNUMBER(G297),G297*$F297,"—")</f>
        <v>—</v>
      </c>
      <c r="L297" s="14" t="n">
        <f aca="false">IF(ISNUMBER(H297),H297*$F297,"—")</f>
        <v>224.07</v>
      </c>
      <c r="M297" s="14" t="str">
        <f aca="false">IF(ISNUMBER(I297),I297*$F297,"—")</f>
        <v>—</v>
      </c>
      <c r="N297" s="14" t="str">
        <f aca="false">IF(ISNUMBER(J297),J297*$F297,"—")</f>
        <v>—</v>
      </c>
      <c r="O297" s="77" t="n">
        <f aca="false">IF($S297=0,"—",MIN(G297:J297))</f>
        <v>224.07</v>
      </c>
      <c r="P297" s="42" t="str">
        <f aca="false">IF($S297=0,"—",IF(COUNTIF(G297:J297,O297)&gt;1,"Tie",INDEX($G$6:$J$6,MATCH(O297,G297:J297,0))))</f>
        <v>HD Fowler</v>
      </c>
      <c r="Q297" s="48" t="str">
        <f aca="false">IF($S297&gt;=2,MAX(G297:J297)/MIN(G297:J297)-1,"—")</f>
        <v>—</v>
      </c>
      <c r="R297" s="78" t="str">
        <f aca="false">IF($S297&gt;=2,(MAX(G297:J297)-MIN(G297:J297))*$F297,"—")</f>
        <v>—</v>
      </c>
      <c r="S297" s="18" t="n">
        <f aca="false">COUNT(G297:J297)</f>
        <v>1</v>
      </c>
      <c r="T297" s="79" t="str">
        <f aca="false">IF($S297&lt;=1,IF($S297=1,"Single quote","—"),"Like-for-like")</f>
        <v>Single quote</v>
      </c>
      <c r="U297" s="79" t="str">
        <f aca="false">IF(COUNT(W297:Z297)&lt;2,"",IF(MAX(W297:Z297)=MIN(W297:Z297),"OK","Qty differs"))</f>
        <v/>
      </c>
      <c r="V297" s="80"/>
      <c r="W297" s="81"/>
      <c r="X297" s="81" t="n">
        <f aca="false">IF(COUNTIFS('Quote Lines'!$P$3:$P$805,$A297&amp;"|"&amp;H$6&amp;"|1",'Quote Lines'!$M$3:$M$805,"Y")=0,"",SUMIFS('Quote Lines'!$L$3:$L$805,'Quote Lines'!$P$3:$P$805,$A297&amp;"|"&amp;H$6&amp;"|1",'Quote Lines'!$M$3:$M$805,"Y"))</f>
        <v>1</v>
      </c>
      <c r="Y297" s="81"/>
      <c r="Z297" s="81"/>
      <c r="AA297" s="82" t="str">
        <f aca="false">IF(ISNUMBER(G297),1+SUMPRODUCT(ISNUMBER($G297:$J297)*($G297:$J297&lt;G297)),"")</f>
        <v/>
      </c>
      <c r="AB297" s="82" t="n">
        <f aca="false">IF(ISNUMBER(H297),1+SUMPRODUCT(ISNUMBER($G297:$J297)*($G297:$J297&lt;H297)),"")</f>
        <v>1</v>
      </c>
      <c r="AC297" s="82" t="str">
        <f aca="false">IF(ISNUMBER(I297),1+SUMPRODUCT(ISNUMBER($G297:$J297)*($G297:$J297&lt;I297)),"")</f>
        <v/>
      </c>
      <c r="AD297" s="82" t="str">
        <f aca="false">IF(ISNUMBER(J297),1+SUMPRODUCT(ISNUMBER($G297:$J297)*($G297:$J297&lt;J297)),"")</f>
        <v/>
      </c>
      <c r="AE297" s="82" t="n">
        <f aca="false">IF(NOT(ISNUMBER(G297)),0,IF($S297&lt;2,5,IF(AA297=1,1,IF(G297=MAX($G297:$J297),4,IF(AA297=2,2,3)))))</f>
        <v>0</v>
      </c>
      <c r="AF297" s="82" t="n">
        <f aca="false">IF(NOT(ISNUMBER(H297)),0,IF($S297&lt;2,5,IF(AB297=1,1,IF(H297=MAX($G297:$J297),4,IF(AB297=2,2,3)))))</f>
        <v>5</v>
      </c>
      <c r="AG297" s="82" t="n">
        <f aca="false">IF(NOT(ISNUMBER(I297)),0,IF($S297&lt;2,5,IF(AC297=1,1,IF(I297=MAX($G297:$J297),4,IF(AC297=2,2,3)))))</f>
        <v>0</v>
      </c>
      <c r="AH297" s="82" t="n">
        <f aca="false">IF(NOT(ISNUMBER(J297)),0,IF($S297&lt;2,5,IF(AD297=1,1,IF(J297=MAX($G297:$J297),4,IF(AD297=2,2,3)))))</f>
        <v>0</v>
      </c>
      <c r="AI297" s="83" t="n">
        <f aca="false">IF($S297&gt;=2,IF(ISNUMBER(G297),G297*$F297,MIN($G297:$J297)*$F297),0)</f>
        <v>0</v>
      </c>
      <c r="AJ297" s="83" t="n">
        <f aca="false">IF($S297&gt;=2,IF(ISNUMBER(H297),H297*$F297,MIN($G297:$J297)*$F297),0)</f>
        <v>0</v>
      </c>
      <c r="AK297" s="83" t="n">
        <f aca="false">IF($S297&gt;=2,IF(ISNUMBER(I297),I297*$F297,MIN($G297:$J297)*$F297),0)</f>
        <v>0</v>
      </c>
      <c r="AL297" s="83" t="n">
        <f aca="false">IF($S297&gt;=2,IF(ISNUMBER(J297),J297*$F297,MIN($G297:$J297)*$F297),0)</f>
        <v>0</v>
      </c>
      <c r="AM297" s="84" t="str">
        <f aca="false">IF($S297&gt;=2,$R297+ROW()/1000000,"")</f>
        <v/>
      </c>
      <c r="AN297" s="83" t="str">
        <f aca="false">IF($S297&gt;=2,MAX(G297:J297),"")</f>
        <v/>
      </c>
      <c r="AO297" s="82" t="str">
        <f aca="false">IF($S297&gt;=2,INDEX($G$6:$J$6,MATCH(MAX(G297:J297),G297:J297,0)),"")</f>
        <v/>
      </c>
      <c r="AP297" s="83" t="n">
        <f aca="false">IF($S297&gt;=2,MIN(G297:J297)*$F297,0)</f>
        <v>0</v>
      </c>
      <c r="AQ297" s="82" t="str">
        <f aca="false">IF($S297&gt;=2,INDEX($G$6:$J$6,MATCH(MIN(G297:J297),G297:J297,0)),"")</f>
        <v/>
      </c>
    </row>
    <row r="298" customFormat="false" ht="19.5" hidden="false" customHeight="true" outlineLevel="0" collapsed="false">
      <c r="A298" s="69"/>
      <c r="B298" s="9" t="s">
        <v>752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</row>
    <row r="299" customFormat="false" ht="27.75" hidden="false" customHeight="true" outlineLevel="0" collapsed="false">
      <c r="A299" s="70" t="s">
        <v>753</v>
      </c>
      <c r="B299" s="71" t="s">
        <v>754</v>
      </c>
      <c r="C299" s="72" t="s">
        <v>746</v>
      </c>
      <c r="D299" s="73" t="s">
        <v>755</v>
      </c>
      <c r="E299" s="74" t="s">
        <v>133</v>
      </c>
      <c r="F299" s="75" t="n">
        <v>1</v>
      </c>
      <c r="G299" s="76" t="n">
        <f aca="false">IF(COUNTIF('Quote Lines'!$P$3:$P$805,$A299&amp;"|"&amp;G$6&amp;"|1")=0,"—",SUMIFS('Quote Lines'!$O$3:$O$805,'Quote Lines'!$P$3:$P$805,$A299&amp;"|"&amp;G$6&amp;"|1")/SUMIFS('Quote Lines'!$L$3:$L$805,'Quote Lines'!$P$3:$P$805,$A299&amp;"|"&amp;G$6&amp;"|1"))</f>
        <v>126.69</v>
      </c>
      <c r="H299" s="76" t="n">
        <f aca="false">IF(COUNTIF('Quote Lines'!$P$3:$P$805,$A299&amp;"|"&amp;H$6&amp;"|1")=0,"—",SUMIFS('Quote Lines'!$O$3:$O$805,'Quote Lines'!$P$3:$P$805,$A299&amp;"|"&amp;H$6&amp;"|1")/SUMIFS('Quote Lines'!$L$3:$L$805,'Quote Lines'!$P$3:$P$805,$A299&amp;"|"&amp;H$6&amp;"|1"))</f>
        <v>197.81</v>
      </c>
      <c r="I299" s="76" t="n">
        <f aca="false">IF(COUNTIF('Quote Lines'!$P$3:$P$805,$A299&amp;"|"&amp;I$6&amp;"|1")=0,"—",SUMIFS('Quote Lines'!$O$3:$O$805,'Quote Lines'!$P$3:$P$805,$A299&amp;"|"&amp;I$6&amp;"|1")/SUMIFS('Quote Lines'!$L$3:$L$805,'Quote Lines'!$P$3:$P$805,$A299&amp;"|"&amp;I$6&amp;"|1"))</f>
        <v>149.09</v>
      </c>
      <c r="J299" s="76" t="n">
        <f aca="false">IF(COUNTIF('Quote Lines'!$P$3:$P$805,$A299&amp;"|"&amp;J$6&amp;"|1")=0,"—",SUMIFS('Quote Lines'!$O$3:$O$805,'Quote Lines'!$P$3:$P$805,$A299&amp;"|"&amp;J$6&amp;"|1")/SUMIFS('Quote Lines'!$L$3:$L$805,'Quote Lines'!$P$3:$P$805,$A299&amp;"|"&amp;J$6&amp;"|1"))</f>
        <v>135.12</v>
      </c>
      <c r="K299" s="14" t="n">
        <f aca="false">IF(ISNUMBER(G299),G299*$F299,"—")</f>
        <v>126.69</v>
      </c>
      <c r="L299" s="14" t="n">
        <f aca="false">IF(ISNUMBER(H299),H299*$F299,"—")</f>
        <v>197.81</v>
      </c>
      <c r="M299" s="14" t="n">
        <f aca="false">IF(ISNUMBER(I299),I299*$F299,"—")</f>
        <v>149.09</v>
      </c>
      <c r="N299" s="14" t="n">
        <f aca="false">IF(ISNUMBER(J299),J299*$F299,"—")</f>
        <v>135.12</v>
      </c>
      <c r="O299" s="77" t="n">
        <f aca="false">IF($S299=0,"—",MIN(G299:J299))</f>
        <v>126.69</v>
      </c>
      <c r="P299" s="42" t="str">
        <f aca="false">IF($S299=0,"—",IF(COUNTIF(G299:J299,O299)&gt;1,"Tie",INDEX($G$6:$J$6,MATCH(O299,G299:J299,0))))</f>
        <v>Ferguson</v>
      </c>
      <c r="Q299" s="48" t="n">
        <f aca="false">IF($S299&gt;=2,MAX(G299:J299)/MIN(G299:J299)-1,"—")</f>
        <v>0.561370273896914</v>
      </c>
      <c r="R299" s="78" t="n">
        <f aca="false">IF($S299&gt;=2,(MAX(G299:J299)-MIN(G299:J299))*$F299,"—")</f>
        <v>71.12</v>
      </c>
      <c r="S299" s="18" t="n">
        <f aca="false">COUNT(G299:J299)</f>
        <v>4</v>
      </c>
      <c r="T299" s="79" t="str">
        <f aca="false">IF($S299&lt;=1,IF($S299=1,"Single quote","—"),"Alt spec – verify")</f>
        <v>Alt spec – verify</v>
      </c>
      <c r="U299" s="79" t="str">
        <f aca="false">IF(COUNT(W299:Z299)&lt;2,"",IF(MAX(W299:Z299)=MIN(W299:Z299),"OK","Qty differs"))</f>
        <v>OK</v>
      </c>
      <c r="V299" s="80" t="s">
        <v>756</v>
      </c>
      <c r="W299" s="81" t="n">
        <f aca="false">IF(COUNTIFS('Quote Lines'!$P$3:$P$805,$A299&amp;"|"&amp;G$6&amp;"|1",'Quote Lines'!$M$3:$M$805,"Y")=0,"",SUMIFS('Quote Lines'!$L$3:$L$805,'Quote Lines'!$P$3:$P$805,$A299&amp;"|"&amp;G$6&amp;"|1",'Quote Lines'!$M$3:$M$805,"Y"))</f>
        <v>1</v>
      </c>
      <c r="X299" s="81" t="n">
        <f aca="false">IF(COUNTIFS('Quote Lines'!$P$3:$P$805,$A299&amp;"|"&amp;H$6&amp;"|1",'Quote Lines'!$M$3:$M$805,"Y")=0,"",SUMIFS('Quote Lines'!$L$3:$L$805,'Quote Lines'!$P$3:$P$805,$A299&amp;"|"&amp;H$6&amp;"|1",'Quote Lines'!$M$3:$M$805,"Y"))</f>
        <v>1</v>
      </c>
      <c r="Y299" s="81" t="n">
        <f aca="false">IF(COUNTIFS('Quote Lines'!$P$3:$P$805,$A299&amp;"|"&amp;I$6&amp;"|1",'Quote Lines'!$M$3:$M$805,"Y")=0,"",SUMIFS('Quote Lines'!$L$3:$L$805,'Quote Lines'!$P$3:$P$805,$A299&amp;"|"&amp;I$6&amp;"|1",'Quote Lines'!$M$3:$M$805,"Y"))</f>
        <v>1</v>
      </c>
      <c r="Z299" s="81" t="n">
        <f aca="false">IF(COUNTIFS('Quote Lines'!$P$3:$P$805,$A299&amp;"|"&amp;J$6&amp;"|1",'Quote Lines'!$M$3:$M$805,"Y")=0,"",SUMIFS('Quote Lines'!$L$3:$L$805,'Quote Lines'!$P$3:$P$805,$A299&amp;"|"&amp;J$6&amp;"|1",'Quote Lines'!$M$3:$M$805,"Y"))</f>
        <v>1</v>
      </c>
      <c r="AA299" s="82" t="n">
        <f aca="false">IF(ISNUMBER(G299),1+SUMPRODUCT(ISNUMBER($G299:$J299)*($G299:$J299&lt;G299)),"")</f>
        <v>1</v>
      </c>
      <c r="AB299" s="82" t="n">
        <f aca="false">IF(ISNUMBER(H299),1+SUMPRODUCT(ISNUMBER($G299:$J299)*($G299:$J299&lt;H299)),"")</f>
        <v>4</v>
      </c>
      <c r="AC299" s="82" t="n">
        <f aca="false">IF(ISNUMBER(I299),1+SUMPRODUCT(ISNUMBER($G299:$J299)*($G299:$J299&lt;I299)),"")</f>
        <v>3</v>
      </c>
      <c r="AD299" s="82" t="n">
        <f aca="false">IF(ISNUMBER(J299),1+SUMPRODUCT(ISNUMBER($G299:$J299)*($G299:$J299&lt;J299)),"")</f>
        <v>2</v>
      </c>
      <c r="AE299" s="82" t="n">
        <f aca="false">IF(NOT(ISNUMBER(G299)),0,IF($S299&lt;2,5,IF(AA299=1,1,IF(G299=MAX($G299:$J299),4,IF(AA299=2,2,3)))))</f>
        <v>1</v>
      </c>
      <c r="AF299" s="82" t="n">
        <f aca="false">IF(NOT(ISNUMBER(H299)),0,IF($S299&lt;2,5,IF(AB299=1,1,IF(H299=MAX($G299:$J299),4,IF(AB299=2,2,3)))))</f>
        <v>4</v>
      </c>
      <c r="AG299" s="82" t="n">
        <f aca="false">IF(NOT(ISNUMBER(I299)),0,IF($S299&lt;2,5,IF(AC299=1,1,IF(I299=MAX($G299:$J299),4,IF(AC299=2,2,3)))))</f>
        <v>3</v>
      </c>
      <c r="AH299" s="82" t="n">
        <f aca="false">IF(NOT(ISNUMBER(J299)),0,IF($S299&lt;2,5,IF(AD299=1,1,IF(J299=MAX($G299:$J299),4,IF(AD299=2,2,3)))))</f>
        <v>2</v>
      </c>
      <c r="AI299" s="83" t="n">
        <f aca="false">IF($S299&gt;=2,IF(ISNUMBER(G299),G299*$F299,MIN($G299:$J299)*$F299),0)</f>
        <v>126.69</v>
      </c>
      <c r="AJ299" s="83" t="n">
        <f aca="false">IF($S299&gt;=2,IF(ISNUMBER(H299),H299*$F299,MIN($G299:$J299)*$F299),0)</f>
        <v>197.81</v>
      </c>
      <c r="AK299" s="83" t="n">
        <f aca="false">IF($S299&gt;=2,IF(ISNUMBER(I299),I299*$F299,MIN($G299:$J299)*$F299),0)</f>
        <v>149.09</v>
      </c>
      <c r="AL299" s="83" t="n">
        <f aca="false">IF($S299&gt;=2,IF(ISNUMBER(J299),J299*$F299,MIN($G299:$J299)*$F299),0)</f>
        <v>135.12</v>
      </c>
      <c r="AM299" s="84" t="n">
        <f aca="false">IF($S299&gt;=2,$R299+ROW()/1000000,"")</f>
        <v>71.120299</v>
      </c>
      <c r="AN299" s="83" t="n">
        <f aca="false">IF($S299&gt;=2,MAX(G299:J299),"")</f>
        <v>197.81</v>
      </c>
      <c r="AO299" s="82" t="str">
        <f aca="false">IF($S299&gt;=2,INDEX($G$6:$J$6,MATCH(MAX(G299:J299),G299:J299,0)),"")</f>
        <v>HD Fowler</v>
      </c>
      <c r="AP299" s="83" t="n">
        <f aca="false">IF($S299&gt;=2,MIN(G299:J299)*$F299,0)</f>
        <v>126.69</v>
      </c>
      <c r="AQ299" s="82" t="str">
        <f aca="false">IF($S299&gt;=2,INDEX($G$6:$J$6,MATCH(MIN(G299:J299),G299:J299,0)),"")</f>
        <v>Ferguson</v>
      </c>
    </row>
    <row r="300" customFormat="false" ht="15" hidden="false" customHeight="true" outlineLevel="0" collapsed="false">
      <c r="A300" s="70" t="s">
        <v>757</v>
      </c>
      <c r="B300" s="71" t="s">
        <v>754</v>
      </c>
      <c r="C300" s="72" t="s">
        <v>746</v>
      </c>
      <c r="D300" s="73" t="s">
        <v>758</v>
      </c>
      <c r="E300" s="74" t="s">
        <v>133</v>
      </c>
      <c r="F300" s="75" t="n">
        <v>1</v>
      </c>
      <c r="G300" s="76" t="n">
        <f aca="false">IF(COUNTIF('Quote Lines'!$P$3:$P$805,$A300&amp;"|"&amp;G$6&amp;"|1")=0,"—",SUMIFS('Quote Lines'!$O$3:$O$805,'Quote Lines'!$P$3:$P$805,$A300&amp;"|"&amp;G$6&amp;"|1")/SUMIFS('Quote Lines'!$L$3:$L$805,'Quote Lines'!$P$3:$P$805,$A300&amp;"|"&amp;G$6&amp;"|1"))</f>
        <v>60</v>
      </c>
      <c r="H300" s="76" t="n">
        <f aca="false">IF(COUNTIF('Quote Lines'!$P$3:$P$805,$A300&amp;"|"&amp;H$6&amp;"|1")=0,"—",SUMIFS('Quote Lines'!$O$3:$O$805,'Quote Lines'!$P$3:$P$805,$A300&amp;"|"&amp;H$6&amp;"|1")/SUMIFS('Quote Lines'!$L$3:$L$805,'Quote Lines'!$P$3:$P$805,$A300&amp;"|"&amp;H$6&amp;"|1"))</f>
        <v>93.96</v>
      </c>
      <c r="I300" s="76" t="n">
        <f aca="false">IF(COUNTIF('Quote Lines'!$P$3:$P$805,$A300&amp;"|"&amp;I$6&amp;"|1")=0,"—",SUMIFS('Quote Lines'!$O$3:$O$805,'Quote Lines'!$P$3:$P$805,$A300&amp;"|"&amp;I$6&amp;"|1")/SUMIFS('Quote Lines'!$L$3:$L$805,'Quote Lines'!$P$3:$P$805,$A300&amp;"|"&amp;I$6&amp;"|1"))</f>
        <v>61.98</v>
      </c>
      <c r="J300" s="76" t="n">
        <f aca="false">IF(COUNTIF('Quote Lines'!$P$3:$P$805,$A300&amp;"|"&amp;J$6&amp;"|1")=0,"—",SUMIFS('Quote Lines'!$O$3:$O$805,'Quote Lines'!$P$3:$P$805,$A300&amp;"|"&amp;J$6&amp;"|1")/SUMIFS('Quote Lines'!$L$3:$L$805,'Quote Lines'!$P$3:$P$805,$A300&amp;"|"&amp;J$6&amp;"|1"))</f>
        <v>68.73</v>
      </c>
      <c r="K300" s="14" t="n">
        <f aca="false">IF(ISNUMBER(G300),G300*$F300,"—")</f>
        <v>60</v>
      </c>
      <c r="L300" s="14" t="n">
        <f aca="false">IF(ISNUMBER(H300),H300*$F300,"—")</f>
        <v>93.96</v>
      </c>
      <c r="M300" s="14" t="n">
        <f aca="false">IF(ISNUMBER(I300),I300*$F300,"—")</f>
        <v>61.98</v>
      </c>
      <c r="N300" s="14" t="n">
        <f aca="false">IF(ISNUMBER(J300),J300*$F300,"—")</f>
        <v>68.73</v>
      </c>
      <c r="O300" s="77" t="n">
        <f aca="false">IF($S300=0,"—",MIN(G300:J300))</f>
        <v>60</v>
      </c>
      <c r="P300" s="42" t="str">
        <f aca="false">IF($S300=0,"—",IF(COUNTIF(G300:J300,O300)&gt;1,"Tie",INDEX($G$6:$J$6,MATCH(O300,G300:J300,0))))</f>
        <v>Ferguson</v>
      </c>
      <c r="Q300" s="48" t="n">
        <f aca="false">IF($S300&gt;=2,MAX(G300:J300)/MIN(G300:J300)-1,"—")</f>
        <v>0.566</v>
      </c>
      <c r="R300" s="78" t="n">
        <f aca="false">IF($S300&gt;=2,(MAX(G300:J300)-MIN(G300:J300))*$F300,"—")</f>
        <v>33.96</v>
      </c>
      <c r="S300" s="18" t="n">
        <f aca="false">COUNT(G300:J300)</f>
        <v>4</v>
      </c>
      <c r="T300" s="79" t="str">
        <f aca="false">IF($S300&lt;=1,IF($S300=1,"Single quote","—"),"Alt spec – verify")</f>
        <v>Alt spec – verify</v>
      </c>
      <c r="U300" s="79" t="str">
        <f aca="false">IF(COUNT(W300:Z300)&lt;2,"",IF(MAX(W300:Z300)=MIN(W300:Z300),"OK","Qty differs"))</f>
        <v>OK</v>
      </c>
      <c r="V300" s="80" t="s">
        <v>759</v>
      </c>
      <c r="W300" s="81" t="n">
        <f aca="false">IF(COUNTIFS('Quote Lines'!$P$3:$P$805,$A300&amp;"|"&amp;G$6&amp;"|1",'Quote Lines'!$M$3:$M$805,"Y")=0,"",SUMIFS('Quote Lines'!$L$3:$L$805,'Quote Lines'!$P$3:$P$805,$A300&amp;"|"&amp;G$6&amp;"|1",'Quote Lines'!$M$3:$M$805,"Y"))</f>
        <v>1</v>
      </c>
      <c r="X300" s="81" t="n">
        <f aca="false">IF(COUNTIFS('Quote Lines'!$P$3:$P$805,$A300&amp;"|"&amp;H$6&amp;"|1",'Quote Lines'!$M$3:$M$805,"Y")=0,"",SUMIFS('Quote Lines'!$L$3:$L$805,'Quote Lines'!$P$3:$P$805,$A300&amp;"|"&amp;H$6&amp;"|1",'Quote Lines'!$M$3:$M$805,"Y"))</f>
        <v>1</v>
      </c>
      <c r="Y300" s="81" t="n">
        <f aca="false">IF(COUNTIFS('Quote Lines'!$P$3:$P$805,$A300&amp;"|"&amp;I$6&amp;"|1",'Quote Lines'!$M$3:$M$805,"Y")=0,"",SUMIFS('Quote Lines'!$L$3:$L$805,'Quote Lines'!$P$3:$P$805,$A300&amp;"|"&amp;I$6&amp;"|1",'Quote Lines'!$M$3:$M$805,"Y"))</f>
        <v>1</v>
      </c>
      <c r="Z300" s="81" t="n">
        <f aca="false">IF(COUNTIFS('Quote Lines'!$P$3:$P$805,$A300&amp;"|"&amp;J$6&amp;"|1",'Quote Lines'!$M$3:$M$805,"Y")=0,"",SUMIFS('Quote Lines'!$L$3:$L$805,'Quote Lines'!$P$3:$P$805,$A300&amp;"|"&amp;J$6&amp;"|1",'Quote Lines'!$M$3:$M$805,"Y"))</f>
        <v>1</v>
      </c>
      <c r="AA300" s="82" t="n">
        <f aca="false">IF(ISNUMBER(G300),1+SUMPRODUCT(ISNUMBER($G300:$J300)*($G300:$J300&lt;G300)),"")</f>
        <v>1</v>
      </c>
      <c r="AB300" s="82" t="n">
        <f aca="false">IF(ISNUMBER(H300),1+SUMPRODUCT(ISNUMBER($G300:$J300)*($G300:$J300&lt;H300)),"")</f>
        <v>4</v>
      </c>
      <c r="AC300" s="82" t="n">
        <f aca="false">IF(ISNUMBER(I300),1+SUMPRODUCT(ISNUMBER($G300:$J300)*($G300:$J300&lt;I300)),"")</f>
        <v>2</v>
      </c>
      <c r="AD300" s="82" t="n">
        <f aca="false">IF(ISNUMBER(J300),1+SUMPRODUCT(ISNUMBER($G300:$J300)*($G300:$J300&lt;J300)),"")</f>
        <v>3</v>
      </c>
      <c r="AE300" s="82" t="n">
        <f aca="false">IF(NOT(ISNUMBER(G300)),0,IF($S300&lt;2,5,IF(AA300=1,1,IF(G300=MAX($G300:$J300),4,IF(AA300=2,2,3)))))</f>
        <v>1</v>
      </c>
      <c r="AF300" s="82" t="n">
        <f aca="false">IF(NOT(ISNUMBER(H300)),0,IF($S300&lt;2,5,IF(AB300=1,1,IF(H300=MAX($G300:$J300),4,IF(AB300=2,2,3)))))</f>
        <v>4</v>
      </c>
      <c r="AG300" s="82" t="n">
        <f aca="false">IF(NOT(ISNUMBER(I300)),0,IF($S300&lt;2,5,IF(AC300=1,1,IF(I300=MAX($G300:$J300),4,IF(AC300=2,2,3)))))</f>
        <v>2</v>
      </c>
      <c r="AH300" s="82" t="n">
        <f aca="false">IF(NOT(ISNUMBER(J300)),0,IF($S300&lt;2,5,IF(AD300=1,1,IF(J300=MAX($G300:$J300),4,IF(AD300=2,2,3)))))</f>
        <v>3</v>
      </c>
      <c r="AI300" s="83" t="n">
        <f aca="false">IF($S300&gt;=2,IF(ISNUMBER(G300),G300*$F300,MIN($G300:$J300)*$F300),0)</f>
        <v>60</v>
      </c>
      <c r="AJ300" s="83" t="n">
        <f aca="false">IF($S300&gt;=2,IF(ISNUMBER(H300),H300*$F300,MIN($G300:$J300)*$F300),0)</f>
        <v>93.96</v>
      </c>
      <c r="AK300" s="83" t="n">
        <f aca="false">IF($S300&gt;=2,IF(ISNUMBER(I300),I300*$F300,MIN($G300:$J300)*$F300),0)</f>
        <v>61.98</v>
      </c>
      <c r="AL300" s="83" t="n">
        <f aca="false">IF($S300&gt;=2,IF(ISNUMBER(J300),J300*$F300,MIN($G300:$J300)*$F300),0)</f>
        <v>68.73</v>
      </c>
      <c r="AM300" s="84" t="n">
        <f aca="false">IF($S300&gt;=2,$R300+ROW()/1000000,"")</f>
        <v>33.9603</v>
      </c>
      <c r="AN300" s="83" t="n">
        <f aca="false">IF($S300&gt;=2,MAX(G300:J300),"")</f>
        <v>93.96</v>
      </c>
      <c r="AO300" s="82" t="str">
        <f aca="false">IF($S300&gt;=2,INDEX($G$6:$J$6,MATCH(MAX(G300:J300),G300:J300,0)),"")</f>
        <v>HD Fowler</v>
      </c>
      <c r="AP300" s="83" t="n">
        <f aca="false">IF($S300&gt;=2,MIN(G300:J300)*$F300,0)</f>
        <v>60</v>
      </c>
      <c r="AQ300" s="82" t="str">
        <f aca="false">IF($S300&gt;=2,INDEX($G$6:$J$6,MATCH(MIN(G300:J300),G300:J300,0)),"")</f>
        <v>Ferguson</v>
      </c>
    </row>
    <row r="301" customFormat="false" ht="15" hidden="false" customHeight="true" outlineLevel="0" collapsed="false">
      <c r="A301" s="70" t="s">
        <v>760</v>
      </c>
      <c r="B301" s="71" t="s">
        <v>754</v>
      </c>
      <c r="C301" s="72" t="s">
        <v>746</v>
      </c>
      <c r="D301" s="73" t="s">
        <v>761</v>
      </c>
      <c r="E301" s="74" t="s">
        <v>178</v>
      </c>
      <c r="F301" s="75" t="n">
        <v>100</v>
      </c>
      <c r="G301" s="76" t="n">
        <f aca="false">IF(COUNTIF('Quote Lines'!$P$3:$P$805,$A301&amp;"|"&amp;G$6&amp;"|1")=0,"—",SUMIFS('Quote Lines'!$O$3:$O$805,'Quote Lines'!$P$3:$P$805,$A301&amp;"|"&amp;G$6&amp;"|1")/SUMIFS('Quote Lines'!$L$3:$L$805,'Quote Lines'!$P$3:$P$805,$A301&amp;"|"&amp;G$6&amp;"|1"))</f>
        <v>0.5744</v>
      </c>
      <c r="H301" s="76" t="n">
        <f aca="false">IF(COUNTIF('Quote Lines'!$P$3:$P$805,$A301&amp;"|"&amp;H$6&amp;"|1")=0,"—",SUMIFS('Quote Lines'!$O$3:$O$805,'Quote Lines'!$P$3:$P$805,$A301&amp;"|"&amp;H$6&amp;"|1")/SUMIFS('Quote Lines'!$L$3:$L$805,'Quote Lines'!$P$3:$P$805,$A301&amp;"|"&amp;H$6&amp;"|1"))</f>
        <v>0.59</v>
      </c>
      <c r="I301" s="76" t="n">
        <f aca="false">IF(COUNTIF('Quote Lines'!$P$3:$P$805,$A301&amp;"|"&amp;I$6&amp;"|1")=0,"—",SUMIFS('Quote Lines'!$O$3:$O$805,'Quote Lines'!$P$3:$P$805,$A301&amp;"|"&amp;I$6&amp;"|1")/SUMIFS('Quote Lines'!$L$3:$L$805,'Quote Lines'!$P$3:$P$805,$A301&amp;"|"&amp;I$6&amp;"|1"))</f>
        <v>0.6866</v>
      </c>
      <c r="J301" s="76" t="n">
        <f aca="false">IF(COUNTIF('Quote Lines'!$P$3:$P$805,$A301&amp;"|"&amp;J$6&amp;"|1")=0,"—",SUMIFS('Quote Lines'!$O$3:$O$805,'Quote Lines'!$P$3:$P$805,$A301&amp;"|"&amp;J$6&amp;"|1")/SUMIFS('Quote Lines'!$L$3:$L$805,'Quote Lines'!$P$3:$P$805,$A301&amp;"|"&amp;J$6&amp;"|1"))</f>
        <v>0.696</v>
      </c>
      <c r="K301" s="14" t="n">
        <f aca="false">IF(ISNUMBER(G301),G301*$F301,"—")</f>
        <v>57.44</v>
      </c>
      <c r="L301" s="14" t="n">
        <f aca="false">IF(ISNUMBER(H301),H301*$F301,"—")</f>
        <v>59</v>
      </c>
      <c r="M301" s="14" t="n">
        <f aca="false">IF(ISNUMBER(I301),I301*$F301,"—")</f>
        <v>68.66</v>
      </c>
      <c r="N301" s="14" t="n">
        <f aca="false">IF(ISNUMBER(J301),J301*$F301,"—")</f>
        <v>69.6</v>
      </c>
      <c r="O301" s="77" t="n">
        <f aca="false">IF($S301=0,"—",MIN(G301:J301))</f>
        <v>0.5744</v>
      </c>
      <c r="P301" s="42" t="str">
        <f aca="false">IF($S301=0,"—",IF(COUNTIF(G301:J301,O301)&gt;1,"Tie",INDEX($G$6:$J$6,MATCH(O301,G301:J301,0))))</f>
        <v>Ferguson</v>
      </c>
      <c r="Q301" s="48" t="n">
        <f aca="false">IF($S301&gt;=2,MAX(G301:J301)/MIN(G301:J301)-1,"—")</f>
        <v>0.211699164345404</v>
      </c>
      <c r="R301" s="78" t="n">
        <f aca="false">IF($S301&gt;=2,(MAX(G301:J301)-MIN(G301:J301))*$F301,"—")</f>
        <v>12.16</v>
      </c>
      <c r="S301" s="18" t="n">
        <f aca="false">COUNT(G301:J301)</f>
        <v>4</v>
      </c>
      <c r="T301" s="79" t="str">
        <f aca="false">IF($S301&lt;=1,IF($S301=1,"Single quote","—"),"Like-for-like")</f>
        <v>Like-for-like</v>
      </c>
      <c r="U301" s="79" t="str">
        <f aca="false">IF(COUNT(W301:Z301)&lt;2,"",IF(MAX(W301:Z301)=MIN(W301:Z301),"OK","Qty differs"))</f>
        <v>OK</v>
      </c>
      <c r="V301" s="80"/>
      <c r="W301" s="81" t="n">
        <f aca="false">IF(COUNTIFS('Quote Lines'!$P$3:$P$805,$A301&amp;"|"&amp;G$6&amp;"|1",'Quote Lines'!$M$3:$M$805,"Y")=0,"",SUMIFS('Quote Lines'!$L$3:$L$805,'Quote Lines'!$P$3:$P$805,$A301&amp;"|"&amp;G$6&amp;"|1",'Quote Lines'!$M$3:$M$805,"Y"))</f>
        <v>100</v>
      </c>
      <c r="X301" s="81" t="n">
        <f aca="false">IF(COUNTIFS('Quote Lines'!$P$3:$P$805,$A301&amp;"|"&amp;H$6&amp;"|1",'Quote Lines'!$M$3:$M$805,"Y")=0,"",SUMIFS('Quote Lines'!$L$3:$L$805,'Quote Lines'!$P$3:$P$805,$A301&amp;"|"&amp;H$6&amp;"|1",'Quote Lines'!$M$3:$M$805,"Y"))</f>
        <v>100</v>
      </c>
      <c r="Y301" s="81" t="n">
        <f aca="false">IF(COUNTIFS('Quote Lines'!$P$3:$P$805,$A301&amp;"|"&amp;I$6&amp;"|1",'Quote Lines'!$M$3:$M$805,"Y")=0,"",SUMIFS('Quote Lines'!$L$3:$L$805,'Quote Lines'!$P$3:$P$805,$A301&amp;"|"&amp;I$6&amp;"|1",'Quote Lines'!$M$3:$M$805,"Y"))</f>
        <v>100</v>
      </c>
      <c r="Z301" s="81" t="n">
        <f aca="false">IF(COUNTIFS('Quote Lines'!$P$3:$P$805,$A301&amp;"|"&amp;J$6&amp;"|1",'Quote Lines'!$M$3:$M$805,"Y")=0,"",SUMIFS('Quote Lines'!$L$3:$L$805,'Quote Lines'!$P$3:$P$805,$A301&amp;"|"&amp;J$6&amp;"|1",'Quote Lines'!$M$3:$M$805,"Y"))</f>
        <v>100</v>
      </c>
      <c r="AA301" s="82" t="n">
        <f aca="false">IF(ISNUMBER(G301),1+SUMPRODUCT(ISNUMBER($G301:$J301)*($G301:$J301&lt;G301)),"")</f>
        <v>1</v>
      </c>
      <c r="AB301" s="82" t="n">
        <f aca="false">IF(ISNUMBER(H301),1+SUMPRODUCT(ISNUMBER($G301:$J301)*($G301:$J301&lt;H301)),"")</f>
        <v>2</v>
      </c>
      <c r="AC301" s="82" t="n">
        <f aca="false">IF(ISNUMBER(I301),1+SUMPRODUCT(ISNUMBER($G301:$J301)*($G301:$J301&lt;I301)),"")</f>
        <v>3</v>
      </c>
      <c r="AD301" s="82" t="n">
        <f aca="false">IF(ISNUMBER(J301),1+SUMPRODUCT(ISNUMBER($G301:$J301)*($G301:$J301&lt;J301)),"")</f>
        <v>4</v>
      </c>
      <c r="AE301" s="82" t="n">
        <f aca="false">IF(NOT(ISNUMBER(G301)),0,IF($S301&lt;2,5,IF(AA301=1,1,IF(G301=MAX($G301:$J301),4,IF(AA301=2,2,3)))))</f>
        <v>1</v>
      </c>
      <c r="AF301" s="82" t="n">
        <f aca="false">IF(NOT(ISNUMBER(H301)),0,IF($S301&lt;2,5,IF(AB301=1,1,IF(H301=MAX($G301:$J301),4,IF(AB301=2,2,3)))))</f>
        <v>2</v>
      </c>
      <c r="AG301" s="82" t="n">
        <f aca="false">IF(NOT(ISNUMBER(I301)),0,IF($S301&lt;2,5,IF(AC301=1,1,IF(I301=MAX($G301:$J301),4,IF(AC301=2,2,3)))))</f>
        <v>3</v>
      </c>
      <c r="AH301" s="82" t="n">
        <f aca="false">IF(NOT(ISNUMBER(J301)),0,IF($S301&lt;2,5,IF(AD301=1,1,IF(J301=MAX($G301:$J301),4,IF(AD301=2,2,3)))))</f>
        <v>4</v>
      </c>
      <c r="AI301" s="83" t="n">
        <f aca="false">IF($S301&gt;=2,IF(ISNUMBER(G301),G301*$F301,MIN($G301:$J301)*$F301),0)</f>
        <v>57.44</v>
      </c>
      <c r="AJ301" s="83" t="n">
        <f aca="false">IF($S301&gt;=2,IF(ISNUMBER(H301),H301*$F301,MIN($G301:$J301)*$F301),0)</f>
        <v>59</v>
      </c>
      <c r="AK301" s="83" t="n">
        <f aca="false">IF($S301&gt;=2,IF(ISNUMBER(I301),I301*$F301,MIN($G301:$J301)*$F301),0)</f>
        <v>68.66</v>
      </c>
      <c r="AL301" s="83" t="n">
        <f aca="false">IF($S301&gt;=2,IF(ISNUMBER(J301),J301*$F301,MIN($G301:$J301)*$F301),0)</f>
        <v>69.6</v>
      </c>
      <c r="AM301" s="84" t="n">
        <f aca="false">IF($S301&gt;=2,$R301+ROW()/1000000,"")</f>
        <v>12.160301</v>
      </c>
      <c r="AN301" s="83" t="n">
        <f aca="false">IF($S301&gt;=2,MAX(G301:J301),"")</f>
        <v>0.696</v>
      </c>
      <c r="AO301" s="82" t="str">
        <f aca="false">IF($S301&gt;=2,INDEX($G$6:$J$6,MATCH(MAX(G301:J301),G301:J301,0)),"")</f>
        <v>Scholzen</v>
      </c>
      <c r="AP301" s="83" t="n">
        <f aca="false">IF($S301&gt;=2,MIN(G301:J301)*$F301,0)</f>
        <v>57.44</v>
      </c>
      <c r="AQ301" s="82" t="str">
        <f aca="false">IF($S301&gt;=2,INDEX($G$6:$J$6,MATCH(MIN(G301:J301),G301:J301,0)),"")</f>
        <v>Ferguson</v>
      </c>
    </row>
    <row r="302" customFormat="false" ht="15" hidden="false" customHeight="true" outlineLevel="0" collapsed="false">
      <c r="A302" s="70" t="s">
        <v>762</v>
      </c>
      <c r="B302" s="71" t="s">
        <v>754</v>
      </c>
      <c r="C302" s="72" t="s">
        <v>746</v>
      </c>
      <c r="D302" s="73" t="s">
        <v>763</v>
      </c>
      <c r="E302" s="74" t="s">
        <v>133</v>
      </c>
      <c r="F302" s="75" t="n">
        <v>1</v>
      </c>
      <c r="G302" s="76" t="n">
        <f aca="false">IF(COUNTIF('Quote Lines'!$P$3:$P$805,$A302&amp;"|"&amp;G$6&amp;"|1")=0,"—",SUMIFS('Quote Lines'!$O$3:$O$805,'Quote Lines'!$P$3:$P$805,$A302&amp;"|"&amp;G$6&amp;"|1")/SUMIFS('Quote Lines'!$L$3:$L$805,'Quote Lines'!$P$3:$P$805,$A302&amp;"|"&amp;G$6&amp;"|1"))</f>
        <v>314.55</v>
      </c>
      <c r="H302" s="76" t="n">
        <f aca="false">IF(COUNTIF('Quote Lines'!$P$3:$P$805,$A302&amp;"|"&amp;H$6&amp;"|1")=0,"—",SUMIFS('Quote Lines'!$O$3:$O$805,'Quote Lines'!$P$3:$P$805,$A302&amp;"|"&amp;H$6&amp;"|1")/SUMIFS('Quote Lines'!$L$3:$L$805,'Quote Lines'!$P$3:$P$805,$A302&amp;"|"&amp;H$6&amp;"|1"))</f>
        <v>307.01</v>
      </c>
      <c r="I302" s="76" t="n">
        <f aca="false">IF(COUNTIF('Quote Lines'!$P$3:$P$805,$A302&amp;"|"&amp;I$6&amp;"|1")=0,"—",SUMIFS('Quote Lines'!$O$3:$O$805,'Quote Lines'!$P$3:$P$805,$A302&amp;"|"&amp;I$6&amp;"|1")/SUMIFS('Quote Lines'!$L$3:$L$805,'Quote Lines'!$P$3:$P$805,$A302&amp;"|"&amp;I$6&amp;"|1"))</f>
        <v>299.44</v>
      </c>
      <c r="J302" s="76" t="n">
        <f aca="false">IF(COUNTIF('Quote Lines'!$P$3:$P$805,$A302&amp;"|"&amp;J$6&amp;"|1")=0,"—",SUMIFS('Quote Lines'!$O$3:$O$805,'Quote Lines'!$P$3:$P$805,$A302&amp;"|"&amp;J$6&amp;"|1")/SUMIFS('Quote Lines'!$L$3:$L$805,'Quote Lines'!$P$3:$P$805,$A302&amp;"|"&amp;J$6&amp;"|1"))</f>
        <v>360.3</v>
      </c>
      <c r="K302" s="14" t="n">
        <f aca="false">IF(ISNUMBER(G302),G302*$F302,"—")</f>
        <v>314.55</v>
      </c>
      <c r="L302" s="14" t="n">
        <f aca="false">IF(ISNUMBER(H302),H302*$F302,"—")</f>
        <v>307.01</v>
      </c>
      <c r="M302" s="14" t="n">
        <f aca="false">IF(ISNUMBER(I302),I302*$F302,"—")</f>
        <v>299.44</v>
      </c>
      <c r="N302" s="14" t="n">
        <f aca="false">IF(ISNUMBER(J302),J302*$F302,"—")</f>
        <v>360.3</v>
      </c>
      <c r="O302" s="77" t="n">
        <f aca="false">IF($S302=0,"—",MIN(G302:J302))</f>
        <v>299.44</v>
      </c>
      <c r="P302" s="42" t="str">
        <f aca="false">IF($S302=0,"—",IF(COUNTIF(G302:J302,O302)&gt;1,"Tie",INDEX($G$6:$J$6,MATCH(O302,G302:J302,0))))</f>
        <v>Mountainland</v>
      </c>
      <c r="Q302" s="48" t="n">
        <f aca="false">IF($S302&gt;=2,MAX(G302:J302)/MIN(G302:J302)-1,"—")</f>
        <v>0.203246059310714</v>
      </c>
      <c r="R302" s="78" t="n">
        <f aca="false">IF($S302&gt;=2,(MAX(G302:J302)-MIN(G302:J302))*$F302,"—")</f>
        <v>60.86</v>
      </c>
      <c r="S302" s="18" t="n">
        <f aca="false">COUNT(G302:J302)</f>
        <v>4</v>
      </c>
      <c r="T302" s="79" t="str">
        <f aca="false">IF($S302&lt;=1,IF($S302=1,"Single quote","—"),"Alt spec – verify")</f>
        <v>Alt spec – verify</v>
      </c>
      <c r="U302" s="79" t="str">
        <f aca="false">IF(COUNT(W302:Z302)&lt;2,"",IF(MAX(W302:Z302)=MIN(W302:Z302),"OK","Qty differs"))</f>
        <v>OK</v>
      </c>
      <c r="V302" s="80" t="s">
        <v>764</v>
      </c>
      <c r="W302" s="81" t="n">
        <f aca="false">IF(COUNTIFS('Quote Lines'!$P$3:$P$805,$A302&amp;"|"&amp;G$6&amp;"|1",'Quote Lines'!$M$3:$M$805,"Y")=0,"",SUMIFS('Quote Lines'!$L$3:$L$805,'Quote Lines'!$P$3:$P$805,$A302&amp;"|"&amp;G$6&amp;"|1",'Quote Lines'!$M$3:$M$805,"Y"))</f>
        <v>1</v>
      </c>
      <c r="X302" s="81" t="n">
        <f aca="false">IF(COUNTIFS('Quote Lines'!$P$3:$P$805,$A302&amp;"|"&amp;H$6&amp;"|1",'Quote Lines'!$M$3:$M$805,"Y")=0,"",SUMIFS('Quote Lines'!$L$3:$L$805,'Quote Lines'!$P$3:$P$805,$A302&amp;"|"&amp;H$6&amp;"|1",'Quote Lines'!$M$3:$M$805,"Y"))</f>
        <v>1</v>
      </c>
      <c r="Y302" s="81" t="n">
        <f aca="false">IF(COUNTIFS('Quote Lines'!$P$3:$P$805,$A302&amp;"|"&amp;I$6&amp;"|1",'Quote Lines'!$M$3:$M$805,"Y")=0,"",SUMIFS('Quote Lines'!$L$3:$L$805,'Quote Lines'!$P$3:$P$805,$A302&amp;"|"&amp;I$6&amp;"|1",'Quote Lines'!$M$3:$M$805,"Y"))</f>
        <v>1</v>
      </c>
      <c r="Z302" s="81" t="n">
        <f aca="false">IF(COUNTIFS('Quote Lines'!$P$3:$P$805,$A302&amp;"|"&amp;J$6&amp;"|1",'Quote Lines'!$M$3:$M$805,"Y")=0,"",SUMIFS('Quote Lines'!$L$3:$L$805,'Quote Lines'!$P$3:$P$805,$A302&amp;"|"&amp;J$6&amp;"|1",'Quote Lines'!$M$3:$M$805,"Y"))</f>
        <v>1</v>
      </c>
      <c r="AA302" s="82" t="n">
        <f aca="false">IF(ISNUMBER(G302),1+SUMPRODUCT(ISNUMBER($G302:$J302)*($G302:$J302&lt;G302)),"")</f>
        <v>3</v>
      </c>
      <c r="AB302" s="82" t="n">
        <f aca="false">IF(ISNUMBER(H302),1+SUMPRODUCT(ISNUMBER($G302:$J302)*($G302:$J302&lt;H302)),"")</f>
        <v>2</v>
      </c>
      <c r="AC302" s="82" t="n">
        <f aca="false">IF(ISNUMBER(I302),1+SUMPRODUCT(ISNUMBER($G302:$J302)*($G302:$J302&lt;I302)),"")</f>
        <v>1</v>
      </c>
      <c r="AD302" s="82" t="n">
        <f aca="false">IF(ISNUMBER(J302),1+SUMPRODUCT(ISNUMBER($G302:$J302)*($G302:$J302&lt;J302)),"")</f>
        <v>4</v>
      </c>
      <c r="AE302" s="82" t="n">
        <f aca="false">IF(NOT(ISNUMBER(G302)),0,IF($S302&lt;2,5,IF(AA302=1,1,IF(G302=MAX($G302:$J302),4,IF(AA302=2,2,3)))))</f>
        <v>3</v>
      </c>
      <c r="AF302" s="82" t="n">
        <f aca="false">IF(NOT(ISNUMBER(H302)),0,IF($S302&lt;2,5,IF(AB302=1,1,IF(H302=MAX($G302:$J302),4,IF(AB302=2,2,3)))))</f>
        <v>2</v>
      </c>
      <c r="AG302" s="82" t="n">
        <f aca="false">IF(NOT(ISNUMBER(I302)),0,IF($S302&lt;2,5,IF(AC302=1,1,IF(I302=MAX($G302:$J302),4,IF(AC302=2,2,3)))))</f>
        <v>1</v>
      </c>
      <c r="AH302" s="82" t="n">
        <f aca="false">IF(NOT(ISNUMBER(J302)),0,IF($S302&lt;2,5,IF(AD302=1,1,IF(J302=MAX($G302:$J302),4,IF(AD302=2,2,3)))))</f>
        <v>4</v>
      </c>
      <c r="AI302" s="83" t="n">
        <f aca="false">IF($S302&gt;=2,IF(ISNUMBER(G302),G302*$F302,MIN($G302:$J302)*$F302),0)</f>
        <v>314.55</v>
      </c>
      <c r="AJ302" s="83" t="n">
        <f aca="false">IF($S302&gt;=2,IF(ISNUMBER(H302),H302*$F302,MIN($G302:$J302)*$F302),0)</f>
        <v>307.01</v>
      </c>
      <c r="AK302" s="83" t="n">
        <f aca="false">IF($S302&gt;=2,IF(ISNUMBER(I302),I302*$F302,MIN($G302:$J302)*$F302),0)</f>
        <v>299.44</v>
      </c>
      <c r="AL302" s="83" t="n">
        <f aca="false">IF($S302&gt;=2,IF(ISNUMBER(J302),J302*$F302,MIN($G302:$J302)*$F302),0)</f>
        <v>360.3</v>
      </c>
      <c r="AM302" s="84" t="n">
        <f aca="false">IF($S302&gt;=2,$R302+ROW()/1000000,"")</f>
        <v>60.860302</v>
      </c>
      <c r="AN302" s="83" t="n">
        <f aca="false">IF($S302&gt;=2,MAX(G302:J302),"")</f>
        <v>360.3</v>
      </c>
      <c r="AO302" s="82" t="str">
        <f aca="false">IF($S302&gt;=2,INDEX($G$6:$J$6,MATCH(MAX(G302:J302),G302:J302,0)),"")</f>
        <v>Scholzen</v>
      </c>
      <c r="AP302" s="83" t="n">
        <f aca="false">IF($S302&gt;=2,MIN(G302:J302)*$F302,0)</f>
        <v>299.44</v>
      </c>
      <c r="AQ302" s="82" t="str">
        <f aca="false">IF($S302&gt;=2,INDEX($G$6:$J$6,MATCH(MIN(G302:J302),G302:J302,0)),"")</f>
        <v>Mountainland</v>
      </c>
    </row>
    <row r="303" customFormat="false" ht="15" hidden="false" customHeight="true" outlineLevel="0" collapsed="false">
      <c r="A303" s="70" t="s">
        <v>765</v>
      </c>
      <c r="B303" s="71" t="s">
        <v>754</v>
      </c>
      <c r="C303" s="72" t="s">
        <v>746</v>
      </c>
      <c r="D303" s="73" t="s">
        <v>766</v>
      </c>
      <c r="E303" s="74" t="s">
        <v>133</v>
      </c>
      <c r="F303" s="75" t="n">
        <v>2</v>
      </c>
      <c r="G303" s="76" t="n">
        <f aca="false">IF(COUNTIF('Quote Lines'!$P$3:$P$805,$A303&amp;"|"&amp;G$6&amp;"|1")=0,"—",SUMIFS('Quote Lines'!$O$3:$O$805,'Quote Lines'!$P$3:$P$805,$A303&amp;"|"&amp;G$6&amp;"|1")/SUMIFS('Quote Lines'!$L$3:$L$805,'Quote Lines'!$P$3:$P$805,$A303&amp;"|"&amp;G$6&amp;"|1"))</f>
        <v>28.75</v>
      </c>
      <c r="H303" s="76" t="n">
        <f aca="false">IF(COUNTIF('Quote Lines'!$P$3:$P$805,$A303&amp;"|"&amp;H$6&amp;"|1")=0,"—",SUMIFS('Quote Lines'!$O$3:$O$805,'Quote Lines'!$P$3:$P$805,$A303&amp;"|"&amp;H$6&amp;"|1")/SUMIFS('Quote Lines'!$L$3:$L$805,'Quote Lines'!$P$3:$P$805,$A303&amp;"|"&amp;H$6&amp;"|1"))</f>
        <v>31.39</v>
      </c>
      <c r="I303" s="76" t="n">
        <f aca="false">IF(COUNTIF('Quote Lines'!$P$3:$P$805,$A303&amp;"|"&amp;I$6&amp;"|1")=0,"—",SUMIFS('Quote Lines'!$O$3:$O$805,'Quote Lines'!$P$3:$P$805,$A303&amp;"|"&amp;I$6&amp;"|1")/SUMIFS('Quote Lines'!$L$3:$L$805,'Quote Lines'!$P$3:$P$805,$A303&amp;"|"&amp;I$6&amp;"|1"))</f>
        <v>29.705</v>
      </c>
      <c r="J303" s="76" t="n">
        <f aca="false">IF(COUNTIF('Quote Lines'!$P$3:$P$805,$A303&amp;"|"&amp;J$6&amp;"|1")=0,"—",SUMIFS('Quote Lines'!$O$3:$O$805,'Quote Lines'!$P$3:$P$805,$A303&amp;"|"&amp;J$6&amp;"|1")/SUMIFS('Quote Lines'!$L$3:$L$805,'Quote Lines'!$P$3:$P$805,$A303&amp;"|"&amp;J$6&amp;"|1"))</f>
        <v>33.62</v>
      </c>
      <c r="K303" s="14" t="n">
        <f aca="false">IF(ISNUMBER(G303),G303*$F303,"—")</f>
        <v>57.5</v>
      </c>
      <c r="L303" s="14" t="n">
        <f aca="false">IF(ISNUMBER(H303),H303*$F303,"—")</f>
        <v>62.78</v>
      </c>
      <c r="M303" s="14" t="n">
        <f aca="false">IF(ISNUMBER(I303),I303*$F303,"—")</f>
        <v>59.41</v>
      </c>
      <c r="N303" s="14" t="n">
        <f aca="false">IF(ISNUMBER(J303),J303*$F303,"—")</f>
        <v>67.24</v>
      </c>
      <c r="O303" s="77" t="n">
        <f aca="false">IF($S303=0,"—",MIN(G303:J303))</f>
        <v>28.75</v>
      </c>
      <c r="P303" s="42" t="str">
        <f aca="false">IF($S303=0,"—",IF(COUNTIF(G303:J303,O303)&gt;1,"Tie",INDEX($G$6:$J$6,MATCH(O303,G303:J303,0))))</f>
        <v>Ferguson</v>
      </c>
      <c r="Q303" s="48" t="n">
        <f aca="false">IF($S303&gt;=2,MAX(G303:J303)/MIN(G303:J303)-1,"—")</f>
        <v>0.169391304347826</v>
      </c>
      <c r="R303" s="78" t="n">
        <f aca="false">IF($S303&gt;=2,(MAX(G303:J303)-MIN(G303:J303))*$F303,"—")</f>
        <v>9.74</v>
      </c>
      <c r="S303" s="18" t="n">
        <f aca="false">COUNT(G303:J303)</f>
        <v>4</v>
      </c>
      <c r="T303" s="79" t="str">
        <f aca="false">IF($S303&lt;=1,IF($S303=1,"Single quote","—"),"Like-for-like")</f>
        <v>Like-for-like</v>
      </c>
      <c r="U303" s="79" t="str">
        <f aca="false">IF(COUNT(W303:Z303)&lt;2,"",IF(MAX(W303:Z303)=MIN(W303:Z303),"OK","Qty differs"))</f>
        <v>Qty differs</v>
      </c>
      <c r="V303" s="80"/>
      <c r="W303" s="81" t="n">
        <f aca="false">IF(COUNTIFS('Quote Lines'!$P$3:$P$805,$A303&amp;"|"&amp;G$6&amp;"|1",'Quote Lines'!$M$3:$M$805,"Y")=0,"",SUMIFS('Quote Lines'!$L$3:$L$805,'Quote Lines'!$P$3:$P$805,$A303&amp;"|"&amp;G$6&amp;"|1",'Quote Lines'!$M$3:$M$805,"Y"))</f>
        <v>2</v>
      </c>
      <c r="X303" s="81" t="n">
        <f aca="false">IF(COUNTIFS('Quote Lines'!$P$3:$P$805,$A303&amp;"|"&amp;H$6&amp;"|1",'Quote Lines'!$M$3:$M$805,"Y")=0,"",SUMIFS('Quote Lines'!$L$3:$L$805,'Quote Lines'!$P$3:$P$805,$A303&amp;"|"&amp;H$6&amp;"|1",'Quote Lines'!$M$3:$M$805,"Y"))</f>
        <v>3</v>
      </c>
      <c r="Y303" s="81" t="n">
        <f aca="false">IF(COUNTIFS('Quote Lines'!$P$3:$P$805,$A303&amp;"|"&amp;I$6&amp;"|1",'Quote Lines'!$M$3:$M$805,"Y")=0,"",SUMIFS('Quote Lines'!$L$3:$L$805,'Quote Lines'!$P$3:$P$805,$A303&amp;"|"&amp;I$6&amp;"|1",'Quote Lines'!$M$3:$M$805,"Y"))</f>
        <v>2</v>
      </c>
      <c r="Z303" s="81" t="n">
        <f aca="false">IF(COUNTIFS('Quote Lines'!$P$3:$P$805,$A303&amp;"|"&amp;J$6&amp;"|1",'Quote Lines'!$M$3:$M$805,"Y")=0,"",SUMIFS('Quote Lines'!$L$3:$L$805,'Quote Lines'!$P$3:$P$805,$A303&amp;"|"&amp;J$6&amp;"|1",'Quote Lines'!$M$3:$M$805,"Y"))</f>
        <v>2</v>
      </c>
      <c r="AA303" s="82" t="n">
        <f aca="false">IF(ISNUMBER(G303),1+SUMPRODUCT(ISNUMBER($G303:$J303)*($G303:$J303&lt;G303)),"")</f>
        <v>1</v>
      </c>
      <c r="AB303" s="82" t="n">
        <f aca="false">IF(ISNUMBER(H303),1+SUMPRODUCT(ISNUMBER($G303:$J303)*($G303:$J303&lt;H303)),"")</f>
        <v>3</v>
      </c>
      <c r="AC303" s="82" t="n">
        <f aca="false">IF(ISNUMBER(I303),1+SUMPRODUCT(ISNUMBER($G303:$J303)*($G303:$J303&lt;I303)),"")</f>
        <v>2</v>
      </c>
      <c r="AD303" s="82" t="n">
        <f aca="false">IF(ISNUMBER(J303),1+SUMPRODUCT(ISNUMBER($G303:$J303)*($G303:$J303&lt;J303)),"")</f>
        <v>4</v>
      </c>
      <c r="AE303" s="82" t="n">
        <f aca="false">IF(NOT(ISNUMBER(G303)),0,IF($S303&lt;2,5,IF(AA303=1,1,IF(G303=MAX($G303:$J303),4,IF(AA303=2,2,3)))))</f>
        <v>1</v>
      </c>
      <c r="AF303" s="82" t="n">
        <f aca="false">IF(NOT(ISNUMBER(H303)),0,IF($S303&lt;2,5,IF(AB303=1,1,IF(H303=MAX($G303:$J303),4,IF(AB303=2,2,3)))))</f>
        <v>3</v>
      </c>
      <c r="AG303" s="82" t="n">
        <f aca="false">IF(NOT(ISNUMBER(I303)),0,IF($S303&lt;2,5,IF(AC303=1,1,IF(I303=MAX($G303:$J303),4,IF(AC303=2,2,3)))))</f>
        <v>2</v>
      </c>
      <c r="AH303" s="82" t="n">
        <f aca="false">IF(NOT(ISNUMBER(J303)),0,IF($S303&lt;2,5,IF(AD303=1,1,IF(J303=MAX($G303:$J303),4,IF(AD303=2,2,3)))))</f>
        <v>4</v>
      </c>
      <c r="AI303" s="83" t="n">
        <f aca="false">IF($S303&gt;=2,IF(ISNUMBER(G303),G303*$F303,MIN($G303:$J303)*$F303),0)</f>
        <v>57.5</v>
      </c>
      <c r="AJ303" s="83" t="n">
        <f aca="false">IF($S303&gt;=2,IF(ISNUMBER(H303),H303*$F303,MIN($G303:$J303)*$F303),0)</f>
        <v>62.78</v>
      </c>
      <c r="AK303" s="83" t="n">
        <f aca="false">IF($S303&gt;=2,IF(ISNUMBER(I303),I303*$F303,MIN($G303:$J303)*$F303),0)</f>
        <v>59.41</v>
      </c>
      <c r="AL303" s="83" t="n">
        <f aca="false">IF($S303&gt;=2,IF(ISNUMBER(J303),J303*$F303,MIN($G303:$J303)*$F303),0)</f>
        <v>67.24</v>
      </c>
      <c r="AM303" s="84" t="n">
        <f aca="false">IF($S303&gt;=2,$R303+ROW()/1000000,"")</f>
        <v>9.740303</v>
      </c>
      <c r="AN303" s="83" t="n">
        <f aca="false">IF($S303&gt;=2,MAX(G303:J303),"")</f>
        <v>33.62</v>
      </c>
      <c r="AO303" s="82" t="str">
        <f aca="false">IF($S303&gt;=2,INDEX($G$6:$J$6,MATCH(MAX(G303:J303),G303:J303,0)),"")</f>
        <v>Scholzen</v>
      </c>
      <c r="AP303" s="83" t="n">
        <f aca="false">IF($S303&gt;=2,MIN(G303:J303)*$F303,0)</f>
        <v>57.5</v>
      </c>
      <c r="AQ303" s="82" t="str">
        <f aca="false">IF($S303&gt;=2,INDEX($G$6:$J$6,MATCH(MIN(G303:J303),G303:J303,0)),"")</f>
        <v>Ferguson</v>
      </c>
    </row>
    <row r="304" customFormat="false" ht="15" hidden="false" customHeight="true" outlineLevel="0" collapsed="false">
      <c r="A304" s="70" t="s">
        <v>767</v>
      </c>
      <c r="B304" s="71" t="s">
        <v>754</v>
      </c>
      <c r="C304" s="72" t="s">
        <v>746</v>
      </c>
      <c r="D304" s="73" t="s">
        <v>768</v>
      </c>
      <c r="E304" s="74" t="s">
        <v>133</v>
      </c>
      <c r="F304" s="75" t="n">
        <v>1</v>
      </c>
      <c r="G304" s="76" t="n">
        <f aca="false">IF(COUNTIF('Quote Lines'!$P$3:$P$805,$A304&amp;"|"&amp;G$6&amp;"|1")=0,"—",SUMIFS('Quote Lines'!$O$3:$O$805,'Quote Lines'!$P$3:$P$805,$A304&amp;"|"&amp;G$6&amp;"|1")/SUMIFS('Quote Lines'!$L$3:$L$805,'Quote Lines'!$P$3:$P$805,$A304&amp;"|"&amp;G$6&amp;"|1"))</f>
        <v>149.77</v>
      </c>
      <c r="H304" s="85" t="s">
        <v>138</v>
      </c>
      <c r="I304" s="76" t="n">
        <f aca="false">IF(COUNTIF('Quote Lines'!$P$3:$P$805,$A304&amp;"|"&amp;I$6&amp;"|1")=0,"—",SUMIFS('Quote Lines'!$O$3:$O$805,'Quote Lines'!$P$3:$P$805,$A304&amp;"|"&amp;I$6&amp;"|1")/SUMIFS('Quote Lines'!$L$3:$L$805,'Quote Lines'!$P$3:$P$805,$A304&amp;"|"&amp;I$6&amp;"|1"))</f>
        <v>140.96</v>
      </c>
      <c r="J304" s="76" t="n">
        <f aca="false">IF(COUNTIF('Quote Lines'!$P$3:$P$805,$A304&amp;"|"&amp;J$6&amp;"|1")=0,"—",SUMIFS('Quote Lines'!$O$3:$O$805,'Quote Lines'!$P$3:$P$805,$A304&amp;"|"&amp;J$6&amp;"|1")/SUMIFS('Quote Lines'!$L$3:$L$805,'Quote Lines'!$P$3:$P$805,$A304&amp;"|"&amp;J$6&amp;"|1"))</f>
        <v>125.67</v>
      </c>
      <c r="K304" s="14" t="n">
        <f aca="false">IF(ISNUMBER(G304),G304*$F304,"—")</f>
        <v>149.77</v>
      </c>
      <c r="L304" s="14" t="str">
        <f aca="false">IF(ISNUMBER(H304),H304*$F304,"—")</f>
        <v>—</v>
      </c>
      <c r="M304" s="14" t="n">
        <f aca="false">IF(ISNUMBER(I304),I304*$F304,"—")</f>
        <v>140.96</v>
      </c>
      <c r="N304" s="14" t="n">
        <f aca="false">IF(ISNUMBER(J304),J304*$F304,"—")</f>
        <v>125.67</v>
      </c>
      <c r="O304" s="77" t="n">
        <f aca="false">IF($S304=0,"—",MIN(G304:J304))</f>
        <v>125.67</v>
      </c>
      <c r="P304" s="42" t="str">
        <f aca="false">IF($S304=0,"—",IF(COUNTIF(G304:J304,O304)&gt;1,"Tie",INDEX($G$6:$J$6,MATCH(O304,G304:J304,0))))</f>
        <v>Scholzen</v>
      </c>
      <c r="Q304" s="48" t="n">
        <f aca="false">IF($S304&gt;=2,MAX(G304:J304)/MIN(G304:J304)-1,"—")</f>
        <v>0.191772101535768</v>
      </c>
      <c r="R304" s="78" t="n">
        <f aca="false">IF($S304&gt;=2,(MAX(G304:J304)-MIN(G304:J304))*$F304,"—")</f>
        <v>24.1</v>
      </c>
      <c r="S304" s="18" t="n">
        <f aca="false">COUNT(G304:J304)</f>
        <v>3</v>
      </c>
      <c r="T304" s="79" t="str">
        <f aca="false">IF($S304&lt;=1,IF($S304=1,"Single quote","—"),"Like-for-like")</f>
        <v>Like-for-like</v>
      </c>
      <c r="U304" s="79" t="str">
        <f aca="false">IF(COUNT(W304:Z304)&lt;2,"",IF(MAX(W304:Z304)=MIN(W304:Z304),"OK","Qty differs"))</f>
        <v>OK</v>
      </c>
      <c r="V304" s="80" t="s">
        <v>769</v>
      </c>
      <c r="W304" s="81" t="n">
        <f aca="false">IF(COUNTIFS('Quote Lines'!$P$3:$P$805,$A304&amp;"|"&amp;G$6&amp;"|1",'Quote Lines'!$M$3:$M$805,"Y")=0,"",SUMIFS('Quote Lines'!$L$3:$L$805,'Quote Lines'!$P$3:$P$805,$A304&amp;"|"&amp;G$6&amp;"|1",'Quote Lines'!$M$3:$M$805,"Y"))</f>
        <v>1</v>
      </c>
      <c r="X304" s="81"/>
      <c r="Y304" s="81" t="n">
        <f aca="false">IF(COUNTIFS('Quote Lines'!$P$3:$P$805,$A304&amp;"|"&amp;I$6&amp;"|1",'Quote Lines'!$M$3:$M$805,"Y")=0,"",SUMIFS('Quote Lines'!$L$3:$L$805,'Quote Lines'!$P$3:$P$805,$A304&amp;"|"&amp;I$6&amp;"|1",'Quote Lines'!$M$3:$M$805,"Y"))</f>
        <v>1</v>
      </c>
      <c r="Z304" s="81" t="n">
        <f aca="false">IF(COUNTIFS('Quote Lines'!$P$3:$P$805,$A304&amp;"|"&amp;J$6&amp;"|1",'Quote Lines'!$M$3:$M$805,"Y")=0,"",SUMIFS('Quote Lines'!$L$3:$L$805,'Quote Lines'!$P$3:$P$805,$A304&amp;"|"&amp;J$6&amp;"|1",'Quote Lines'!$M$3:$M$805,"Y"))</f>
        <v>1</v>
      </c>
      <c r="AA304" s="82" t="n">
        <f aca="false">IF(ISNUMBER(G304),1+SUMPRODUCT(ISNUMBER($G304:$J304)*($G304:$J304&lt;G304)),"")</f>
        <v>3</v>
      </c>
      <c r="AB304" s="82" t="str">
        <f aca="false">IF(ISNUMBER(H304),1+SUMPRODUCT(ISNUMBER($G304:$J304)*($G304:$J304&lt;H304)),"")</f>
        <v/>
      </c>
      <c r="AC304" s="82" t="n">
        <f aca="false">IF(ISNUMBER(I304),1+SUMPRODUCT(ISNUMBER($G304:$J304)*($G304:$J304&lt;I304)),"")</f>
        <v>2</v>
      </c>
      <c r="AD304" s="82" t="n">
        <f aca="false">IF(ISNUMBER(J304),1+SUMPRODUCT(ISNUMBER($G304:$J304)*($G304:$J304&lt;J304)),"")</f>
        <v>1</v>
      </c>
      <c r="AE304" s="82" t="n">
        <f aca="false">IF(NOT(ISNUMBER(G304)),0,IF($S304&lt;2,5,IF(AA304=1,1,IF(G304=MAX($G304:$J304),4,IF(AA304=2,2,3)))))</f>
        <v>4</v>
      </c>
      <c r="AF304" s="82" t="n">
        <f aca="false">IF(NOT(ISNUMBER(H304)),0,IF($S304&lt;2,5,IF(AB304=1,1,IF(H304=MAX($G304:$J304),4,IF(AB304=2,2,3)))))</f>
        <v>0</v>
      </c>
      <c r="AG304" s="82" t="n">
        <f aca="false">IF(NOT(ISNUMBER(I304)),0,IF($S304&lt;2,5,IF(AC304=1,1,IF(I304=MAX($G304:$J304),4,IF(AC304=2,2,3)))))</f>
        <v>2</v>
      </c>
      <c r="AH304" s="82" t="n">
        <f aca="false">IF(NOT(ISNUMBER(J304)),0,IF($S304&lt;2,5,IF(AD304=1,1,IF(J304=MAX($G304:$J304),4,IF(AD304=2,2,3)))))</f>
        <v>1</v>
      </c>
      <c r="AI304" s="83" t="n">
        <f aca="false">IF($S304&gt;=2,IF(ISNUMBER(G304),G304*$F304,MIN($G304:$J304)*$F304),0)</f>
        <v>149.77</v>
      </c>
      <c r="AJ304" s="83" t="n">
        <f aca="false">IF($S304&gt;=2,IF(ISNUMBER(H304),H304*$F304,MIN($G304:$J304)*$F304),0)</f>
        <v>125.67</v>
      </c>
      <c r="AK304" s="83" t="n">
        <f aca="false">IF($S304&gt;=2,IF(ISNUMBER(I304),I304*$F304,MIN($G304:$J304)*$F304),0)</f>
        <v>140.96</v>
      </c>
      <c r="AL304" s="83" t="n">
        <f aca="false">IF($S304&gt;=2,IF(ISNUMBER(J304),J304*$F304,MIN($G304:$J304)*$F304),0)</f>
        <v>125.67</v>
      </c>
      <c r="AM304" s="84" t="n">
        <f aca="false">IF($S304&gt;=2,$R304+ROW()/1000000,"")</f>
        <v>24.100304</v>
      </c>
      <c r="AN304" s="83" t="n">
        <f aca="false">IF($S304&gt;=2,MAX(G304:J304),"")</f>
        <v>149.77</v>
      </c>
      <c r="AO304" s="82" t="str">
        <f aca="false">IF($S304&gt;=2,INDEX($G$6:$J$6,MATCH(MAX(G304:J304),G304:J304,0)),"")</f>
        <v>Ferguson</v>
      </c>
      <c r="AP304" s="83" t="n">
        <f aca="false">IF($S304&gt;=2,MIN(G304:J304)*$F304,0)</f>
        <v>125.67</v>
      </c>
      <c r="AQ304" s="82" t="str">
        <f aca="false">IF($S304&gt;=2,INDEX($G$6:$J$6,MATCH(MIN(G304:J304),G304:J304,0)),"")</f>
        <v>Scholzen</v>
      </c>
    </row>
    <row r="305" customFormat="false" ht="15" hidden="false" customHeight="true" outlineLevel="0" collapsed="false">
      <c r="A305" s="70" t="s">
        <v>770</v>
      </c>
      <c r="B305" s="71" t="s">
        <v>754</v>
      </c>
      <c r="C305" s="72" t="s">
        <v>746</v>
      </c>
      <c r="D305" s="73" t="s">
        <v>771</v>
      </c>
      <c r="E305" s="74" t="s">
        <v>133</v>
      </c>
      <c r="F305" s="75" t="n">
        <v>2</v>
      </c>
      <c r="G305" s="85" t="s">
        <v>138</v>
      </c>
      <c r="H305" s="76" t="n">
        <f aca="false">IF(COUNTIF('Quote Lines'!$P$3:$P$805,$A305&amp;"|"&amp;H$6&amp;"|1")=0,"—",SUMIFS('Quote Lines'!$O$3:$O$805,'Quote Lines'!$P$3:$P$805,$A305&amp;"|"&amp;H$6&amp;"|1")/SUMIFS('Quote Lines'!$L$3:$L$805,'Quote Lines'!$P$3:$P$805,$A305&amp;"|"&amp;H$6&amp;"|1"))</f>
        <v>86.64</v>
      </c>
      <c r="I305" s="85" t="s">
        <v>138</v>
      </c>
      <c r="J305" s="85" t="s">
        <v>138</v>
      </c>
      <c r="K305" s="14" t="str">
        <f aca="false">IF(ISNUMBER(G305),G305*$F305,"—")</f>
        <v>—</v>
      </c>
      <c r="L305" s="14" t="n">
        <f aca="false">IF(ISNUMBER(H305),H305*$F305,"—")</f>
        <v>173.28</v>
      </c>
      <c r="M305" s="14" t="str">
        <f aca="false">IF(ISNUMBER(I305),I305*$F305,"—")</f>
        <v>—</v>
      </c>
      <c r="N305" s="14" t="str">
        <f aca="false">IF(ISNUMBER(J305),J305*$F305,"—")</f>
        <v>—</v>
      </c>
      <c r="O305" s="77" t="n">
        <f aca="false">IF($S305=0,"—",MIN(G305:J305))</f>
        <v>86.64</v>
      </c>
      <c r="P305" s="42" t="str">
        <f aca="false">IF($S305=0,"—",IF(COUNTIF(G305:J305,O305)&gt;1,"Tie",INDEX($G$6:$J$6,MATCH(O305,G305:J305,0))))</f>
        <v>HD Fowler</v>
      </c>
      <c r="Q305" s="48" t="str">
        <f aca="false">IF($S305&gt;=2,MAX(G305:J305)/MIN(G305:J305)-1,"—")</f>
        <v>—</v>
      </c>
      <c r="R305" s="78" t="str">
        <f aca="false">IF($S305&gt;=2,(MAX(G305:J305)-MIN(G305:J305))*$F305,"—")</f>
        <v>—</v>
      </c>
      <c r="S305" s="18" t="n">
        <f aca="false">COUNT(G305:J305)</f>
        <v>1</v>
      </c>
      <c r="T305" s="79" t="str">
        <f aca="false">IF($S305&lt;=1,IF($S305=1,"Single quote","—"),"Like-for-like")</f>
        <v>Single quote</v>
      </c>
      <c r="U305" s="79" t="str">
        <f aca="false">IF(COUNT(W305:Z305)&lt;2,"",IF(MAX(W305:Z305)=MIN(W305:Z305),"OK","Qty differs"))</f>
        <v/>
      </c>
      <c r="V305" s="80"/>
      <c r="W305" s="81"/>
      <c r="X305" s="81" t="n">
        <f aca="false">IF(COUNTIFS('Quote Lines'!$P$3:$P$805,$A305&amp;"|"&amp;H$6&amp;"|1",'Quote Lines'!$M$3:$M$805,"Y")=0,"",SUMIFS('Quote Lines'!$L$3:$L$805,'Quote Lines'!$P$3:$P$805,$A305&amp;"|"&amp;H$6&amp;"|1",'Quote Lines'!$M$3:$M$805,"Y"))</f>
        <v>2</v>
      </c>
      <c r="Y305" s="81"/>
      <c r="Z305" s="81"/>
      <c r="AA305" s="82" t="str">
        <f aca="false">IF(ISNUMBER(G305),1+SUMPRODUCT(ISNUMBER($G305:$J305)*($G305:$J305&lt;G305)),"")</f>
        <v/>
      </c>
      <c r="AB305" s="82" t="n">
        <f aca="false">IF(ISNUMBER(H305),1+SUMPRODUCT(ISNUMBER($G305:$J305)*($G305:$J305&lt;H305)),"")</f>
        <v>1</v>
      </c>
      <c r="AC305" s="82" t="str">
        <f aca="false">IF(ISNUMBER(I305),1+SUMPRODUCT(ISNUMBER($G305:$J305)*($G305:$J305&lt;I305)),"")</f>
        <v/>
      </c>
      <c r="AD305" s="82" t="str">
        <f aca="false">IF(ISNUMBER(J305),1+SUMPRODUCT(ISNUMBER($G305:$J305)*($G305:$J305&lt;J305)),"")</f>
        <v/>
      </c>
      <c r="AE305" s="82" t="n">
        <f aca="false">IF(NOT(ISNUMBER(G305)),0,IF($S305&lt;2,5,IF(AA305=1,1,IF(G305=MAX($G305:$J305),4,IF(AA305=2,2,3)))))</f>
        <v>0</v>
      </c>
      <c r="AF305" s="82" t="n">
        <f aca="false">IF(NOT(ISNUMBER(H305)),0,IF($S305&lt;2,5,IF(AB305=1,1,IF(H305=MAX($G305:$J305),4,IF(AB305=2,2,3)))))</f>
        <v>5</v>
      </c>
      <c r="AG305" s="82" t="n">
        <f aca="false">IF(NOT(ISNUMBER(I305)),0,IF($S305&lt;2,5,IF(AC305=1,1,IF(I305=MAX($G305:$J305),4,IF(AC305=2,2,3)))))</f>
        <v>0</v>
      </c>
      <c r="AH305" s="82" t="n">
        <f aca="false">IF(NOT(ISNUMBER(J305)),0,IF($S305&lt;2,5,IF(AD305=1,1,IF(J305=MAX($G305:$J305),4,IF(AD305=2,2,3)))))</f>
        <v>0</v>
      </c>
      <c r="AI305" s="83" t="n">
        <f aca="false">IF($S305&gt;=2,IF(ISNUMBER(G305),G305*$F305,MIN($G305:$J305)*$F305),0)</f>
        <v>0</v>
      </c>
      <c r="AJ305" s="83" t="n">
        <f aca="false">IF($S305&gt;=2,IF(ISNUMBER(H305),H305*$F305,MIN($G305:$J305)*$F305),0)</f>
        <v>0</v>
      </c>
      <c r="AK305" s="83" t="n">
        <f aca="false">IF($S305&gt;=2,IF(ISNUMBER(I305),I305*$F305,MIN($G305:$J305)*$F305),0)</f>
        <v>0</v>
      </c>
      <c r="AL305" s="83" t="n">
        <f aca="false">IF($S305&gt;=2,IF(ISNUMBER(J305),J305*$F305,MIN($G305:$J305)*$F305),0)</f>
        <v>0</v>
      </c>
      <c r="AM305" s="84" t="str">
        <f aca="false">IF($S305&gt;=2,$R305+ROW()/1000000,"")</f>
        <v/>
      </c>
      <c r="AN305" s="83" t="str">
        <f aca="false">IF($S305&gt;=2,MAX(G305:J305),"")</f>
        <v/>
      </c>
      <c r="AO305" s="82" t="str">
        <f aca="false">IF($S305&gt;=2,INDEX($G$6:$J$6,MATCH(MAX(G305:J305),G305:J305,0)),"")</f>
        <v/>
      </c>
      <c r="AP305" s="83" t="n">
        <f aca="false">IF($S305&gt;=2,MIN(G305:J305)*$F305,0)</f>
        <v>0</v>
      </c>
      <c r="AQ305" s="82" t="str">
        <f aca="false">IF($S305&gt;=2,INDEX($G$6:$J$6,MATCH(MIN(G305:J305),G305:J305,0)),"")</f>
        <v/>
      </c>
    </row>
    <row r="306" customFormat="false" ht="15" hidden="false" customHeight="true" outlineLevel="0" collapsed="false">
      <c r="A306" s="70" t="s">
        <v>772</v>
      </c>
      <c r="B306" s="71" t="s">
        <v>754</v>
      </c>
      <c r="C306" s="72" t="s">
        <v>746</v>
      </c>
      <c r="D306" s="73" t="s">
        <v>773</v>
      </c>
      <c r="E306" s="74" t="s">
        <v>133</v>
      </c>
      <c r="F306" s="75" t="n">
        <v>1</v>
      </c>
      <c r="G306" s="85" t="s">
        <v>138</v>
      </c>
      <c r="H306" s="76" t="n">
        <f aca="false">IF(COUNTIF('Quote Lines'!$P$3:$P$805,$A306&amp;"|"&amp;H$6&amp;"|1")=0,"—",SUMIFS('Quote Lines'!$O$3:$O$805,'Quote Lines'!$P$3:$P$805,$A306&amp;"|"&amp;H$6&amp;"|1")/SUMIFS('Quote Lines'!$L$3:$L$805,'Quote Lines'!$P$3:$P$805,$A306&amp;"|"&amp;H$6&amp;"|1"))</f>
        <v>137.09</v>
      </c>
      <c r="I306" s="85" t="s">
        <v>138</v>
      </c>
      <c r="J306" s="85" t="s">
        <v>138</v>
      </c>
      <c r="K306" s="14" t="str">
        <f aca="false">IF(ISNUMBER(G306),G306*$F306,"—")</f>
        <v>—</v>
      </c>
      <c r="L306" s="14" t="n">
        <f aca="false">IF(ISNUMBER(H306),H306*$F306,"—")</f>
        <v>137.09</v>
      </c>
      <c r="M306" s="14" t="str">
        <f aca="false">IF(ISNUMBER(I306),I306*$F306,"—")</f>
        <v>—</v>
      </c>
      <c r="N306" s="14" t="str">
        <f aca="false">IF(ISNUMBER(J306),J306*$F306,"—")</f>
        <v>—</v>
      </c>
      <c r="O306" s="77" t="n">
        <f aca="false">IF($S306=0,"—",MIN(G306:J306))</f>
        <v>137.09</v>
      </c>
      <c r="P306" s="42" t="str">
        <f aca="false">IF($S306=0,"—",IF(COUNTIF(G306:J306,O306)&gt;1,"Tie",INDEX($G$6:$J$6,MATCH(O306,G306:J306,0))))</f>
        <v>HD Fowler</v>
      </c>
      <c r="Q306" s="48" t="str">
        <f aca="false">IF($S306&gt;=2,MAX(G306:J306)/MIN(G306:J306)-1,"—")</f>
        <v>—</v>
      </c>
      <c r="R306" s="78" t="str">
        <f aca="false">IF($S306&gt;=2,(MAX(G306:J306)-MIN(G306:J306))*$F306,"—")</f>
        <v>—</v>
      </c>
      <c r="S306" s="18" t="n">
        <f aca="false">COUNT(G306:J306)</f>
        <v>1</v>
      </c>
      <c r="T306" s="79" t="str">
        <f aca="false">IF($S306&lt;=1,IF($S306=1,"Single quote","—"),"Like-for-like")</f>
        <v>Single quote</v>
      </c>
      <c r="U306" s="79" t="str">
        <f aca="false">IF(COUNT(W306:Z306)&lt;2,"",IF(MAX(W306:Z306)=MIN(W306:Z306),"OK","Qty differs"))</f>
        <v/>
      </c>
      <c r="V306" s="80"/>
      <c r="W306" s="81"/>
      <c r="X306" s="81" t="n">
        <f aca="false">IF(COUNTIFS('Quote Lines'!$P$3:$P$805,$A306&amp;"|"&amp;H$6&amp;"|1",'Quote Lines'!$M$3:$M$805,"Y")=0,"",SUMIFS('Quote Lines'!$L$3:$L$805,'Quote Lines'!$P$3:$P$805,$A306&amp;"|"&amp;H$6&amp;"|1",'Quote Lines'!$M$3:$M$805,"Y"))</f>
        <v>1</v>
      </c>
      <c r="Y306" s="81"/>
      <c r="Z306" s="81"/>
      <c r="AA306" s="82" t="str">
        <f aca="false">IF(ISNUMBER(G306),1+SUMPRODUCT(ISNUMBER($G306:$J306)*($G306:$J306&lt;G306)),"")</f>
        <v/>
      </c>
      <c r="AB306" s="82" t="n">
        <f aca="false">IF(ISNUMBER(H306),1+SUMPRODUCT(ISNUMBER($G306:$J306)*($G306:$J306&lt;H306)),"")</f>
        <v>1</v>
      </c>
      <c r="AC306" s="82" t="str">
        <f aca="false">IF(ISNUMBER(I306),1+SUMPRODUCT(ISNUMBER($G306:$J306)*($G306:$J306&lt;I306)),"")</f>
        <v/>
      </c>
      <c r="AD306" s="82" t="str">
        <f aca="false">IF(ISNUMBER(J306),1+SUMPRODUCT(ISNUMBER($G306:$J306)*($G306:$J306&lt;J306)),"")</f>
        <v/>
      </c>
      <c r="AE306" s="82" t="n">
        <f aca="false">IF(NOT(ISNUMBER(G306)),0,IF($S306&lt;2,5,IF(AA306=1,1,IF(G306=MAX($G306:$J306),4,IF(AA306=2,2,3)))))</f>
        <v>0</v>
      </c>
      <c r="AF306" s="82" t="n">
        <f aca="false">IF(NOT(ISNUMBER(H306)),0,IF($S306&lt;2,5,IF(AB306=1,1,IF(H306=MAX($G306:$J306),4,IF(AB306=2,2,3)))))</f>
        <v>5</v>
      </c>
      <c r="AG306" s="82" t="n">
        <f aca="false">IF(NOT(ISNUMBER(I306)),0,IF($S306&lt;2,5,IF(AC306=1,1,IF(I306=MAX($G306:$J306),4,IF(AC306=2,2,3)))))</f>
        <v>0</v>
      </c>
      <c r="AH306" s="82" t="n">
        <f aca="false">IF(NOT(ISNUMBER(J306)),0,IF($S306&lt;2,5,IF(AD306=1,1,IF(J306=MAX($G306:$J306),4,IF(AD306=2,2,3)))))</f>
        <v>0</v>
      </c>
      <c r="AI306" s="83" t="n">
        <f aca="false">IF($S306&gt;=2,IF(ISNUMBER(G306),G306*$F306,MIN($G306:$J306)*$F306),0)</f>
        <v>0</v>
      </c>
      <c r="AJ306" s="83" t="n">
        <f aca="false">IF($S306&gt;=2,IF(ISNUMBER(H306),H306*$F306,MIN($G306:$J306)*$F306),0)</f>
        <v>0</v>
      </c>
      <c r="AK306" s="83" t="n">
        <f aca="false">IF($S306&gt;=2,IF(ISNUMBER(I306),I306*$F306,MIN($G306:$J306)*$F306),0)</f>
        <v>0</v>
      </c>
      <c r="AL306" s="83" t="n">
        <f aca="false">IF($S306&gt;=2,IF(ISNUMBER(J306),J306*$F306,MIN($G306:$J306)*$F306),0)</f>
        <v>0</v>
      </c>
      <c r="AM306" s="84" t="str">
        <f aca="false">IF($S306&gt;=2,$R306+ROW()/1000000,"")</f>
        <v/>
      </c>
      <c r="AN306" s="83" t="str">
        <f aca="false">IF($S306&gt;=2,MAX(G306:J306),"")</f>
        <v/>
      </c>
      <c r="AO306" s="82" t="str">
        <f aca="false">IF($S306&gt;=2,INDEX($G$6:$J$6,MATCH(MAX(G306:J306),G306:J306,0)),"")</f>
        <v/>
      </c>
      <c r="AP306" s="83" t="n">
        <f aca="false">IF($S306&gt;=2,MIN(G306:J306)*$F306,0)</f>
        <v>0</v>
      </c>
      <c r="AQ306" s="82" t="str">
        <f aca="false">IF($S306&gt;=2,INDEX($G$6:$J$6,MATCH(MIN(G306:J306),G306:J306,0)),"")</f>
        <v/>
      </c>
    </row>
    <row r="307" customFormat="false" ht="15" hidden="false" customHeight="true" outlineLevel="0" collapsed="false">
      <c r="A307" s="70" t="s">
        <v>774</v>
      </c>
      <c r="B307" s="71" t="s">
        <v>754</v>
      </c>
      <c r="C307" s="72" t="s">
        <v>746</v>
      </c>
      <c r="D307" s="73" t="s">
        <v>775</v>
      </c>
      <c r="E307" s="74" t="s">
        <v>133</v>
      </c>
      <c r="F307" s="75" t="n">
        <v>3</v>
      </c>
      <c r="G307" s="76" t="n">
        <f aca="false">IF(COUNTIF('Quote Lines'!$P$3:$P$805,$A307&amp;"|"&amp;G$6&amp;"|1")=0,"—",SUMIFS('Quote Lines'!$O$3:$O$805,'Quote Lines'!$P$3:$P$805,$A307&amp;"|"&amp;G$6&amp;"|1")/SUMIFS('Quote Lines'!$L$3:$L$805,'Quote Lines'!$P$3:$P$805,$A307&amp;"|"&amp;G$6&amp;"|1"))</f>
        <v>2.42</v>
      </c>
      <c r="H307" s="76" t="n">
        <f aca="false">IF(COUNTIF('Quote Lines'!$P$3:$P$805,$A307&amp;"|"&amp;H$6&amp;"|1")=0,"—",SUMIFS('Quote Lines'!$O$3:$O$805,'Quote Lines'!$P$3:$P$805,$A307&amp;"|"&amp;H$6&amp;"|1")/SUMIFS('Quote Lines'!$L$3:$L$805,'Quote Lines'!$P$3:$P$805,$A307&amp;"|"&amp;H$6&amp;"|1"))</f>
        <v>2.54</v>
      </c>
      <c r="I307" s="76" t="n">
        <f aca="false">IF(COUNTIF('Quote Lines'!$P$3:$P$805,$A307&amp;"|"&amp;I$6&amp;"|1")=0,"—",SUMIFS('Quote Lines'!$O$3:$O$805,'Quote Lines'!$P$3:$P$805,$A307&amp;"|"&amp;I$6&amp;"|1")/SUMIFS('Quote Lines'!$L$3:$L$805,'Quote Lines'!$P$3:$P$805,$A307&amp;"|"&amp;I$6&amp;"|1"))</f>
        <v>2.45</v>
      </c>
      <c r="J307" s="76" t="n">
        <f aca="false">IF(COUNTIF('Quote Lines'!$P$3:$P$805,$A307&amp;"|"&amp;J$6&amp;"|1")=0,"—",SUMIFS('Quote Lines'!$O$3:$O$805,'Quote Lines'!$P$3:$P$805,$A307&amp;"|"&amp;J$6&amp;"|1")/SUMIFS('Quote Lines'!$L$3:$L$805,'Quote Lines'!$P$3:$P$805,$A307&amp;"|"&amp;J$6&amp;"|1"))</f>
        <v>2.72</v>
      </c>
      <c r="K307" s="14" t="n">
        <f aca="false">IF(ISNUMBER(G307),G307*$F307,"—")</f>
        <v>7.26</v>
      </c>
      <c r="L307" s="14" t="n">
        <f aca="false">IF(ISNUMBER(H307),H307*$F307,"—")</f>
        <v>7.62</v>
      </c>
      <c r="M307" s="14" t="n">
        <f aca="false">IF(ISNUMBER(I307),I307*$F307,"—")</f>
        <v>7.35</v>
      </c>
      <c r="N307" s="14" t="n">
        <f aca="false">IF(ISNUMBER(J307),J307*$F307,"—")</f>
        <v>8.16</v>
      </c>
      <c r="O307" s="77" t="n">
        <f aca="false">IF($S307=0,"—",MIN(G307:J307))</f>
        <v>2.42</v>
      </c>
      <c r="P307" s="42" t="str">
        <f aca="false">IF($S307=0,"—",IF(COUNTIF(G307:J307,O307)&gt;1,"Tie",INDEX($G$6:$J$6,MATCH(O307,G307:J307,0))))</f>
        <v>Ferguson</v>
      </c>
      <c r="Q307" s="48" t="n">
        <f aca="false">IF($S307&gt;=2,MAX(G307:J307)/MIN(G307:J307)-1,"—")</f>
        <v>0.12396694214876</v>
      </c>
      <c r="R307" s="78" t="n">
        <f aca="false">IF($S307&gt;=2,(MAX(G307:J307)-MIN(G307:J307))*$F307,"—")</f>
        <v>0.900000000000001</v>
      </c>
      <c r="S307" s="18" t="n">
        <f aca="false">COUNT(G307:J307)</f>
        <v>4</v>
      </c>
      <c r="T307" s="79" t="str">
        <f aca="false">IF($S307&lt;=1,IF($S307=1,"Single quote","—"),"Like-for-like")</f>
        <v>Like-for-like</v>
      </c>
      <c r="U307" s="79" t="str">
        <f aca="false">IF(COUNT(W307:Z307)&lt;2,"",IF(MAX(W307:Z307)=MIN(W307:Z307),"OK","Qty differs"))</f>
        <v>Qty differs</v>
      </c>
      <c r="V307" s="80"/>
      <c r="W307" s="81" t="n">
        <f aca="false">IF(COUNTIFS('Quote Lines'!$P$3:$P$805,$A307&amp;"|"&amp;G$6&amp;"|1",'Quote Lines'!$M$3:$M$805,"Y")=0,"",SUMIFS('Quote Lines'!$L$3:$L$805,'Quote Lines'!$P$3:$P$805,$A307&amp;"|"&amp;G$6&amp;"|1",'Quote Lines'!$M$3:$M$805,"Y"))</f>
        <v>3</v>
      </c>
      <c r="X307" s="81" t="n">
        <f aca="false">IF(COUNTIFS('Quote Lines'!$P$3:$P$805,$A307&amp;"|"&amp;H$6&amp;"|1",'Quote Lines'!$M$3:$M$805,"Y")=0,"",SUMIFS('Quote Lines'!$L$3:$L$805,'Quote Lines'!$P$3:$P$805,$A307&amp;"|"&amp;H$6&amp;"|1",'Quote Lines'!$M$3:$M$805,"Y"))</f>
        <v>4</v>
      </c>
      <c r="Y307" s="81" t="n">
        <f aca="false">IF(COUNTIFS('Quote Lines'!$P$3:$P$805,$A307&amp;"|"&amp;I$6&amp;"|1",'Quote Lines'!$M$3:$M$805,"Y")=0,"",SUMIFS('Quote Lines'!$L$3:$L$805,'Quote Lines'!$P$3:$P$805,$A307&amp;"|"&amp;I$6&amp;"|1",'Quote Lines'!$M$3:$M$805,"Y"))</f>
        <v>3</v>
      </c>
      <c r="Z307" s="81" t="n">
        <f aca="false">IF(COUNTIFS('Quote Lines'!$P$3:$P$805,$A307&amp;"|"&amp;J$6&amp;"|1",'Quote Lines'!$M$3:$M$805,"Y")=0,"",SUMIFS('Quote Lines'!$L$3:$L$805,'Quote Lines'!$P$3:$P$805,$A307&amp;"|"&amp;J$6&amp;"|1",'Quote Lines'!$M$3:$M$805,"Y"))</f>
        <v>3</v>
      </c>
      <c r="AA307" s="82" t="n">
        <f aca="false">IF(ISNUMBER(G307),1+SUMPRODUCT(ISNUMBER($G307:$J307)*($G307:$J307&lt;G307)),"")</f>
        <v>1</v>
      </c>
      <c r="AB307" s="82" t="n">
        <f aca="false">IF(ISNUMBER(H307),1+SUMPRODUCT(ISNUMBER($G307:$J307)*($G307:$J307&lt;H307)),"")</f>
        <v>3</v>
      </c>
      <c r="AC307" s="82" t="n">
        <f aca="false">IF(ISNUMBER(I307),1+SUMPRODUCT(ISNUMBER($G307:$J307)*($G307:$J307&lt;I307)),"")</f>
        <v>2</v>
      </c>
      <c r="AD307" s="82" t="n">
        <f aca="false">IF(ISNUMBER(J307),1+SUMPRODUCT(ISNUMBER($G307:$J307)*($G307:$J307&lt;J307)),"")</f>
        <v>4</v>
      </c>
      <c r="AE307" s="82" t="n">
        <f aca="false">IF(NOT(ISNUMBER(G307)),0,IF($S307&lt;2,5,IF(AA307=1,1,IF(G307=MAX($G307:$J307),4,IF(AA307=2,2,3)))))</f>
        <v>1</v>
      </c>
      <c r="AF307" s="82" t="n">
        <f aca="false">IF(NOT(ISNUMBER(H307)),0,IF($S307&lt;2,5,IF(AB307=1,1,IF(H307=MAX($G307:$J307),4,IF(AB307=2,2,3)))))</f>
        <v>3</v>
      </c>
      <c r="AG307" s="82" t="n">
        <f aca="false">IF(NOT(ISNUMBER(I307)),0,IF($S307&lt;2,5,IF(AC307=1,1,IF(I307=MAX($G307:$J307),4,IF(AC307=2,2,3)))))</f>
        <v>2</v>
      </c>
      <c r="AH307" s="82" t="n">
        <f aca="false">IF(NOT(ISNUMBER(J307)),0,IF($S307&lt;2,5,IF(AD307=1,1,IF(J307=MAX($G307:$J307),4,IF(AD307=2,2,3)))))</f>
        <v>4</v>
      </c>
      <c r="AI307" s="83" t="n">
        <f aca="false">IF($S307&gt;=2,IF(ISNUMBER(G307),G307*$F307,MIN($G307:$J307)*$F307),0)</f>
        <v>7.26</v>
      </c>
      <c r="AJ307" s="83" t="n">
        <f aca="false">IF($S307&gt;=2,IF(ISNUMBER(H307),H307*$F307,MIN($G307:$J307)*$F307),0)</f>
        <v>7.62</v>
      </c>
      <c r="AK307" s="83" t="n">
        <f aca="false">IF($S307&gt;=2,IF(ISNUMBER(I307),I307*$F307,MIN($G307:$J307)*$F307),0)</f>
        <v>7.35</v>
      </c>
      <c r="AL307" s="83" t="n">
        <f aca="false">IF($S307&gt;=2,IF(ISNUMBER(J307),J307*$F307,MIN($G307:$J307)*$F307),0)</f>
        <v>8.16</v>
      </c>
      <c r="AM307" s="84" t="n">
        <f aca="false">IF($S307&gt;=2,$R307+ROW()/1000000,"")</f>
        <v>0.900307000000001</v>
      </c>
      <c r="AN307" s="83" t="n">
        <f aca="false">IF($S307&gt;=2,MAX(G307:J307),"")</f>
        <v>2.72</v>
      </c>
      <c r="AO307" s="82" t="str">
        <f aca="false">IF($S307&gt;=2,INDEX($G$6:$J$6,MATCH(MAX(G307:J307),G307:J307,0)),"")</f>
        <v>Scholzen</v>
      </c>
      <c r="AP307" s="83" t="n">
        <f aca="false">IF($S307&gt;=2,MIN(G307:J307)*$F307,0)</f>
        <v>7.26</v>
      </c>
      <c r="AQ307" s="82" t="str">
        <f aca="false">IF($S307&gt;=2,INDEX($G$6:$J$6,MATCH(MIN(G307:J307),G307:J307,0)),"")</f>
        <v>Ferguson</v>
      </c>
    </row>
    <row r="308" customFormat="false" ht="15" hidden="false" customHeight="true" outlineLevel="0" collapsed="false">
      <c r="A308" s="70" t="s">
        <v>776</v>
      </c>
      <c r="B308" s="71" t="s">
        <v>754</v>
      </c>
      <c r="C308" s="72" t="s">
        <v>460</v>
      </c>
      <c r="D308" s="73" t="s">
        <v>777</v>
      </c>
      <c r="E308" s="74" t="s">
        <v>178</v>
      </c>
      <c r="F308" s="75" t="n">
        <v>500</v>
      </c>
      <c r="G308" s="76" t="n">
        <f aca="false">IF(COUNTIF('Quote Lines'!$P$3:$P$805,$A308&amp;"|"&amp;G$6&amp;"|1")=0,"—",SUMIFS('Quote Lines'!$O$3:$O$805,'Quote Lines'!$P$3:$P$805,$A308&amp;"|"&amp;G$6&amp;"|1")/SUMIFS('Quote Lines'!$L$3:$L$805,'Quote Lines'!$P$3:$P$805,$A308&amp;"|"&amp;G$6&amp;"|1"))</f>
        <v>0.37238</v>
      </c>
      <c r="H308" s="76" t="n">
        <f aca="false">IF(COUNTIF('Quote Lines'!$P$3:$P$805,$A308&amp;"|"&amp;H$6&amp;"|1")=0,"—",SUMIFS('Quote Lines'!$O$3:$O$805,'Quote Lines'!$P$3:$P$805,$A308&amp;"|"&amp;H$6&amp;"|1")/SUMIFS('Quote Lines'!$L$3:$L$805,'Quote Lines'!$P$3:$P$805,$A308&amp;"|"&amp;H$6&amp;"|1"))</f>
        <v>0.25672</v>
      </c>
      <c r="I308" s="85" t="s">
        <v>138</v>
      </c>
      <c r="J308" s="85" t="s">
        <v>138</v>
      </c>
      <c r="K308" s="14" t="n">
        <f aca="false">IF(ISNUMBER(G308),G308*$F308,"—")</f>
        <v>186.19</v>
      </c>
      <c r="L308" s="14" t="n">
        <f aca="false">IF(ISNUMBER(H308),H308*$F308,"—")</f>
        <v>128.36</v>
      </c>
      <c r="M308" s="14" t="str">
        <f aca="false">IF(ISNUMBER(I308),I308*$F308,"—")</f>
        <v>—</v>
      </c>
      <c r="N308" s="14" t="str">
        <f aca="false">IF(ISNUMBER(J308),J308*$F308,"—")</f>
        <v>—</v>
      </c>
      <c r="O308" s="77" t="n">
        <f aca="false">IF($S308=0,"—",MIN(G308:J308))</f>
        <v>0.25672</v>
      </c>
      <c r="P308" s="42" t="str">
        <f aca="false">IF($S308=0,"—",IF(COUNTIF(G308:J308,O308)&gt;1,"Tie",INDEX($G$6:$J$6,MATCH(O308,G308:J308,0))))</f>
        <v>HD Fowler</v>
      </c>
      <c r="Q308" s="48" t="n">
        <f aca="false">IF($S308&gt;=2,MAX(G308:J308)/MIN(G308:J308)-1,"—")</f>
        <v>0.45052976004986</v>
      </c>
      <c r="R308" s="78" t="n">
        <f aca="false">IF($S308&gt;=2,(MAX(G308:J308)-MIN(G308:J308))*$F308,"—")</f>
        <v>57.83</v>
      </c>
      <c r="S308" s="18" t="n">
        <f aca="false">COUNT(G308:J308)</f>
        <v>2</v>
      </c>
      <c r="T308" s="79" t="str">
        <f aca="false">IF($S308&lt;=1,IF($S308=1,"Single quote","—"),"Like-for-like")</f>
        <v>Like-for-like</v>
      </c>
      <c r="U308" s="79" t="str">
        <f aca="false">IF(COUNT(W308:Z308)&lt;2,"",IF(MAX(W308:Z308)=MIN(W308:Z308),"OK","Qty differs"))</f>
        <v>OK</v>
      </c>
      <c r="V308" s="80"/>
      <c r="W308" s="81" t="n">
        <f aca="false">IF(COUNTIFS('Quote Lines'!$P$3:$P$805,$A308&amp;"|"&amp;G$6&amp;"|1",'Quote Lines'!$M$3:$M$805,"Y")=0,"",SUMIFS('Quote Lines'!$L$3:$L$805,'Quote Lines'!$P$3:$P$805,$A308&amp;"|"&amp;G$6&amp;"|1",'Quote Lines'!$M$3:$M$805,"Y"))</f>
        <v>500</v>
      </c>
      <c r="X308" s="81" t="n">
        <f aca="false">IF(COUNTIFS('Quote Lines'!$P$3:$P$805,$A308&amp;"|"&amp;H$6&amp;"|1",'Quote Lines'!$M$3:$M$805,"Y")=0,"",SUMIFS('Quote Lines'!$L$3:$L$805,'Quote Lines'!$P$3:$P$805,$A308&amp;"|"&amp;H$6&amp;"|1",'Quote Lines'!$M$3:$M$805,"Y"))</f>
        <v>500</v>
      </c>
      <c r="Y308" s="81"/>
      <c r="Z308" s="81"/>
      <c r="AA308" s="82" t="n">
        <f aca="false">IF(ISNUMBER(G308),1+SUMPRODUCT(ISNUMBER($G308:$J308)*($G308:$J308&lt;G308)),"")</f>
        <v>2</v>
      </c>
      <c r="AB308" s="82" t="n">
        <f aca="false">IF(ISNUMBER(H308),1+SUMPRODUCT(ISNUMBER($G308:$J308)*($G308:$J308&lt;H308)),"")</f>
        <v>1</v>
      </c>
      <c r="AC308" s="82" t="str">
        <f aca="false">IF(ISNUMBER(I308),1+SUMPRODUCT(ISNUMBER($G308:$J308)*($G308:$J308&lt;I308)),"")</f>
        <v/>
      </c>
      <c r="AD308" s="82" t="str">
        <f aca="false">IF(ISNUMBER(J308),1+SUMPRODUCT(ISNUMBER($G308:$J308)*($G308:$J308&lt;J308)),"")</f>
        <v/>
      </c>
      <c r="AE308" s="82" t="n">
        <f aca="false">IF(NOT(ISNUMBER(G308)),0,IF($S308&lt;2,5,IF(AA308=1,1,IF(G308=MAX($G308:$J308),4,IF(AA308=2,2,3)))))</f>
        <v>4</v>
      </c>
      <c r="AF308" s="82" t="n">
        <f aca="false">IF(NOT(ISNUMBER(H308)),0,IF($S308&lt;2,5,IF(AB308=1,1,IF(H308=MAX($G308:$J308),4,IF(AB308=2,2,3)))))</f>
        <v>1</v>
      </c>
      <c r="AG308" s="82" t="n">
        <f aca="false">IF(NOT(ISNUMBER(I308)),0,IF($S308&lt;2,5,IF(AC308=1,1,IF(I308=MAX($G308:$J308),4,IF(AC308=2,2,3)))))</f>
        <v>0</v>
      </c>
      <c r="AH308" s="82" t="n">
        <f aca="false">IF(NOT(ISNUMBER(J308)),0,IF($S308&lt;2,5,IF(AD308=1,1,IF(J308=MAX($G308:$J308),4,IF(AD308=2,2,3)))))</f>
        <v>0</v>
      </c>
      <c r="AI308" s="83" t="n">
        <f aca="false">IF($S308&gt;=2,IF(ISNUMBER(G308),G308*$F308,MIN($G308:$J308)*$F308),0)</f>
        <v>186.19</v>
      </c>
      <c r="AJ308" s="83" t="n">
        <f aca="false">IF($S308&gt;=2,IF(ISNUMBER(H308),H308*$F308,MIN($G308:$J308)*$F308),0)</f>
        <v>128.36</v>
      </c>
      <c r="AK308" s="83" t="n">
        <f aca="false">IF($S308&gt;=2,IF(ISNUMBER(I308),I308*$F308,MIN($G308:$J308)*$F308),0)</f>
        <v>128.36</v>
      </c>
      <c r="AL308" s="83" t="n">
        <f aca="false">IF($S308&gt;=2,IF(ISNUMBER(J308),J308*$F308,MIN($G308:$J308)*$F308),0)</f>
        <v>128.36</v>
      </c>
      <c r="AM308" s="84" t="n">
        <f aca="false">IF($S308&gt;=2,$R308+ROW()/1000000,"")</f>
        <v>57.830308</v>
      </c>
      <c r="AN308" s="83" t="n">
        <f aca="false">IF($S308&gt;=2,MAX(G308:J308),"")</f>
        <v>0.37238</v>
      </c>
      <c r="AO308" s="82" t="str">
        <f aca="false">IF($S308&gt;=2,INDEX($G$6:$J$6,MATCH(MAX(G308:J308),G308:J308,0)),"")</f>
        <v>Ferguson</v>
      </c>
      <c r="AP308" s="83" t="n">
        <f aca="false">IF($S308&gt;=2,MIN(G308:J308)*$F308,0)</f>
        <v>128.36</v>
      </c>
      <c r="AQ308" s="82" t="str">
        <f aca="false">IF($S308&gt;=2,INDEX($G$6:$J$6,MATCH(MIN(G308:J308),G308:J308,0)),"")</f>
        <v>HD Fowler</v>
      </c>
    </row>
    <row r="309" customFormat="false" ht="15" hidden="false" customHeight="true" outlineLevel="0" collapsed="false">
      <c r="A309" s="70" t="s">
        <v>778</v>
      </c>
      <c r="B309" s="71" t="s">
        <v>754</v>
      </c>
      <c r="C309" s="72" t="s">
        <v>746</v>
      </c>
      <c r="D309" s="73" t="s">
        <v>779</v>
      </c>
      <c r="E309" s="74" t="s">
        <v>133</v>
      </c>
      <c r="F309" s="75" t="n">
        <v>1</v>
      </c>
      <c r="G309" s="76" t="n">
        <f aca="false">IF(COUNTIF('Quote Lines'!$P$3:$P$805,$A309&amp;"|"&amp;G$6&amp;"|1")=0,"—",SUMIFS('Quote Lines'!$O$3:$O$805,'Quote Lines'!$P$3:$P$805,$A309&amp;"|"&amp;G$6&amp;"|1")/SUMIFS('Quote Lines'!$L$3:$L$805,'Quote Lines'!$P$3:$P$805,$A309&amp;"|"&amp;G$6&amp;"|1"))</f>
        <v>22.58</v>
      </c>
      <c r="H309" s="85" t="s">
        <v>138</v>
      </c>
      <c r="I309" s="76" t="n">
        <f aca="false">IF(COUNTIF('Quote Lines'!$P$3:$P$805,$A309&amp;"|"&amp;I$6&amp;"|1")=0,"—",SUMIFS('Quote Lines'!$O$3:$O$805,'Quote Lines'!$P$3:$P$805,$A309&amp;"|"&amp;I$6&amp;"|1")/SUMIFS('Quote Lines'!$L$3:$L$805,'Quote Lines'!$P$3:$P$805,$A309&amp;"|"&amp;I$6&amp;"|1"))</f>
        <v>19.19</v>
      </c>
      <c r="J309" s="85" t="s">
        <v>138</v>
      </c>
      <c r="K309" s="14" t="n">
        <f aca="false">IF(ISNUMBER(G309),G309*$F309,"—")</f>
        <v>22.58</v>
      </c>
      <c r="L309" s="14" t="str">
        <f aca="false">IF(ISNUMBER(H309),H309*$F309,"—")</f>
        <v>—</v>
      </c>
      <c r="M309" s="14" t="n">
        <f aca="false">IF(ISNUMBER(I309),I309*$F309,"—")</f>
        <v>19.19</v>
      </c>
      <c r="N309" s="14" t="str">
        <f aca="false">IF(ISNUMBER(J309),J309*$F309,"—")</f>
        <v>—</v>
      </c>
      <c r="O309" s="77" t="n">
        <f aca="false">IF($S309=0,"—",MIN(G309:J309))</f>
        <v>19.19</v>
      </c>
      <c r="P309" s="42" t="str">
        <f aca="false">IF($S309=0,"—",IF(COUNTIF(G309:J309,O309)&gt;1,"Tie",INDEX($G$6:$J$6,MATCH(O309,G309:J309,0))))</f>
        <v>Mountainland</v>
      </c>
      <c r="Q309" s="48" t="n">
        <f aca="false">IF($S309&gt;=2,MAX(G309:J309)/MIN(G309:J309)-1,"—")</f>
        <v>0.176654507556019</v>
      </c>
      <c r="R309" s="78" t="n">
        <f aca="false">IF($S309&gt;=2,(MAX(G309:J309)-MIN(G309:J309))*$F309,"—")</f>
        <v>3.39</v>
      </c>
      <c r="S309" s="18" t="n">
        <f aca="false">COUNT(G309:J309)</f>
        <v>2</v>
      </c>
      <c r="T309" s="79" t="str">
        <f aca="false">IF($S309&lt;=1,IF($S309=1,"Single quote","—"),"Like-for-like")</f>
        <v>Like-for-like</v>
      </c>
      <c r="U309" s="79" t="str">
        <f aca="false">IF(COUNT(W309:Z309)&lt;2,"",IF(MAX(W309:Z309)=MIN(W309:Z309),"OK","Qty differs"))</f>
        <v>OK</v>
      </c>
      <c r="V309" s="80"/>
      <c r="W309" s="81" t="n">
        <f aca="false">IF(COUNTIFS('Quote Lines'!$P$3:$P$805,$A309&amp;"|"&amp;G$6&amp;"|1",'Quote Lines'!$M$3:$M$805,"Y")=0,"",SUMIFS('Quote Lines'!$L$3:$L$805,'Quote Lines'!$P$3:$P$805,$A309&amp;"|"&amp;G$6&amp;"|1",'Quote Lines'!$M$3:$M$805,"Y"))</f>
        <v>1</v>
      </c>
      <c r="X309" s="81"/>
      <c r="Y309" s="81" t="n">
        <f aca="false">IF(COUNTIFS('Quote Lines'!$P$3:$P$805,$A309&amp;"|"&amp;I$6&amp;"|1",'Quote Lines'!$M$3:$M$805,"Y")=0,"",SUMIFS('Quote Lines'!$L$3:$L$805,'Quote Lines'!$P$3:$P$805,$A309&amp;"|"&amp;I$6&amp;"|1",'Quote Lines'!$M$3:$M$805,"Y"))</f>
        <v>1</v>
      </c>
      <c r="Z309" s="81"/>
      <c r="AA309" s="82" t="n">
        <f aca="false">IF(ISNUMBER(G309),1+SUMPRODUCT(ISNUMBER($G309:$J309)*($G309:$J309&lt;G309)),"")</f>
        <v>2</v>
      </c>
      <c r="AB309" s="82" t="str">
        <f aca="false">IF(ISNUMBER(H309),1+SUMPRODUCT(ISNUMBER($G309:$J309)*($G309:$J309&lt;H309)),"")</f>
        <v/>
      </c>
      <c r="AC309" s="82" t="n">
        <f aca="false">IF(ISNUMBER(I309),1+SUMPRODUCT(ISNUMBER($G309:$J309)*($G309:$J309&lt;I309)),"")</f>
        <v>1</v>
      </c>
      <c r="AD309" s="82" t="str">
        <f aca="false">IF(ISNUMBER(J309),1+SUMPRODUCT(ISNUMBER($G309:$J309)*($G309:$J309&lt;J309)),"")</f>
        <v/>
      </c>
      <c r="AE309" s="82" t="n">
        <f aca="false">IF(NOT(ISNUMBER(G309)),0,IF($S309&lt;2,5,IF(AA309=1,1,IF(G309=MAX($G309:$J309),4,IF(AA309=2,2,3)))))</f>
        <v>4</v>
      </c>
      <c r="AF309" s="82" t="n">
        <f aca="false">IF(NOT(ISNUMBER(H309)),0,IF($S309&lt;2,5,IF(AB309=1,1,IF(H309=MAX($G309:$J309),4,IF(AB309=2,2,3)))))</f>
        <v>0</v>
      </c>
      <c r="AG309" s="82" t="n">
        <f aca="false">IF(NOT(ISNUMBER(I309)),0,IF($S309&lt;2,5,IF(AC309=1,1,IF(I309=MAX($G309:$J309),4,IF(AC309=2,2,3)))))</f>
        <v>1</v>
      </c>
      <c r="AH309" s="82" t="n">
        <f aca="false">IF(NOT(ISNUMBER(J309)),0,IF($S309&lt;2,5,IF(AD309=1,1,IF(J309=MAX($G309:$J309),4,IF(AD309=2,2,3)))))</f>
        <v>0</v>
      </c>
      <c r="AI309" s="83" t="n">
        <f aca="false">IF($S309&gt;=2,IF(ISNUMBER(G309),G309*$F309,MIN($G309:$J309)*$F309),0)</f>
        <v>22.58</v>
      </c>
      <c r="AJ309" s="83" t="n">
        <f aca="false">IF($S309&gt;=2,IF(ISNUMBER(H309),H309*$F309,MIN($G309:$J309)*$F309),0)</f>
        <v>19.19</v>
      </c>
      <c r="AK309" s="83" t="n">
        <f aca="false">IF($S309&gt;=2,IF(ISNUMBER(I309),I309*$F309,MIN($G309:$J309)*$F309),0)</f>
        <v>19.19</v>
      </c>
      <c r="AL309" s="83" t="n">
        <f aca="false">IF($S309&gt;=2,IF(ISNUMBER(J309),J309*$F309,MIN($G309:$J309)*$F309),0)</f>
        <v>19.19</v>
      </c>
      <c r="AM309" s="84" t="n">
        <f aca="false">IF($S309&gt;=2,$R309+ROW()/1000000,"")</f>
        <v>3.390309</v>
      </c>
      <c r="AN309" s="83" t="n">
        <f aca="false">IF($S309&gt;=2,MAX(G309:J309),"")</f>
        <v>22.58</v>
      </c>
      <c r="AO309" s="82" t="str">
        <f aca="false">IF($S309&gt;=2,INDEX($G$6:$J$6,MATCH(MAX(G309:J309),G309:J309,0)),"")</f>
        <v>Ferguson</v>
      </c>
      <c r="AP309" s="83" t="n">
        <f aca="false">IF($S309&gt;=2,MIN(G309:J309)*$F309,0)</f>
        <v>19.19</v>
      </c>
      <c r="AQ309" s="82" t="str">
        <f aca="false">IF($S309&gt;=2,INDEX($G$6:$J$6,MATCH(MIN(G309:J309),G309:J309,0)),"")</f>
        <v>Mountainland</v>
      </c>
    </row>
    <row r="310" customFormat="false" ht="19.5" hidden="false" customHeight="true" outlineLevel="0" collapsed="false">
      <c r="A310" s="69"/>
      <c r="B310" s="9" t="s">
        <v>780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</row>
    <row r="311" customFormat="false" ht="15" hidden="false" customHeight="true" outlineLevel="0" collapsed="false">
      <c r="A311" s="70" t="s">
        <v>781</v>
      </c>
      <c r="B311" s="71" t="s">
        <v>782</v>
      </c>
      <c r="C311" s="72" t="s">
        <v>176</v>
      </c>
      <c r="D311" s="73" t="s">
        <v>783</v>
      </c>
      <c r="E311" s="74" t="s">
        <v>178</v>
      </c>
      <c r="F311" s="75" t="n">
        <v>657</v>
      </c>
      <c r="G311" s="76" t="n">
        <f aca="false">IF(COUNTIF('Quote Lines'!$P$3:$P$805,$A311&amp;"|"&amp;G$6&amp;"|1")=0,"—",SUMIFS('Quote Lines'!$O$3:$O$805,'Quote Lines'!$P$3:$P$805,$A311&amp;"|"&amp;G$6&amp;"|1")/SUMIFS('Quote Lines'!$L$3:$L$805,'Quote Lines'!$P$3:$P$805,$A311&amp;"|"&amp;G$6&amp;"|1"))</f>
        <v>97.22</v>
      </c>
      <c r="H311" s="76" t="n">
        <f aca="false">IF(COUNTIF('Quote Lines'!$P$3:$P$805,$A311&amp;"|"&amp;H$6&amp;"|1")=0,"—",SUMIFS('Quote Lines'!$O$3:$O$805,'Quote Lines'!$P$3:$P$805,$A311&amp;"|"&amp;H$6&amp;"|1")/SUMIFS('Quote Lines'!$L$3:$L$805,'Quote Lines'!$P$3:$P$805,$A311&amp;"|"&amp;H$6&amp;"|1"))</f>
        <v>95.24</v>
      </c>
      <c r="I311" s="76" t="n">
        <f aca="false">IF(COUNTIF('Quote Lines'!$P$3:$P$805,$A311&amp;"|"&amp;I$6&amp;"|1")=0,"—",SUMIFS('Quote Lines'!$O$3:$O$805,'Quote Lines'!$P$3:$P$805,$A311&amp;"|"&amp;I$6&amp;"|1")/SUMIFS('Quote Lines'!$L$3:$L$805,'Quote Lines'!$P$3:$P$805,$A311&amp;"|"&amp;I$6&amp;"|1"))</f>
        <v>97.2187573099415</v>
      </c>
      <c r="J311" s="76" t="n">
        <f aca="false">IF(COUNTIF('Quote Lines'!$P$3:$P$805,$A311&amp;"|"&amp;J$6&amp;"|1")=0,"—",SUMIFS('Quote Lines'!$O$3:$O$805,'Quote Lines'!$P$3:$P$805,$A311&amp;"|"&amp;J$6&amp;"|1")/SUMIFS('Quote Lines'!$L$3:$L$805,'Quote Lines'!$P$3:$P$805,$A311&amp;"|"&amp;J$6&amp;"|1"))</f>
        <v>96.21</v>
      </c>
      <c r="K311" s="14" t="n">
        <f aca="false">IF(ISNUMBER(G311),G311*$F311,"—")</f>
        <v>63873.54</v>
      </c>
      <c r="L311" s="14" t="n">
        <f aca="false">IF(ISNUMBER(H311),H311*$F311,"—")</f>
        <v>62572.68</v>
      </c>
      <c r="M311" s="14" t="n">
        <f aca="false">IF(ISNUMBER(I311),I311*$F311,"—")</f>
        <v>63872.7235526316</v>
      </c>
      <c r="N311" s="14" t="n">
        <f aca="false">IF(ISNUMBER(J311),J311*$F311,"—")</f>
        <v>63209.97</v>
      </c>
      <c r="O311" s="77" t="n">
        <f aca="false">IF($S311=0,"—",MIN(G311:J311))</f>
        <v>95.24</v>
      </c>
      <c r="P311" s="42" t="str">
        <f aca="false">IF($S311=0,"—",IF(COUNTIF(G311:J311,O311)&gt;1,"Tie",INDEX($G$6:$J$6,MATCH(O311,G311:J311,0))))</f>
        <v>HD Fowler</v>
      </c>
      <c r="Q311" s="48" t="n">
        <f aca="false">IF($S311&gt;=2,MAX(G311:J311)/MIN(G311:J311)-1,"—")</f>
        <v>0.0207895842083159</v>
      </c>
      <c r="R311" s="78" t="n">
        <f aca="false">IF($S311&gt;=2,(MAX(G311:J311)-MIN(G311:J311))*$F311,"—")</f>
        <v>1300.86</v>
      </c>
      <c r="S311" s="18" t="n">
        <f aca="false">COUNT(G311:J311)</f>
        <v>4</v>
      </c>
      <c r="T311" s="79" t="str">
        <f aca="false">IF($S311&lt;=1,IF($S311=1,"Single quote","—"),"Like-for-like")</f>
        <v>Like-for-like</v>
      </c>
      <c r="U311" s="79" t="str">
        <f aca="false">IF(COUNT(W311:Z311)&lt;2,"",IF(MAX(W311:Z311)=MIN(W311:Z311),"OK","Qty differs"))</f>
        <v>Qty differs</v>
      </c>
      <c r="V311" s="80" t="s">
        <v>784</v>
      </c>
      <c r="W311" s="81" t="n">
        <f aca="false">IF(COUNTIFS('Quote Lines'!$P$3:$P$805,$A311&amp;"|"&amp;G$6&amp;"|1",'Quote Lines'!$M$3:$M$805,"Y")=0,"",SUMIFS('Quote Lines'!$L$3:$L$805,'Quote Lines'!$P$3:$P$805,$A311&amp;"|"&amp;G$6&amp;"|1",'Quote Lines'!$M$3:$M$805,"Y"))</f>
        <v>620</v>
      </c>
      <c r="X311" s="81" t="n">
        <f aca="false">IF(COUNTIFS('Quote Lines'!$P$3:$P$805,$A311&amp;"|"&amp;H$6&amp;"|1",'Quote Lines'!$M$3:$M$805,"Y")=0,"",SUMIFS('Quote Lines'!$L$3:$L$805,'Quote Lines'!$P$3:$P$805,$A311&amp;"|"&amp;H$6&amp;"|1",'Quote Lines'!$M$3:$M$805,"Y"))</f>
        <v>657</v>
      </c>
      <c r="Y311" s="81" t="n">
        <f aca="false">IF(COUNTIFS('Quote Lines'!$P$3:$P$805,$A311&amp;"|"&amp;I$6&amp;"|1",'Quote Lines'!$M$3:$M$805,"Y")=0,"",SUMIFS('Quote Lines'!$L$3:$L$805,'Quote Lines'!$P$3:$P$805,$A311&amp;"|"&amp;I$6&amp;"|1",'Quote Lines'!$M$3:$M$805,"Y"))</f>
        <v>684</v>
      </c>
      <c r="Z311" s="81" t="n">
        <f aca="false">IF(COUNTIFS('Quote Lines'!$P$3:$P$805,$A311&amp;"|"&amp;J$6&amp;"|1",'Quote Lines'!$M$3:$M$805,"Y")=0,"",SUMIFS('Quote Lines'!$L$3:$L$805,'Quote Lines'!$P$3:$P$805,$A311&amp;"|"&amp;J$6&amp;"|1",'Quote Lines'!$M$3:$M$805,"Y"))</f>
        <v>653</v>
      </c>
      <c r="AA311" s="82" t="n">
        <f aca="false">IF(ISNUMBER(G311),1+SUMPRODUCT(ISNUMBER($G311:$J311)*($G311:$J311&lt;G311)),"")</f>
        <v>4</v>
      </c>
      <c r="AB311" s="82" t="n">
        <f aca="false">IF(ISNUMBER(H311),1+SUMPRODUCT(ISNUMBER($G311:$J311)*($G311:$J311&lt;H311)),"")</f>
        <v>1</v>
      </c>
      <c r="AC311" s="82" t="n">
        <f aca="false">IF(ISNUMBER(I311),1+SUMPRODUCT(ISNUMBER($G311:$J311)*($G311:$J311&lt;I311)),"")</f>
        <v>3</v>
      </c>
      <c r="AD311" s="82" t="n">
        <f aca="false">IF(ISNUMBER(J311),1+SUMPRODUCT(ISNUMBER($G311:$J311)*($G311:$J311&lt;J311)),"")</f>
        <v>2</v>
      </c>
      <c r="AE311" s="82" t="n">
        <f aca="false">IF(NOT(ISNUMBER(G311)),0,IF($S311&lt;2,5,IF(AA311=1,1,IF(G311=MAX($G311:$J311),4,IF(AA311=2,2,3)))))</f>
        <v>4</v>
      </c>
      <c r="AF311" s="82" t="n">
        <f aca="false">IF(NOT(ISNUMBER(H311)),0,IF($S311&lt;2,5,IF(AB311=1,1,IF(H311=MAX($G311:$J311),4,IF(AB311=2,2,3)))))</f>
        <v>1</v>
      </c>
      <c r="AG311" s="82" t="n">
        <f aca="false">IF(NOT(ISNUMBER(I311)),0,IF($S311&lt;2,5,IF(AC311=1,1,IF(I311=MAX($G311:$J311),4,IF(AC311=2,2,3)))))</f>
        <v>3</v>
      </c>
      <c r="AH311" s="82" t="n">
        <f aca="false">IF(NOT(ISNUMBER(J311)),0,IF($S311&lt;2,5,IF(AD311=1,1,IF(J311=MAX($G311:$J311),4,IF(AD311=2,2,3)))))</f>
        <v>2</v>
      </c>
      <c r="AI311" s="83" t="n">
        <f aca="false">IF($S311&gt;=2,IF(ISNUMBER(G311),G311*$F311,MIN($G311:$J311)*$F311),0)</f>
        <v>63873.54</v>
      </c>
      <c r="AJ311" s="83" t="n">
        <f aca="false">IF($S311&gt;=2,IF(ISNUMBER(H311),H311*$F311,MIN($G311:$J311)*$F311),0)</f>
        <v>62572.68</v>
      </c>
      <c r="AK311" s="83" t="n">
        <f aca="false">IF($S311&gt;=2,IF(ISNUMBER(I311),I311*$F311,MIN($G311:$J311)*$F311),0)</f>
        <v>63872.7235526316</v>
      </c>
      <c r="AL311" s="83" t="n">
        <f aca="false">IF($S311&gt;=2,IF(ISNUMBER(J311),J311*$F311,MIN($G311:$J311)*$F311),0)</f>
        <v>63209.97</v>
      </c>
      <c r="AM311" s="84" t="n">
        <f aca="false">IF($S311&gt;=2,$R311+ROW()/1000000,"")</f>
        <v>1300.860311</v>
      </c>
      <c r="AN311" s="83" t="n">
        <f aca="false">IF($S311&gt;=2,MAX(G311:J311),"")</f>
        <v>97.22</v>
      </c>
      <c r="AO311" s="82" t="str">
        <f aca="false">IF($S311&gt;=2,INDEX($G$6:$J$6,MATCH(MAX(G311:J311),G311:J311,0)),"")</f>
        <v>Ferguson</v>
      </c>
      <c r="AP311" s="83" t="n">
        <f aca="false">IF($S311&gt;=2,MIN(G311:J311)*$F311,0)</f>
        <v>62572.68</v>
      </c>
      <c r="AQ311" s="82" t="str">
        <f aca="false">IF($S311&gt;=2,INDEX($G$6:$J$6,MATCH(MIN(G311:J311),G311:J311,0)),"")</f>
        <v>HD Fowler</v>
      </c>
    </row>
    <row r="312" customFormat="false" ht="27.75" hidden="false" customHeight="true" outlineLevel="0" collapsed="false">
      <c r="A312" s="70" t="s">
        <v>785</v>
      </c>
      <c r="B312" s="71" t="s">
        <v>782</v>
      </c>
      <c r="C312" s="72" t="s">
        <v>294</v>
      </c>
      <c r="D312" s="73" t="s">
        <v>786</v>
      </c>
      <c r="E312" s="74" t="s">
        <v>133</v>
      </c>
      <c r="F312" s="75" t="n">
        <v>34</v>
      </c>
      <c r="G312" s="76" t="n">
        <f aca="false">IF(COUNTIF('Quote Lines'!$P$3:$P$805,$A312&amp;"|"&amp;G$6&amp;"|1")=0,"—",SUMIFS('Quote Lines'!$O$3:$O$805,'Quote Lines'!$P$3:$P$805,$A312&amp;"|"&amp;G$6&amp;"|1")/SUMIFS('Quote Lines'!$L$3:$L$805,'Quote Lines'!$P$3:$P$805,$A312&amp;"|"&amp;G$6&amp;"|1"))</f>
        <v>524.96</v>
      </c>
      <c r="H312" s="76" t="n">
        <f aca="false">IF(COUNTIF('Quote Lines'!$P$3:$P$805,$A312&amp;"|"&amp;H$6&amp;"|1")=0,"—",SUMIFS('Quote Lines'!$O$3:$O$805,'Quote Lines'!$P$3:$P$805,$A312&amp;"|"&amp;H$6&amp;"|1")/SUMIFS('Quote Lines'!$L$3:$L$805,'Quote Lines'!$P$3:$P$805,$A312&amp;"|"&amp;H$6&amp;"|1"))</f>
        <v>681.52</v>
      </c>
      <c r="I312" s="76" t="n">
        <f aca="false">IF(COUNTIF('Quote Lines'!$P$3:$P$805,$A312&amp;"|"&amp;I$6&amp;"|1")=0,"—",SUMIFS('Quote Lines'!$O$3:$O$805,'Quote Lines'!$P$3:$P$805,$A312&amp;"|"&amp;I$6&amp;"|1")/SUMIFS('Quote Lines'!$L$3:$L$805,'Quote Lines'!$P$3:$P$805,$A312&amp;"|"&amp;I$6&amp;"|1"))</f>
        <v>408.482424242424</v>
      </c>
      <c r="J312" s="76" t="n">
        <f aca="false">IF(COUNTIF('Quote Lines'!$P$3:$P$805,$A312&amp;"|"&amp;J$6&amp;"|1")=0,"—",SUMIFS('Quote Lines'!$O$3:$O$805,'Quote Lines'!$P$3:$P$805,$A312&amp;"|"&amp;J$6&amp;"|1")/SUMIFS('Quote Lines'!$L$3:$L$805,'Quote Lines'!$P$3:$P$805,$A312&amp;"|"&amp;J$6&amp;"|1"))</f>
        <v>1083.29</v>
      </c>
      <c r="K312" s="14" t="n">
        <f aca="false">IF(ISNUMBER(G312),G312*$F312,"—")</f>
        <v>17848.64</v>
      </c>
      <c r="L312" s="14" t="n">
        <f aca="false">IF(ISNUMBER(H312),H312*$F312,"—")</f>
        <v>23171.68</v>
      </c>
      <c r="M312" s="14" t="n">
        <f aca="false">IF(ISNUMBER(I312),I312*$F312,"—")</f>
        <v>13888.4024242424</v>
      </c>
      <c r="N312" s="14" t="n">
        <f aca="false">IF(ISNUMBER(J312),J312*$F312,"—")</f>
        <v>36831.86</v>
      </c>
      <c r="O312" s="77" t="n">
        <f aca="false">IF($S312=0,"—",MIN(G312:J312))</f>
        <v>408.482424242424</v>
      </c>
      <c r="P312" s="42" t="str">
        <f aca="false">IF($S312=0,"—",IF(COUNTIF(G312:J312,O312)&gt;1,"Tie",INDEX($G$6:$J$6,MATCH(O312,G312:J312,0))))</f>
        <v>Mountainland</v>
      </c>
      <c r="Q312" s="48" t="n">
        <f aca="false">IF($S312&gt;=2,MAX(G312:J312)/MIN(G312:J312)-1,"—")</f>
        <v>1.65198680704337</v>
      </c>
      <c r="R312" s="78" t="n">
        <f aca="false">IF($S312&gt;=2,(MAX(G312:J312)-MIN(G312:J312))*$F312,"—")</f>
        <v>22943.4575757576</v>
      </c>
      <c r="S312" s="18" t="n">
        <f aca="false">COUNT(G312:J312)</f>
        <v>4</v>
      </c>
      <c r="T312" s="79" t="str">
        <f aca="false">IF($S312&lt;=1,IF($S312=1,"Single quote","—"),"Alt spec – verify")</f>
        <v>Alt spec – verify</v>
      </c>
      <c r="U312" s="79" t="str">
        <f aca="false">IF(COUNT(W312:Z312)&lt;2,"",IF(MAX(W312:Z312)=MIN(W312:Z312),"OK","Qty differs"))</f>
        <v>Qty differs</v>
      </c>
      <c r="V312" s="80" t="s">
        <v>787</v>
      </c>
      <c r="W312" s="81" t="n">
        <f aca="false">IF(COUNTIFS('Quote Lines'!$P$3:$P$805,$A312&amp;"|"&amp;G$6&amp;"|1",'Quote Lines'!$M$3:$M$805,"Y")=0,"",SUMIFS('Quote Lines'!$L$3:$L$805,'Quote Lines'!$P$3:$P$805,$A312&amp;"|"&amp;G$6&amp;"|1",'Quote Lines'!$M$3:$M$805,"Y"))</f>
        <v>29</v>
      </c>
      <c r="X312" s="81" t="n">
        <f aca="false">IF(COUNTIFS('Quote Lines'!$P$3:$P$805,$A312&amp;"|"&amp;H$6&amp;"|1",'Quote Lines'!$M$3:$M$805,"Y")=0,"",SUMIFS('Quote Lines'!$L$3:$L$805,'Quote Lines'!$P$3:$P$805,$A312&amp;"|"&amp;H$6&amp;"|1",'Quote Lines'!$M$3:$M$805,"Y"))</f>
        <v>36</v>
      </c>
      <c r="Y312" s="81" t="n">
        <f aca="false">IF(COUNTIFS('Quote Lines'!$P$3:$P$805,$A312&amp;"|"&amp;I$6&amp;"|1",'Quote Lines'!$M$3:$M$805,"Y")=0,"",SUMIFS('Quote Lines'!$L$3:$L$805,'Quote Lines'!$P$3:$P$805,$A312&amp;"|"&amp;I$6&amp;"|1",'Quote Lines'!$M$3:$M$805,"Y"))</f>
        <v>33</v>
      </c>
      <c r="Z312" s="81" t="n">
        <f aca="false">IF(COUNTIFS('Quote Lines'!$P$3:$P$805,$A312&amp;"|"&amp;J$6&amp;"|1",'Quote Lines'!$M$3:$M$805,"Y")=0,"",SUMIFS('Quote Lines'!$L$3:$L$805,'Quote Lines'!$P$3:$P$805,$A312&amp;"|"&amp;J$6&amp;"|1",'Quote Lines'!$M$3:$M$805,"Y"))</f>
        <v>34</v>
      </c>
      <c r="AA312" s="82" t="n">
        <f aca="false">IF(ISNUMBER(G312),1+SUMPRODUCT(ISNUMBER($G312:$J312)*($G312:$J312&lt;G312)),"")</f>
        <v>2</v>
      </c>
      <c r="AB312" s="82" t="n">
        <f aca="false">IF(ISNUMBER(H312),1+SUMPRODUCT(ISNUMBER($G312:$J312)*($G312:$J312&lt;H312)),"")</f>
        <v>3</v>
      </c>
      <c r="AC312" s="82" t="n">
        <f aca="false">IF(ISNUMBER(I312),1+SUMPRODUCT(ISNUMBER($G312:$J312)*($G312:$J312&lt;I312)),"")</f>
        <v>1</v>
      </c>
      <c r="AD312" s="82" t="n">
        <f aca="false">IF(ISNUMBER(J312),1+SUMPRODUCT(ISNUMBER($G312:$J312)*($G312:$J312&lt;J312)),"")</f>
        <v>4</v>
      </c>
      <c r="AE312" s="82" t="n">
        <f aca="false">IF(NOT(ISNUMBER(G312)),0,IF($S312&lt;2,5,IF(AA312=1,1,IF(G312=MAX($G312:$J312),4,IF(AA312=2,2,3)))))</f>
        <v>2</v>
      </c>
      <c r="AF312" s="82" t="n">
        <f aca="false">IF(NOT(ISNUMBER(H312)),0,IF($S312&lt;2,5,IF(AB312=1,1,IF(H312=MAX($G312:$J312),4,IF(AB312=2,2,3)))))</f>
        <v>3</v>
      </c>
      <c r="AG312" s="82" t="n">
        <f aca="false">IF(NOT(ISNUMBER(I312)),0,IF($S312&lt;2,5,IF(AC312=1,1,IF(I312=MAX($G312:$J312),4,IF(AC312=2,2,3)))))</f>
        <v>1</v>
      </c>
      <c r="AH312" s="82" t="n">
        <f aca="false">IF(NOT(ISNUMBER(J312)),0,IF($S312&lt;2,5,IF(AD312=1,1,IF(J312=MAX($G312:$J312),4,IF(AD312=2,2,3)))))</f>
        <v>4</v>
      </c>
      <c r="AI312" s="83" t="n">
        <f aca="false">IF($S312&gt;=2,IF(ISNUMBER(G312),G312*$F312,MIN($G312:$J312)*$F312),0)</f>
        <v>17848.64</v>
      </c>
      <c r="AJ312" s="83" t="n">
        <f aca="false">IF($S312&gt;=2,IF(ISNUMBER(H312),H312*$F312,MIN($G312:$J312)*$F312),0)</f>
        <v>23171.68</v>
      </c>
      <c r="AK312" s="83" t="n">
        <f aca="false">IF($S312&gt;=2,IF(ISNUMBER(I312),I312*$F312,MIN($G312:$J312)*$F312),0)</f>
        <v>13888.4024242424</v>
      </c>
      <c r="AL312" s="83" t="n">
        <f aca="false">IF($S312&gt;=2,IF(ISNUMBER(J312),J312*$F312,MIN($G312:$J312)*$F312),0)</f>
        <v>36831.86</v>
      </c>
      <c r="AM312" s="84" t="n">
        <f aca="false">IF($S312&gt;=2,$R312+ROW()/1000000,"")</f>
        <v>22943.4578877576</v>
      </c>
      <c r="AN312" s="83" t="n">
        <f aca="false">IF($S312&gt;=2,MAX(G312:J312),"")</f>
        <v>1083.29</v>
      </c>
      <c r="AO312" s="82" t="str">
        <f aca="false">IF($S312&gt;=2,INDEX($G$6:$J$6,MATCH(MAX(G312:J312),G312:J312,0)),"")</f>
        <v>Scholzen</v>
      </c>
      <c r="AP312" s="83" t="n">
        <f aca="false">IF($S312&gt;=2,MIN(G312:J312)*$F312,0)</f>
        <v>13888.4024242424</v>
      </c>
      <c r="AQ312" s="82" t="str">
        <f aca="false">IF($S312&gt;=2,INDEX($G$6:$J$6,MATCH(MIN(G312:J312),G312:J312,0)),"")</f>
        <v>Mountainland</v>
      </c>
    </row>
    <row r="313" customFormat="false" ht="15" hidden="false" customHeight="true" outlineLevel="0" collapsed="false">
      <c r="A313" s="70" t="s">
        <v>788</v>
      </c>
      <c r="B313" s="71" t="s">
        <v>782</v>
      </c>
      <c r="C313" s="72" t="s">
        <v>131</v>
      </c>
      <c r="D313" s="73" t="s">
        <v>789</v>
      </c>
      <c r="E313" s="74" t="s">
        <v>133</v>
      </c>
      <c r="F313" s="75" t="n">
        <v>1</v>
      </c>
      <c r="G313" s="76" t="n">
        <f aca="false">IF(COUNTIF('Quote Lines'!$P$3:$P$805,$A313&amp;"|"&amp;G$6&amp;"|1")=0,"—",SUMIFS('Quote Lines'!$O$3:$O$805,'Quote Lines'!$P$3:$P$805,$A313&amp;"|"&amp;G$6&amp;"|1")/SUMIFS('Quote Lines'!$L$3:$L$805,'Quote Lines'!$P$3:$P$805,$A313&amp;"|"&amp;G$6&amp;"|1"))</f>
        <v>819.8</v>
      </c>
      <c r="H313" s="76" t="n">
        <f aca="false">IF(COUNTIF('Quote Lines'!$P$3:$P$805,$A313&amp;"|"&amp;H$6&amp;"|1")=0,"—",SUMIFS('Quote Lines'!$O$3:$O$805,'Quote Lines'!$P$3:$P$805,$A313&amp;"|"&amp;H$6&amp;"|1")/SUMIFS('Quote Lines'!$L$3:$L$805,'Quote Lines'!$P$3:$P$805,$A313&amp;"|"&amp;H$6&amp;"|1"))</f>
        <v>856.54</v>
      </c>
      <c r="I313" s="76" t="n">
        <f aca="false">IF(COUNTIF('Quote Lines'!$P$3:$P$805,$A313&amp;"|"&amp;I$6&amp;"|1")=0,"—",SUMIFS('Quote Lines'!$O$3:$O$805,'Quote Lines'!$P$3:$P$805,$A313&amp;"|"&amp;I$6&amp;"|1")/SUMIFS('Quote Lines'!$L$3:$L$805,'Quote Lines'!$P$3:$P$805,$A313&amp;"|"&amp;I$6&amp;"|1"))</f>
        <v>836.05</v>
      </c>
      <c r="J313" s="76" t="n">
        <f aca="false">IF(COUNTIF('Quote Lines'!$P$3:$P$805,$A313&amp;"|"&amp;J$6&amp;"|1")=0,"—",SUMIFS('Quote Lines'!$O$3:$O$805,'Quote Lines'!$P$3:$P$805,$A313&amp;"|"&amp;J$6&amp;"|1")/SUMIFS('Quote Lines'!$L$3:$L$805,'Quote Lines'!$P$3:$P$805,$A313&amp;"|"&amp;J$6&amp;"|1"))</f>
        <v>897.18</v>
      </c>
      <c r="K313" s="14" t="n">
        <f aca="false">IF(ISNUMBER(G313),G313*$F313,"—")</f>
        <v>819.8</v>
      </c>
      <c r="L313" s="14" t="n">
        <f aca="false">IF(ISNUMBER(H313),H313*$F313,"—")</f>
        <v>856.54</v>
      </c>
      <c r="M313" s="14" t="n">
        <f aca="false">IF(ISNUMBER(I313),I313*$F313,"—")</f>
        <v>836.05</v>
      </c>
      <c r="N313" s="14" t="n">
        <f aca="false">IF(ISNUMBER(J313),J313*$F313,"—")</f>
        <v>897.18</v>
      </c>
      <c r="O313" s="77" t="n">
        <f aca="false">IF($S313=0,"—",MIN(G313:J313))</f>
        <v>819.8</v>
      </c>
      <c r="P313" s="42" t="str">
        <f aca="false">IF($S313=0,"—",IF(COUNTIF(G313:J313,O313)&gt;1,"Tie",INDEX($G$6:$J$6,MATCH(O313,G313:J313,0))))</f>
        <v>Ferguson</v>
      </c>
      <c r="Q313" s="48" t="n">
        <f aca="false">IF($S313&gt;=2,MAX(G313:J313)/MIN(G313:J313)-1,"—")</f>
        <v>0.0943888753354476</v>
      </c>
      <c r="R313" s="78" t="n">
        <f aca="false">IF($S313&gt;=2,(MAX(G313:J313)-MIN(G313:J313))*$F313,"—")</f>
        <v>77.38</v>
      </c>
      <c r="S313" s="18" t="n">
        <f aca="false">COUNT(G313:J313)</f>
        <v>4</v>
      </c>
      <c r="T313" s="79" t="str">
        <f aca="false">IF($S313&lt;=1,IF($S313=1,"Single quote","—"),"Like-for-like")</f>
        <v>Like-for-like</v>
      </c>
      <c r="U313" s="79" t="str">
        <f aca="false">IF(COUNT(W313:Z313)&lt;2,"",IF(MAX(W313:Z313)=MIN(W313:Z313),"OK","Qty differs"))</f>
        <v>OK</v>
      </c>
      <c r="V313" s="80"/>
      <c r="W313" s="81" t="n">
        <f aca="false">IF(COUNTIFS('Quote Lines'!$P$3:$P$805,$A313&amp;"|"&amp;G$6&amp;"|1",'Quote Lines'!$M$3:$M$805,"Y")=0,"",SUMIFS('Quote Lines'!$L$3:$L$805,'Quote Lines'!$P$3:$P$805,$A313&amp;"|"&amp;G$6&amp;"|1",'Quote Lines'!$M$3:$M$805,"Y"))</f>
        <v>1</v>
      </c>
      <c r="X313" s="81" t="n">
        <f aca="false">IF(COUNTIFS('Quote Lines'!$P$3:$P$805,$A313&amp;"|"&amp;H$6&amp;"|1",'Quote Lines'!$M$3:$M$805,"Y")=0,"",SUMIFS('Quote Lines'!$L$3:$L$805,'Quote Lines'!$P$3:$P$805,$A313&amp;"|"&amp;H$6&amp;"|1",'Quote Lines'!$M$3:$M$805,"Y"))</f>
        <v>1</v>
      </c>
      <c r="Y313" s="81" t="n">
        <f aca="false">IF(COUNTIFS('Quote Lines'!$P$3:$P$805,$A313&amp;"|"&amp;I$6&amp;"|1",'Quote Lines'!$M$3:$M$805,"Y")=0,"",SUMIFS('Quote Lines'!$L$3:$L$805,'Quote Lines'!$P$3:$P$805,$A313&amp;"|"&amp;I$6&amp;"|1",'Quote Lines'!$M$3:$M$805,"Y"))</f>
        <v>1</v>
      </c>
      <c r="Z313" s="81" t="n">
        <f aca="false">IF(COUNTIFS('Quote Lines'!$P$3:$P$805,$A313&amp;"|"&amp;J$6&amp;"|1",'Quote Lines'!$M$3:$M$805,"Y")=0,"",SUMIFS('Quote Lines'!$L$3:$L$805,'Quote Lines'!$P$3:$P$805,$A313&amp;"|"&amp;J$6&amp;"|1",'Quote Lines'!$M$3:$M$805,"Y"))</f>
        <v>1</v>
      </c>
      <c r="AA313" s="82" t="n">
        <f aca="false">IF(ISNUMBER(G313),1+SUMPRODUCT(ISNUMBER($G313:$J313)*($G313:$J313&lt;G313)),"")</f>
        <v>1</v>
      </c>
      <c r="AB313" s="82" t="n">
        <f aca="false">IF(ISNUMBER(H313),1+SUMPRODUCT(ISNUMBER($G313:$J313)*($G313:$J313&lt;H313)),"")</f>
        <v>3</v>
      </c>
      <c r="AC313" s="82" t="n">
        <f aca="false">IF(ISNUMBER(I313),1+SUMPRODUCT(ISNUMBER($G313:$J313)*($G313:$J313&lt;I313)),"")</f>
        <v>2</v>
      </c>
      <c r="AD313" s="82" t="n">
        <f aca="false">IF(ISNUMBER(J313),1+SUMPRODUCT(ISNUMBER($G313:$J313)*($G313:$J313&lt;J313)),"")</f>
        <v>4</v>
      </c>
      <c r="AE313" s="82" t="n">
        <f aca="false">IF(NOT(ISNUMBER(G313)),0,IF($S313&lt;2,5,IF(AA313=1,1,IF(G313=MAX($G313:$J313),4,IF(AA313=2,2,3)))))</f>
        <v>1</v>
      </c>
      <c r="AF313" s="82" t="n">
        <f aca="false">IF(NOT(ISNUMBER(H313)),0,IF($S313&lt;2,5,IF(AB313=1,1,IF(H313=MAX($G313:$J313),4,IF(AB313=2,2,3)))))</f>
        <v>3</v>
      </c>
      <c r="AG313" s="82" t="n">
        <f aca="false">IF(NOT(ISNUMBER(I313)),0,IF($S313&lt;2,5,IF(AC313=1,1,IF(I313=MAX($G313:$J313),4,IF(AC313=2,2,3)))))</f>
        <v>2</v>
      </c>
      <c r="AH313" s="82" t="n">
        <f aca="false">IF(NOT(ISNUMBER(J313)),0,IF($S313&lt;2,5,IF(AD313=1,1,IF(J313=MAX($G313:$J313),4,IF(AD313=2,2,3)))))</f>
        <v>4</v>
      </c>
      <c r="AI313" s="83" t="n">
        <f aca="false">IF($S313&gt;=2,IF(ISNUMBER(G313),G313*$F313,MIN($G313:$J313)*$F313),0)</f>
        <v>819.8</v>
      </c>
      <c r="AJ313" s="83" t="n">
        <f aca="false">IF($S313&gt;=2,IF(ISNUMBER(H313),H313*$F313,MIN($G313:$J313)*$F313),0)</f>
        <v>856.54</v>
      </c>
      <c r="AK313" s="83" t="n">
        <f aca="false">IF($S313&gt;=2,IF(ISNUMBER(I313),I313*$F313,MIN($G313:$J313)*$F313),0)</f>
        <v>836.05</v>
      </c>
      <c r="AL313" s="83" t="n">
        <f aca="false">IF($S313&gt;=2,IF(ISNUMBER(J313),J313*$F313,MIN($G313:$J313)*$F313),0)</f>
        <v>897.18</v>
      </c>
      <c r="AM313" s="84" t="n">
        <f aca="false">IF($S313&gt;=2,$R313+ROW()/1000000,"")</f>
        <v>77.380313</v>
      </c>
      <c r="AN313" s="83" t="n">
        <f aca="false">IF($S313&gt;=2,MAX(G313:J313),"")</f>
        <v>897.18</v>
      </c>
      <c r="AO313" s="82" t="str">
        <f aca="false">IF($S313&gt;=2,INDEX($G$6:$J$6,MATCH(MAX(G313:J313),G313:J313,0)),"")</f>
        <v>Scholzen</v>
      </c>
      <c r="AP313" s="83" t="n">
        <f aca="false">IF($S313&gt;=2,MIN(G313:J313)*$F313,0)</f>
        <v>819.8</v>
      </c>
      <c r="AQ313" s="82" t="str">
        <f aca="false">IF($S313&gt;=2,INDEX($G$6:$J$6,MATCH(MIN(G313:J313),G313:J313,0)),"")</f>
        <v>Ferguson</v>
      </c>
    </row>
    <row r="314" customFormat="false" ht="15" hidden="false" customHeight="true" outlineLevel="0" collapsed="false">
      <c r="A314" s="70" t="s">
        <v>790</v>
      </c>
      <c r="B314" s="71" t="s">
        <v>782</v>
      </c>
      <c r="C314" s="72" t="s">
        <v>131</v>
      </c>
      <c r="D314" s="73" t="s">
        <v>791</v>
      </c>
      <c r="E314" s="74" t="s">
        <v>133</v>
      </c>
      <c r="F314" s="75" t="n">
        <v>3</v>
      </c>
      <c r="G314" s="76" t="n">
        <f aca="false">IF(COUNTIF('Quote Lines'!$P$3:$P$805,$A314&amp;"|"&amp;G$6&amp;"|1")=0,"—",SUMIFS('Quote Lines'!$O$3:$O$805,'Quote Lines'!$P$3:$P$805,$A314&amp;"|"&amp;G$6&amp;"|1")/SUMIFS('Quote Lines'!$L$3:$L$805,'Quote Lines'!$P$3:$P$805,$A314&amp;"|"&amp;G$6&amp;"|1"))</f>
        <v>750.78</v>
      </c>
      <c r="H314" s="76" t="n">
        <f aca="false">IF(COUNTIF('Quote Lines'!$P$3:$P$805,$A314&amp;"|"&amp;H$6&amp;"|1")=0,"—",SUMIFS('Quote Lines'!$O$3:$O$805,'Quote Lines'!$P$3:$P$805,$A314&amp;"|"&amp;H$6&amp;"|1")/SUMIFS('Quote Lines'!$L$3:$L$805,'Quote Lines'!$P$3:$P$805,$A314&amp;"|"&amp;H$6&amp;"|1"))</f>
        <v>784.43</v>
      </c>
      <c r="I314" s="76" t="n">
        <f aca="false">IF(COUNTIF('Quote Lines'!$P$3:$P$805,$A314&amp;"|"&amp;I$6&amp;"|1")=0,"—",SUMIFS('Quote Lines'!$O$3:$O$805,'Quote Lines'!$P$3:$P$805,$A314&amp;"|"&amp;I$6&amp;"|1")/SUMIFS('Quote Lines'!$L$3:$L$805,'Quote Lines'!$P$3:$P$805,$A314&amp;"|"&amp;I$6&amp;"|1"))</f>
        <v>851.706666666667</v>
      </c>
      <c r="J314" s="76" t="n">
        <f aca="false">IF(COUNTIF('Quote Lines'!$P$3:$P$805,$A314&amp;"|"&amp;J$6&amp;"|1")=0,"—",SUMIFS('Quote Lines'!$O$3:$O$805,'Quote Lines'!$P$3:$P$805,$A314&amp;"|"&amp;J$6&amp;"|1")/SUMIFS('Quote Lines'!$L$3:$L$805,'Quote Lines'!$P$3:$P$805,$A314&amp;"|"&amp;J$6&amp;"|1"))</f>
        <v>835.75</v>
      </c>
      <c r="K314" s="14" t="n">
        <f aca="false">IF(ISNUMBER(G314),G314*$F314,"—")</f>
        <v>2252.34</v>
      </c>
      <c r="L314" s="14" t="n">
        <f aca="false">IF(ISNUMBER(H314),H314*$F314,"—")</f>
        <v>2353.29</v>
      </c>
      <c r="M314" s="14" t="n">
        <f aca="false">IF(ISNUMBER(I314),I314*$F314,"—")</f>
        <v>2555.12</v>
      </c>
      <c r="N314" s="14" t="n">
        <f aca="false">IF(ISNUMBER(J314),J314*$F314,"—")</f>
        <v>2507.25</v>
      </c>
      <c r="O314" s="77" t="n">
        <f aca="false">IF($S314=0,"—",MIN(G314:J314))</f>
        <v>750.78</v>
      </c>
      <c r="P314" s="42" t="str">
        <f aca="false">IF($S314=0,"—",IF(COUNTIF(G314:J314,O314)&gt;1,"Tie",INDEX($G$6:$J$6,MATCH(O314,G314:J314,0))))</f>
        <v>Ferguson</v>
      </c>
      <c r="Q314" s="48" t="n">
        <f aca="false">IF($S314&gt;=2,MAX(G314:J314)/MIN(G314:J314)-1,"—")</f>
        <v>0.13442908264294</v>
      </c>
      <c r="R314" s="78" t="n">
        <f aca="false">IF($S314&gt;=2,(MAX(G314:J314)-MIN(G314:J314))*$F314,"—")</f>
        <v>302.78</v>
      </c>
      <c r="S314" s="18" t="n">
        <f aca="false">COUNT(G314:J314)</f>
        <v>4</v>
      </c>
      <c r="T314" s="79" t="str">
        <f aca="false">IF($S314&lt;=1,IF($S314=1,"Single quote","—"),"Like-for-like")</f>
        <v>Like-for-like</v>
      </c>
      <c r="U314" s="79" t="str">
        <f aca="false">IF(COUNT(W314:Z314)&lt;2,"",IF(MAX(W314:Z314)=MIN(W314:Z314),"OK","Qty differs"))</f>
        <v>Qty differs</v>
      </c>
      <c r="V314" s="80"/>
      <c r="W314" s="81" t="n">
        <f aca="false">IF(COUNTIFS('Quote Lines'!$P$3:$P$805,$A314&amp;"|"&amp;G$6&amp;"|1",'Quote Lines'!$M$3:$M$805,"Y")=0,"",SUMIFS('Quote Lines'!$L$3:$L$805,'Quote Lines'!$P$3:$P$805,$A314&amp;"|"&amp;G$6&amp;"|1",'Quote Lines'!$M$3:$M$805,"Y"))</f>
        <v>4</v>
      </c>
      <c r="X314" s="81" t="n">
        <f aca="false">IF(COUNTIFS('Quote Lines'!$P$3:$P$805,$A314&amp;"|"&amp;H$6&amp;"|1",'Quote Lines'!$M$3:$M$805,"Y")=0,"",SUMIFS('Quote Lines'!$L$3:$L$805,'Quote Lines'!$P$3:$P$805,$A314&amp;"|"&amp;H$6&amp;"|1",'Quote Lines'!$M$3:$M$805,"Y"))</f>
        <v>3</v>
      </c>
      <c r="Y314" s="81" t="n">
        <f aca="false">IF(COUNTIFS('Quote Lines'!$P$3:$P$805,$A314&amp;"|"&amp;I$6&amp;"|1",'Quote Lines'!$M$3:$M$805,"Y")=0,"",SUMIFS('Quote Lines'!$L$3:$L$805,'Quote Lines'!$P$3:$P$805,$A314&amp;"|"&amp;I$6&amp;"|1",'Quote Lines'!$M$3:$M$805,"Y"))</f>
        <v>3</v>
      </c>
      <c r="Z314" s="81" t="n">
        <f aca="false">IF(COUNTIFS('Quote Lines'!$P$3:$P$805,$A314&amp;"|"&amp;J$6&amp;"|1",'Quote Lines'!$M$3:$M$805,"Y")=0,"",SUMIFS('Quote Lines'!$L$3:$L$805,'Quote Lines'!$P$3:$P$805,$A314&amp;"|"&amp;J$6&amp;"|1",'Quote Lines'!$M$3:$M$805,"Y"))</f>
        <v>3</v>
      </c>
      <c r="AA314" s="82" t="n">
        <f aca="false">IF(ISNUMBER(G314),1+SUMPRODUCT(ISNUMBER($G314:$J314)*($G314:$J314&lt;G314)),"")</f>
        <v>1</v>
      </c>
      <c r="AB314" s="82" t="n">
        <f aca="false">IF(ISNUMBER(H314),1+SUMPRODUCT(ISNUMBER($G314:$J314)*($G314:$J314&lt;H314)),"")</f>
        <v>2</v>
      </c>
      <c r="AC314" s="82" t="n">
        <f aca="false">IF(ISNUMBER(I314),1+SUMPRODUCT(ISNUMBER($G314:$J314)*($G314:$J314&lt;I314)),"")</f>
        <v>4</v>
      </c>
      <c r="AD314" s="82" t="n">
        <f aca="false">IF(ISNUMBER(J314),1+SUMPRODUCT(ISNUMBER($G314:$J314)*($G314:$J314&lt;J314)),"")</f>
        <v>3</v>
      </c>
      <c r="AE314" s="82" t="n">
        <f aca="false">IF(NOT(ISNUMBER(G314)),0,IF($S314&lt;2,5,IF(AA314=1,1,IF(G314=MAX($G314:$J314),4,IF(AA314=2,2,3)))))</f>
        <v>1</v>
      </c>
      <c r="AF314" s="82" t="n">
        <f aca="false">IF(NOT(ISNUMBER(H314)),0,IF($S314&lt;2,5,IF(AB314=1,1,IF(H314=MAX($G314:$J314),4,IF(AB314=2,2,3)))))</f>
        <v>2</v>
      </c>
      <c r="AG314" s="82" t="n">
        <f aca="false">IF(NOT(ISNUMBER(I314)),0,IF($S314&lt;2,5,IF(AC314=1,1,IF(I314=MAX($G314:$J314),4,IF(AC314=2,2,3)))))</f>
        <v>4</v>
      </c>
      <c r="AH314" s="82" t="n">
        <f aca="false">IF(NOT(ISNUMBER(J314)),0,IF($S314&lt;2,5,IF(AD314=1,1,IF(J314=MAX($G314:$J314),4,IF(AD314=2,2,3)))))</f>
        <v>3</v>
      </c>
      <c r="AI314" s="83" t="n">
        <f aca="false">IF($S314&gt;=2,IF(ISNUMBER(G314),G314*$F314,MIN($G314:$J314)*$F314),0)</f>
        <v>2252.34</v>
      </c>
      <c r="AJ314" s="83" t="n">
        <f aca="false">IF($S314&gt;=2,IF(ISNUMBER(H314),H314*$F314,MIN($G314:$J314)*$F314),0)</f>
        <v>2353.29</v>
      </c>
      <c r="AK314" s="83" t="n">
        <f aca="false">IF($S314&gt;=2,IF(ISNUMBER(I314),I314*$F314,MIN($G314:$J314)*$F314),0)</f>
        <v>2555.12</v>
      </c>
      <c r="AL314" s="83" t="n">
        <f aca="false">IF($S314&gt;=2,IF(ISNUMBER(J314),J314*$F314,MIN($G314:$J314)*$F314),0)</f>
        <v>2507.25</v>
      </c>
      <c r="AM314" s="84" t="n">
        <f aca="false">IF($S314&gt;=2,$R314+ROW()/1000000,"")</f>
        <v>302.780314</v>
      </c>
      <c r="AN314" s="83" t="n">
        <f aca="false">IF($S314&gt;=2,MAX(G314:J314),"")</f>
        <v>851.706666666667</v>
      </c>
      <c r="AO314" s="82" t="str">
        <f aca="false">IF($S314&gt;=2,INDEX($G$6:$J$6,MATCH(MAX(G314:J314),G314:J314,0)),"")</f>
        <v>Mountainland</v>
      </c>
      <c r="AP314" s="83" t="n">
        <f aca="false">IF($S314&gt;=2,MIN(G314:J314)*$F314,0)</f>
        <v>2252.34</v>
      </c>
      <c r="AQ314" s="82" t="str">
        <f aca="false">IF($S314&gt;=2,INDEX($G$6:$J$6,MATCH(MIN(G314:J314),G314:J314,0)),"")</f>
        <v>Ferguson</v>
      </c>
    </row>
    <row r="315" customFormat="false" ht="15" hidden="false" customHeight="true" outlineLevel="0" collapsed="false">
      <c r="A315" s="70" t="s">
        <v>792</v>
      </c>
      <c r="B315" s="71" t="s">
        <v>782</v>
      </c>
      <c r="C315" s="72" t="s">
        <v>131</v>
      </c>
      <c r="D315" s="73" t="s">
        <v>793</v>
      </c>
      <c r="E315" s="74" t="s">
        <v>133</v>
      </c>
      <c r="F315" s="75" t="n">
        <v>1</v>
      </c>
      <c r="G315" s="85" t="s">
        <v>138</v>
      </c>
      <c r="H315" s="76" t="n">
        <f aca="false">IF(COUNTIF('Quote Lines'!$P$3:$P$805,$A315&amp;"|"&amp;H$6&amp;"|1")=0,"—",SUMIFS('Quote Lines'!$O$3:$O$805,'Quote Lines'!$P$3:$P$805,$A315&amp;"|"&amp;H$6&amp;"|1")/SUMIFS('Quote Lines'!$L$3:$L$805,'Quote Lines'!$P$3:$P$805,$A315&amp;"|"&amp;H$6&amp;"|1"))</f>
        <v>1561.46</v>
      </c>
      <c r="I315" s="76" t="n">
        <f aca="false">IF(COUNTIF('Quote Lines'!$P$3:$P$805,$A315&amp;"|"&amp;I$6&amp;"|1")=0,"—",SUMIFS('Quote Lines'!$O$3:$O$805,'Quote Lines'!$P$3:$P$805,$A315&amp;"|"&amp;I$6&amp;"|1")/SUMIFS('Quote Lines'!$L$3:$L$805,'Quote Lines'!$P$3:$P$805,$A315&amp;"|"&amp;I$6&amp;"|1"))</f>
        <v>1570.88</v>
      </c>
      <c r="J315" s="76" t="n">
        <f aca="false">IF(COUNTIF('Quote Lines'!$P$3:$P$805,$A315&amp;"|"&amp;J$6&amp;"|1")=0,"—",SUMIFS('Quote Lines'!$O$3:$O$805,'Quote Lines'!$P$3:$P$805,$A315&amp;"|"&amp;J$6&amp;"|1")/SUMIFS('Quote Lines'!$L$3:$L$805,'Quote Lines'!$P$3:$P$805,$A315&amp;"|"&amp;J$6&amp;"|1"))</f>
        <v>1324.94</v>
      </c>
      <c r="K315" s="14" t="str">
        <f aca="false">IF(ISNUMBER(G315),G315*$F315,"—")</f>
        <v>—</v>
      </c>
      <c r="L315" s="14" t="n">
        <f aca="false">IF(ISNUMBER(H315),H315*$F315,"—")</f>
        <v>1561.46</v>
      </c>
      <c r="M315" s="14" t="n">
        <f aca="false">IF(ISNUMBER(I315),I315*$F315,"—")</f>
        <v>1570.88</v>
      </c>
      <c r="N315" s="14" t="n">
        <f aca="false">IF(ISNUMBER(J315),J315*$F315,"—")</f>
        <v>1324.94</v>
      </c>
      <c r="O315" s="77" t="n">
        <f aca="false">IF($S315=0,"—",MIN(G315:J315))</f>
        <v>1324.94</v>
      </c>
      <c r="P315" s="42" t="str">
        <f aca="false">IF($S315=0,"—",IF(COUNTIF(G315:J315,O315)&gt;1,"Tie",INDEX($G$6:$J$6,MATCH(O315,G315:J315,0))))</f>
        <v>Scholzen</v>
      </c>
      <c r="Q315" s="48" t="n">
        <f aca="false">IF($S315&gt;=2,MAX(G315:J315)/MIN(G315:J315)-1,"—")</f>
        <v>0.185623499932073</v>
      </c>
      <c r="R315" s="78" t="n">
        <f aca="false">IF($S315&gt;=2,(MAX(G315:J315)-MIN(G315:J315))*$F315,"—")</f>
        <v>245.94</v>
      </c>
      <c r="S315" s="18" t="n">
        <f aca="false">COUNT(G315:J315)</f>
        <v>3</v>
      </c>
      <c r="T315" s="79" t="str">
        <f aca="false">IF($S315&lt;=1,IF($S315=1,"Single quote","—"),"Alt spec – verify")</f>
        <v>Alt spec – verify</v>
      </c>
      <c r="U315" s="79" t="str">
        <f aca="false">IF(COUNT(W315:Z315)&lt;2,"",IF(MAX(W315:Z315)=MIN(W315:Z315),"OK","Qty differs"))</f>
        <v>OK</v>
      </c>
      <c r="V315" s="80" t="s">
        <v>794</v>
      </c>
      <c r="W315" s="81"/>
      <c r="X315" s="81" t="n">
        <f aca="false">IF(COUNTIFS('Quote Lines'!$P$3:$P$805,$A315&amp;"|"&amp;H$6&amp;"|1",'Quote Lines'!$M$3:$M$805,"Y")=0,"",SUMIFS('Quote Lines'!$L$3:$L$805,'Quote Lines'!$P$3:$P$805,$A315&amp;"|"&amp;H$6&amp;"|1",'Quote Lines'!$M$3:$M$805,"Y"))</f>
        <v>1</v>
      </c>
      <c r="Y315" s="81" t="n">
        <f aca="false">IF(COUNTIFS('Quote Lines'!$P$3:$P$805,$A315&amp;"|"&amp;I$6&amp;"|1",'Quote Lines'!$M$3:$M$805,"Y")=0,"",SUMIFS('Quote Lines'!$L$3:$L$805,'Quote Lines'!$P$3:$P$805,$A315&amp;"|"&amp;I$6&amp;"|1",'Quote Lines'!$M$3:$M$805,"Y"))</f>
        <v>1</v>
      </c>
      <c r="Z315" s="81" t="n">
        <f aca="false">IF(COUNTIFS('Quote Lines'!$P$3:$P$805,$A315&amp;"|"&amp;J$6&amp;"|1",'Quote Lines'!$M$3:$M$805,"Y")=0,"",SUMIFS('Quote Lines'!$L$3:$L$805,'Quote Lines'!$P$3:$P$805,$A315&amp;"|"&amp;J$6&amp;"|1",'Quote Lines'!$M$3:$M$805,"Y"))</f>
        <v>1</v>
      </c>
      <c r="AA315" s="82" t="str">
        <f aca="false">IF(ISNUMBER(G315),1+SUMPRODUCT(ISNUMBER($G315:$J315)*($G315:$J315&lt;G315)),"")</f>
        <v/>
      </c>
      <c r="AB315" s="82" t="n">
        <f aca="false">IF(ISNUMBER(H315),1+SUMPRODUCT(ISNUMBER($G315:$J315)*($G315:$J315&lt;H315)),"")</f>
        <v>2</v>
      </c>
      <c r="AC315" s="82" t="n">
        <f aca="false">IF(ISNUMBER(I315),1+SUMPRODUCT(ISNUMBER($G315:$J315)*($G315:$J315&lt;I315)),"")</f>
        <v>3</v>
      </c>
      <c r="AD315" s="82" t="n">
        <f aca="false">IF(ISNUMBER(J315),1+SUMPRODUCT(ISNUMBER($G315:$J315)*($G315:$J315&lt;J315)),"")</f>
        <v>1</v>
      </c>
      <c r="AE315" s="82" t="n">
        <f aca="false">IF(NOT(ISNUMBER(G315)),0,IF($S315&lt;2,5,IF(AA315=1,1,IF(G315=MAX($G315:$J315),4,IF(AA315=2,2,3)))))</f>
        <v>0</v>
      </c>
      <c r="AF315" s="82" t="n">
        <f aca="false">IF(NOT(ISNUMBER(H315)),0,IF($S315&lt;2,5,IF(AB315=1,1,IF(H315=MAX($G315:$J315),4,IF(AB315=2,2,3)))))</f>
        <v>2</v>
      </c>
      <c r="AG315" s="82" t="n">
        <f aca="false">IF(NOT(ISNUMBER(I315)),0,IF($S315&lt;2,5,IF(AC315=1,1,IF(I315=MAX($G315:$J315),4,IF(AC315=2,2,3)))))</f>
        <v>4</v>
      </c>
      <c r="AH315" s="82" t="n">
        <f aca="false">IF(NOT(ISNUMBER(J315)),0,IF($S315&lt;2,5,IF(AD315=1,1,IF(J315=MAX($G315:$J315),4,IF(AD315=2,2,3)))))</f>
        <v>1</v>
      </c>
      <c r="AI315" s="83" t="n">
        <f aca="false">IF($S315&gt;=2,IF(ISNUMBER(G315),G315*$F315,MIN($G315:$J315)*$F315),0)</f>
        <v>1324.94</v>
      </c>
      <c r="AJ315" s="83" t="n">
        <f aca="false">IF($S315&gt;=2,IF(ISNUMBER(H315),H315*$F315,MIN($G315:$J315)*$F315),0)</f>
        <v>1561.46</v>
      </c>
      <c r="AK315" s="83" t="n">
        <f aca="false">IF($S315&gt;=2,IF(ISNUMBER(I315),I315*$F315,MIN($G315:$J315)*$F315),0)</f>
        <v>1570.88</v>
      </c>
      <c r="AL315" s="83" t="n">
        <f aca="false">IF($S315&gt;=2,IF(ISNUMBER(J315),J315*$F315,MIN($G315:$J315)*$F315),0)</f>
        <v>1324.94</v>
      </c>
      <c r="AM315" s="84" t="n">
        <f aca="false">IF($S315&gt;=2,$R315+ROW()/1000000,"")</f>
        <v>245.940315</v>
      </c>
      <c r="AN315" s="83" t="n">
        <f aca="false">IF($S315&gt;=2,MAX(G315:J315),"")</f>
        <v>1570.88</v>
      </c>
      <c r="AO315" s="82" t="str">
        <f aca="false">IF($S315&gt;=2,INDEX($G$6:$J$6,MATCH(MAX(G315:J315),G315:J315,0)),"")</f>
        <v>Mountainland</v>
      </c>
      <c r="AP315" s="83" t="n">
        <f aca="false">IF($S315&gt;=2,MIN(G315:J315)*$F315,0)</f>
        <v>1324.94</v>
      </c>
      <c r="AQ315" s="82" t="str">
        <f aca="false">IF($S315&gt;=2,INDEX($G$6:$J$6,MATCH(MIN(G315:J315),G315:J315,0)),"")</f>
        <v>Scholzen</v>
      </c>
    </row>
    <row r="316" customFormat="false" ht="15" hidden="false" customHeight="true" outlineLevel="0" collapsed="false">
      <c r="A316" s="70" t="s">
        <v>795</v>
      </c>
      <c r="B316" s="71" t="s">
        <v>782</v>
      </c>
      <c r="C316" s="72" t="s">
        <v>183</v>
      </c>
      <c r="D316" s="73" t="s">
        <v>796</v>
      </c>
      <c r="E316" s="74" t="s">
        <v>133</v>
      </c>
      <c r="F316" s="75" t="n">
        <v>1</v>
      </c>
      <c r="G316" s="85" t="s">
        <v>138</v>
      </c>
      <c r="H316" s="85" t="s">
        <v>138</v>
      </c>
      <c r="I316" s="85" t="s">
        <v>138</v>
      </c>
      <c r="J316" s="76" t="n">
        <f aca="false">IF(COUNTIF('Quote Lines'!$P$3:$P$805,$A316&amp;"|"&amp;J$6&amp;"|1")=0,"—",SUMIFS('Quote Lines'!$O$3:$O$805,'Quote Lines'!$P$3:$P$805,$A316&amp;"|"&amp;J$6&amp;"|1")/SUMIFS('Quote Lines'!$L$3:$L$805,'Quote Lines'!$P$3:$P$805,$A316&amp;"|"&amp;J$6&amp;"|1"))</f>
        <v>6391</v>
      </c>
      <c r="K316" s="14" t="str">
        <f aca="false">IF(ISNUMBER(G316),G316*$F316,"—")</f>
        <v>—</v>
      </c>
      <c r="L316" s="14" t="str">
        <f aca="false">IF(ISNUMBER(H316),H316*$F316,"—")</f>
        <v>—</v>
      </c>
      <c r="M316" s="14" t="str">
        <f aca="false">IF(ISNUMBER(I316),I316*$F316,"—")</f>
        <v>—</v>
      </c>
      <c r="N316" s="14" t="n">
        <f aca="false">IF(ISNUMBER(J316),J316*$F316,"—")</f>
        <v>6391</v>
      </c>
      <c r="O316" s="77" t="n">
        <f aca="false">IF($S316=0,"—",MIN(G316:J316))</f>
        <v>6391</v>
      </c>
      <c r="P316" s="42" t="str">
        <f aca="false">IF($S316=0,"—",IF(COUNTIF(G316:J316,O316)&gt;1,"Tie",INDEX($G$6:$J$6,MATCH(O316,G316:J316,0))))</f>
        <v>Scholzen</v>
      </c>
      <c r="Q316" s="48" t="str">
        <f aca="false">IF($S316&gt;=2,MAX(G316:J316)/MIN(G316:J316)-1,"—")</f>
        <v>—</v>
      </c>
      <c r="R316" s="78" t="str">
        <f aca="false">IF($S316&gt;=2,(MAX(G316:J316)-MIN(G316:J316))*$F316,"—")</f>
        <v>—</v>
      </c>
      <c r="S316" s="18" t="n">
        <f aca="false">COUNT(G316:J316)</f>
        <v>1</v>
      </c>
      <c r="T316" s="79" t="str">
        <f aca="false">IF($S316&lt;=1,IF($S316=1,"Single quote","—"),"Like-for-like")</f>
        <v>Single quote</v>
      </c>
      <c r="U316" s="79" t="str">
        <f aca="false">IF(COUNT(W316:Z316)&lt;2,"",IF(MAX(W316:Z316)=MIN(W316:Z316),"OK","Qty differs"))</f>
        <v/>
      </c>
      <c r="V316" s="80"/>
      <c r="W316" s="81"/>
      <c r="X316" s="81"/>
      <c r="Y316" s="81"/>
      <c r="Z316" s="81" t="n">
        <f aca="false">IF(COUNTIFS('Quote Lines'!$P$3:$P$805,$A316&amp;"|"&amp;J$6&amp;"|1",'Quote Lines'!$M$3:$M$805,"Y")=0,"",SUMIFS('Quote Lines'!$L$3:$L$805,'Quote Lines'!$P$3:$P$805,$A316&amp;"|"&amp;J$6&amp;"|1",'Quote Lines'!$M$3:$M$805,"Y"))</f>
        <v>1</v>
      </c>
      <c r="AA316" s="82" t="str">
        <f aca="false">IF(ISNUMBER(G316),1+SUMPRODUCT(ISNUMBER($G316:$J316)*($G316:$J316&lt;G316)),"")</f>
        <v/>
      </c>
      <c r="AB316" s="82" t="str">
        <f aca="false">IF(ISNUMBER(H316),1+SUMPRODUCT(ISNUMBER($G316:$J316)*($G316:$J316&lt;H316)),"")</f>
        <v/>
      </c>
      <c r="AC316" s="82" t="str">
        <f aca="false">IF(ISNUMBER(I316),1+SUMPRODUCT(ISNUMBER($G316:$J316)*($G316:$J316&lt;I316)),"")</f>
        <v/>
      </c>
      <c r="AD316" s="82" t="n">
        <f aca="false">IF(ISNUMBER(J316),1+SUMPRODUCT(ISNUMBER($G316:$J316)*($G316:$J316&lt;J316)),"")</f>
        <v>1</v>
      </c>
      <c r="AE316" s="82" t="n">
        <f aca="false">IF(NOT(ISNUMBER(G316)),0,IF($S316&lt;2,5,IF(AA316=1,1,IF(G316=MAX($G316:$J316),4,IF(AA316=2,2,3)))))</f>
        <v>0</v>
      </c>
      <c r="AF316" s="82" t="n">
        <f aca="false">IF(NOT(ISNUMBER(H316)),0,IF($S316&lt;2,5,IF(AB316=1,1,IF(H316=MAX($G316:$J316),4,IF(AB316=2,2,3)))))</f>
        <v>0</v>
      </c>
      <c r="AG316" s="82" t="n">
        <f aca="false">IF(NOT(ISNUMBER(I316)),0,IF($S316&lt;2,5,IF(AC316=1,1,IF(I316=MAX($G316:$J316),4,IF(AC316=2,2,3)))))</f>
        <v>0</v>
      </c>
      <c r="AH316" s="82" t="n">
        <f aca="false">IF(NOT(ISNUMBER(J316)),0,IF($S316&lt;2,5,IF(AD316=1,1,IF(J316=MAX($G316:$J316),4,IF(AD316=2,2,3)))))</f>
        <v>5</v>
      </c>
      <c r="AI316" s="83" t="n">
        <f aca="false">IF($S316&gt;=2,IF(ISNUMBER(G316),G316*$F316,MIN($G316:$J316)*$F316),0)</f>
        <v>0</v>
      </c>
      <c r="AJ316" s="83" t="n">
        <f aca="false">IF($S316&gt;=2,IF(ISNUMBER(H316),H316*$F316,MIN($G316:$J316)*$F316),0)</f>
        <v>0</v>
      </c>
      <c r="AK316" s="83" t="n">
        <f aca="false">IF($S316&gt;=2,IF(ISNUMBER(I316),I316*$F316,MIN($G316:$J316)*$F316),0)</f>
        <v>0</v>
      </c>
      <c r="AL316" s="83" t="n">
        <f aca="false">IF($S316&gt;=2,IF(ISNUMBER(J316),J316*$F316,MIN($G316:$J316)*$F316),0)</f>
        <v>0</v>
      </c>
      <c r="AM316" s="84" t="str">
        <f aca="false">IF($S316&gt;=2,$R316+ROW()/1000000,"")</f>
        <v/>
      </c>
      <c r="AN316" s="83" t="str">
        <f aca="false">IF($S316&gt;=2,MAX(G316:J316),"")</f>
        <v/>
      </c>
      <c r="AO316" s="82" t="str">
        <f aca="false">IF($S316&gt;=2,INDEX($G$6:$J$6,MATCH(MAX(G316:J316),G316:J316,0)),"")</f>
        <v/>
      </c>
      <c r="AP316" s="83" t="n">
        <f aca="false">IF($S316&gt;=2,MIN(G316:J316)*$F316,0)</f>
        <v>0</v>
      </c>
      <c r="AQ316" s="82" t="str">
        <f aca="false">IF($S316&gt;=2,INDEX($G$6:$J$6,MATCH(MIN(G316:J316),G316:J316,0)),"")</f>
        <v/>
      </c>
    </row>
    <row r="317" customFormat="false" ht="15" hidden="false" customHeight="true" outlineLevel="0" collapsed="false">
      <c r="A317" s="70" t="s">
        <v>797</v>
      </c>
      <c r="B317" s="71" t="s">
        <v>782</v>
      </c>
      <c r="C317" s="72" t="s">
        <v>294</v>
      </c>
      <c r="D317" s="73" t="s">
        <v>798</v>
      </c>
      <c r="E317" s="74" t="s">
        <v>133</v>
      </c>
      <c r="F317" s="75" t="n">
        <v>1</v>
      </c>
      <c r="G317" s="76" t="n">
        <f aca="false">IF(COUNTIF('Quote Lines'!$P$3:$P$805,$A317&amp;"|"&amp;G$6&amp;"|1")=0,"—",SUMIFS('Quote Lines'!$O$3:$O$805,'Quote Lines'!$P$3:$P$805,$A317&amp;"|"&amp;G$6&amp;"|1")/SUMIFS('Quote Lines'!$L$3:$L$805,'Quote Lines'!$P$3:$P$805,$A317&amp;"|"&amp;G$6&amp;"|1"))</f>
        <v>303.64</v>
      </c>
      <c r="H317" s="76" t="n">
        <f aca="false">IF(COUNTIF('Quote Lines'!$P$3:$P$805,$A317&amp;"|"&amp;H$6&amp;"|1")=0,"—",SUMIFS('Quote Lines'!$O$3:$O$805,'Quote Lines'!$P$3:$P$805,$A317&amp;"|"&amp;H$6&amp;"|1")/SUMIFS('Quote Lines'!$L$3:$L$805,'Quote Lines'!$P$3:$P$805,$A317&amp;"|"&amp;H$6&amp;"|1"))</f>
        <v>563.07</v>
      </c>
      <c r="I317" s="76" t="n">
        <f aca="false">IF(COUNTIF('Quote Lines'!$P$3:$P$805,$A317&amp;"|"&amp;I$6&amp;"|1")=0,"—",SUMIFS('Quote Lines'!$O$3:$O$805,'Quote Lines'!$P$3:$P$805,$A317&amp;"|"&amp;I$6&amp;"|1")/SUMIFS('Quote Lines'!$L$3:$L$805,'Quote Lines'!$P$3:$P$805,$A317&amp;"|"&amp;I$6&amp;"|1"))</f>
        <v>314.35</v>
      </c>
      <c r="J317" s="76" t="n">
        <f aca="false">IF(COUNTIF('Quote Lines'!$P$3:$P$805,$A317&amp;"|"&amp;J$6&amp;"|1")=0,"—",SUMIFS('Quote Lines'!$O$3:$O$805,'Quote Lines'!$P$3:$P$805,$A317&amp;"|"&amp;J$6&amp;"|1")/SUMIFS('Quote Lines'!$L$3:$L$805,'Quote Lines'!$P$3:$P$805,$A317&amp;"|"&amp;J$6&amp;"|1"))</f>
        <v>441.53</v>
      </c>
      <c r="K317" s="14" t="n">
        <f aca="false">IF(ISNUMBER(G317),G317*$F317,"—")</f>
        <v>303.64</v>
      </c>
      <c r="L317" s="14" t="n">
        <f aca="false">IF(ISNUMBER(H317),H317*$F317,"—")</f>
        <v>563.07</v>
      </c>
      <c r="M317" s="14" t="n">
        <f aca="false">IF(ISNUMBER(I317),I317*$F317,"—")</f>
        <v>314.35</v>
      </c>
      <c r="N317" s="14" t="n">
        <f aca="false">IF(ISNUMBER(J317),J317*$F317,"—")</f>
        <v>441.53</v>
      </c>
      <c r="O317" s="77" t="n">
        <f aca="false">IF($S317=0,"—",MIN(G317:J317))</f>
        <v>303.64</v>
      </c>
      <c r="P317" s="42" t="str">
        <f aca="false">IF($S317=0,"—",IF(COUNTIF(G317:J317,O317)&gt;1,"Tie",INDEX($G$6:$J$6,MATCH(O317,G317:J317,0))))</f>
        <v>Ferguson</v>
      </c>
      <c r="Q317" s="48" t="n">
        <f aca="false">IF($S317&gt;=2,MAX(G317:J317)/MIN(G317:J317)-1,"—")</f>
        <v>0.854399947306021</v>
      </c>
      <c r="R317" s="78" t="n">
        <f aca="false">IF($S317&gt;=2,(MAX(G317:J317)-MIN(G317:J317))*$F317,"—")</f>
        <v>259.43</v>
      </c>
      <c r="S317" s="18" t="n">
        <f aca="false">COUNT(G317:J317)</f>
        <v>4</v>
      </c>
      <c r="T317" s="79" t="str">
        <f aca="false">IF($S317&lt;=1,IF($S317=1,"Single quote","—"),"Like-for-like")</f>
        <v>Like-for-like</v>
      </c>
      <c r="U317" s="79" t="str">
        <f aca="false">IF(COUNT(W317:Z317)&lt;2,"",IF(MAX(W317:Z317)=MIN(W317:Z317),"OK","Qty differs"))</f>
        <v>OK</v>
      </c>
      <c r="V317" s="80"/>
      <c r="W317" s="81" t="n">
        <f aca="false">IF(COUNTIFS('Quote Lines'!$P$3:$P$805,$A317&amp;"|"&amp;G$6&amp;"|1",'Quote Lines'!$M$3:$M$805,"Y")=0,"",SUMIFS('Quote Lines'!$L$3:$L$805,'Quote Lines'!$P$3:$P$805,$A317&amp;"|"&amp;G$6&amp;"|1",'Quote Lines'!$M$3:$M$805,"Y"))</f>
        <v>1</v>
      </c>
      <c r="X317" s="81" t="n">
        <f aca="false">IF(COUNTIFS('Quote Lines'!$P$3:$P$805,$A317&amp;"|"&amp;H$6&amp;"|1",'Quote Lines'!$M$3:$M$805,"Y")=0,"",SUMIFS('Quote Lines'!$L$3:$L$805,'Quote Lines'!$P$3:$P$805,$A317&amp;"|"&amp;H$6&amp;"|1",'Quote Lines'!$M$3:$M$805,"Y"))</f>
        <v>1</v>
      </c>
      <c r="Y317" s="81" t="n">
        <f aca="false">IF(COUNTIFS('Quote Lines'!$P$3:$P$805,$A317&amp;"|"&amp;I$6&amp;"|1",'Quote Lines'!$M$3:$M$805,"Y")=0,"",SUMIFS('Quote Lines'!$L$3:$L$805,'Quote Lines'!$P$3:$P$805,$A317&amp;"|"&amp;I$6&amp;"|1",'Quote Lines'!$M$3:$M$805,"Y"))</f>
        <v>1</v>
      </c>
      <c r="Z317" s="81" t="n">
        <f aca="false">IF(COUNTIFS('Quote Lines'!$P$3:$P$805,$A317&amp;"|"&amp;J$6&amp;"|1",'Quote Lines'!$M$3:$M$805,"Y")=0,"",SUMIFS('Quote Lines'!$L$3:$L$805,'Quote Lines'!$P$3:$P$805,$A317&amp;"|"&amp;J$6&amp;"|1",'Quote Lines'!$M$3:$M$805,"Y"))</f>
        <v>1</v>
      </c>
      <c r="AA317" s="82" t="n">
        <f aca="false">IF(ISNUMBER(G317),1+SUMPRODUCT(ISNUMBER($G317:$J317)*($G317:$J317&lt;G317)),"")</f>
        <v>1</v>
      </c>
      <c r="AB317" s="82" t="n">
        <f aca="false">IF(ISNUMBER(H317),1+SUMPRODUCT(ISNUMBER($G317:$J317)*($G317:$J317&lt;H317)),"")</f>
        <v>4</v>
      </c>
      <c r="AC317" s="82" t="n">
        <f aca="false">IF(ISNUMBER(I317),1+SUMPRODUCT(ISNUMBER($G317:$J317)*($G317:$J317&lt;I317)),"")</f>
        <v>2</v>
      </c>
      <c r="AD317" s="82" t="n">
        <f aca="false">IF(ISNUMBER(J317),1+SUMPRODUCT(ISNUMBER($G317:$J317)*($G317:$J317&lt;J317)),"")</f>
        <v>3</v>
      </c>
      <c r="AE317" s="82" t="n">
        <f aca="false">IF(NOT(ISNUMBER(G317)),0,IF($S317&lt;2,5,IF(AA317=1,1,IF(G317=MAX($G317:$J317),4,IF(AA317=2,2,3)))))</f>
        <v>1</v>
      </c>
      <c r="AF317" s="82" t="n">
        <f aca="false">IF(NOT(ISNUMBER(H317)),0,IF($S317&lt;2,5,IF(AB317=1,1,IF(H317=MAX($G317:$J317),4,IF(AB317=2,2,3)))))</f>
        <v>4</v>
      </c>
      <c r="AG317" s="82" t="n">
        <f aca="false">IF(NOT(ISNUMBER(I317)),0,IF($S317&lt;2,5,IF(AC317=1,1,IF(I317=MAX($G317:$J317),4,IF(AC317=2,2,3)))))</f>
        <v>2</v>
      </c>
      <c r="AH317" s="82" t="n">
        <f aca="false">IF(NOT(ISNUMBER(J317)),0,IF($S317&lt;2,5,IF(AD317=1,1,IF(J317=MAX($G317:$J317),4,IF(AD317=2,2,3)))))</f>
        <v>3</v>
      </c>
      <c r="AI317" s="83" t="n">
        <f aca="false">IF($S317&gt;=2,IF(ISNUMBER(G317),G317*$F317,MIN($G317:$J317)*$F317),0)</f>
        <v>303.64</v>
      </c>
      <c r="AJ317" s="83" t="n">
        <f aca="false">IF($S317&gt;=2,IF(ISNUMBER(H317),H317*$F317,MIN($G317:$J317)*$F317),0)</f>
        <v>563.07</v>
      </c>
      <c r="AK317" s="83" t="n">
        <f aca="false">IF($S317&gt;=2,IF(ISNUMBER(I317),I317*$F317,MIN($G317:$J317)*$F317),0)</f>
        <v>314.35</v>
      </c>
      <c r="AL317" s="83" t="n">
        <f aca="false">IF($S317&gt;=2,IF(ISNUMBER(J317),J317*$F317,MIN($G317:$J317)*$F317),0)</f>
        <v>441.53</v>
      </c>
      <c r="AM317" s="84" t="n">
        <f aca="false">IF($S317&gt;=2,$R317+ROW()/1000000,"")</f>
        <v>259.430317</v>
      </c>
      <c r="AN317" s="83" t="n">
        <f aca="false">IF($S317&gt;=2,MAX(G317:J317),"")</f>
        <v>563.07</v>
      </c>
      <c r="AO317" s="82" t="str">
        <f aca="false">IF($S317&gt;=2,INDEX($G$6:$J$6,MATCH(MAX(G317:J317),G317:J317,0)),"")</f>
        <v>HD Fowler</v>
      </c>
      <c r="AP317" s="83" t="n">
        <f aca="false">IF($S317&gt;=2,MIN(G317:J317)*$F317,0)</f>
        <v>303.64</v>
      </c>
      <c r="AQ317" s="82" t="str">
        <f aca="false">IF($S317&gt;=2,INDEX($G$6:$J$6,MATCH(MIN(G317:J317),G317:J317,0)),"")</f>
        <v>Ferguson</v>
      </c>
    </row>
    <row r="318" customFormat="false" ht="15" hidden="false" customHeight="true" outlineLevel="0" collapsed="false">
      <c r="A318" s="70" t="s">
        <v>799</v>
      </c>
      <c r="B318" s="71" t="s">
        <v>782</v>
      </c>
      <c r="C318" s="72" t="s">
        <v>294</v>
      </c>
      <c r="D318" s="73" t="s">
        <v>298</v>
      </c>
      <c r="E318" s="74" t="s">
        <v>133</v>
      </c>
      <c r="F318" s="75" t="n">
        <v>7</v>
      </c>
      <c r="G318" s="76" t="n">
        <f aca="false">IF(COUNTIF('Quote Lines'!$P$3:$P$805,$A318&amp;"|"&amp;G$6&amp;"|1")=0,"—",SUMIFS('Quote Lines'!$O$3:$O$805,'Quote Lines'!$P$3:$P$805,$A318&amp;"|"&amp;G$6&amp;"|1")/SUMIFS('Quote Lines'!$L$3:$L$805,'Quote Lines'!$P$3:$P$805,$A318&amp;"|"&amp;G$6&amp;"|1"))</f>
        <v>226.94</v>
      </c>
      <c r="H318" s="76" t="n">
        <f aca="false">IF(COUNTIF('Quote Lines'!$P$3:$P$805,$A318&amp;"|"&amp;H$6&amp;"|1")=0,"—",SUMIFS('Quote Lines'!$O$3:$O$805,'Quote Lines'!$P$3:$P$805,$A318&amp;"|"&amp;H$6&amp;"|1")/SUMIFS('Quote Lines'!$L$3:$L$805,'Quote Lines'!$P$3:$P$805,$A318&amp;"|"&amp;H$6&amp;"|1"))</f>
        <v>273.18</v>
      </c>
      <c r="I318" s="76" t="n">
        <f aca="false">IF(COUNTIF('Quote Lines'!$P$3:$P$805,$A318&amp;"|"&amp;I$6&amp;"|1")=0,"—",SUMIFS('Quote Lines'!$O$3:$O$805,'Quote Lines'!$P$3:$P$805,$A318&amp;"|"&amp;I$6&amp;"|1")/SUMIFS('Quote Lines'!$L$3:$L$805,'Quote Lines'!$P$3:$P$805,$A318&amp;"|"&amp;I$6&amp;"|1"))</f>
        <v>234.9525</v>
      </c>
      <c r="J318" s="76" t="n">
        <f aca="false">IF(COUNTIF('Quote Lines'!$P$3:$P$805,$A318&amp;"|"&amp;J$6&amp;"|1")=0,"—",SUMIFS('Quote Lines'!$O$3:$O$805,'Quote Lines'!$P$3:$P$805,$A318&amp;"|"&amp;J$6&amp;"|1")/SUMIFS('Quote Lines'!$L$3:$L$805,'Quote Lines'!$P$3:$P$805,$A318&amp;"|"&amp;J$6&amp;"|1"))</f>
        <v>315.53</v>
      </c>
      <c r="K318" s="14" t="n">
        <f aca="false">IF(ISNUMBER(G318),G318*$F318,"—")</f>
        <v>1588.58</v>
      </c>
      <c r="L318" s="14" t="n">
        <f aca="false">IF(ISNUMBER(H318),H318*$F318,"—")</f>
        <v>1912.26</v>
      </c>
      <c r="M318" s="14" t="n">
        <f aca="false">IF(ISNUMBER(I318),I318*$F318,"—")</f>
        <v>1644.6675</v>
      </c>
      <c r="N318" s="14" t="n">
        <f aca="false">IF(ISNUMBER(J318),J318*$F318,"—")</f>
        <v>2208.71</v>
      </c>
      <c r="O318" s="77" t="n">
        <f aca="false">IF($S318=0,"—",MIN(G318:J318))</f>
        <v>226.94</v>
      </c>
      <c r="P318" s="42" t="str">
        <f aca="false">IF($S318=0,"—",IF(COUNTIF(G318:J318,O318)&gt;1,"Tie",INDEX($G$6:$J$6,MATCH(O318,G318:J318,0))))</f>
        <v>Ferguson</v>
      </c>
      <c r="Q318" s="48" t="n">
        <f aca="false">IF($S318&gt;=2,MAX(G318:J318)/MIN(G318:J318)-1,"—")</f>
        <v>0.390367498017097</v>
      </c>
      <c r="R318" s="78" t="n">
        <f aca="false">IF($S318&gt;=2,(MAX(G318:J318)-MIN(G318:J318))*$F318,"—")</f>
        <v>620.13</v>
      </c>
      <c r="S318" s="18" t="n">
        <f aca="false">COUNT(G318:J318)</f>
        <v>4</v>
      </c>
      <c r="T318" s="79" t="str">
        <f aca="false">IF($S318&lt;=1,IF($S318=1,"Single quote","—"),"Like-for-like")</f>
        <v>Like-for-like</v>
      </c>
      <c r="U318" s="79" t="str">
        <f aca="false">IF(COUNT(W318:Z318)&lt;2,"",IF(MAX(W318:Z318)=MIN(W318:Z318),"OK","Qty differs"))</f>
        <v>Qty differs</v>
      </c>
      <c r="V318" s="80"/>
      <c r="W318" s="81" t="n">
        <f aca="false">IF(COUNTIFS('Quote Lines'!$P$3:$P$805,$A318&amp;"|"&amp;G$6&amp;"|1",'Quote Lines'!$M$3:$M$805,"Y")=0,"",SUMIFS('Quote Lines'!$L$3:$L$805,'Quote Lines'!$P$3:$P$805,$A318&amp;"|"&amp;G$6&amp;"|1",'Quote Lines'!$M$3:$M$805,"Y"))</f>
        <v>9</v>
      </c>
      <c r="X318" s="81" t="n">
        <f aca="false">IF(COUNTIFS('Quote Lines'!$P$3:$P$805,$A318&amp;"|"&amp;H$6&amp;"|1",'Quote Lines'!$M$3:$M$805,"Y")=0,"",SUMIFS('Quote Lines'!$L$3:$L$805,'Quote Lines'!$P$3:$P$805,$A318&amp;"|"&amp;H$6&amp;"|1",'Quote Lines'!$M$3:$M$805,"Y"))</f>
        <v>7</v>
      </c>
      <c r="Y318" s="81" t="n">
        <f aca="false">IF(COUNTIFS('Quote Lines'!$P$3:$P$805,$A318&amp;"|"&amp;I$6&amp;"|1",'Quote Lines'!$M$3:$M$805,"Y")=0,"",SUMIFS('Quote Lines'!$L$3:$L$805,'Quote Lines'!$P$3:$P$805,$A318&amp;"|"&amp;I$6&amp;"|1",'Quote Lines'!$M$3:$M$805,"Y"))</f>
        <v>8</v>
      </c>
      <c r="Z318" s="81" t="n">
        <f aca="false">IF(COUNTIFS('Quote Lines'!$P$3:$P$805,$A318&amp;"|"&amp;J$6&amp;"|1",'Quote Lines'!$M$3:$M$805,"Y")=0,"",SUMIFS('Quote Lines'!$L$3:$L$805,'Quote Lines'!$P$3:$P$805,$A318&amp;"|"&amp;J$6&amp;"|1",'Quote Lines'!$M$3:$M$805,"Y"))</f>
        <v>7</v>
      </c>
      <c r="AA318" s="82" t="n">
        <f aca="false">IF(ISNUMBER(G318),1+SUMPRODUCT(ISNUMBER($G318:$J318)*($G318:$J318&lt;G318)),"")</f>
        <v>1</v>
      </c>
      <c r="AB318" s="82" t="n">
        <f aca="false">IF(ISNUMBER(H318),1+SUMPRODUCT(ISNUMBER($G318:$J318)*($G318:$J318&lt;H318)),"")</f>
        <v>3</v>
      </c>
      <c r="AC318" s="82" t="n">
        <f aca="false">IF(ISNUMBER(I318),1+SUMPRODUCT(ISNUMBER($G318:$J318)*($G318:$J318&lt;I318)),"")</f>
        <v>2</v>
      </c>
      <c r="AD318" s="82" t="n">
        <f aca="false">IF(ISNUMBER(J318),1+SUMPRODUCT(ISNUMBER($G318:$J318)*($G318:$J318&lt;J318)),"")</f>
        <v>4</v>
      </c>
      <c r="AE318" s="82" t="n">
        <f aca="false">IF(NOT(ISNUMBER(G318)),0,IF($S318&lt;2,5,IF(AA318=1,1,IF(G318=MAX($G318:$J318),4,IF(AA318=2,2,3)))))</f>
        <v>1</v>
      </c>
      <c r="AF318" s="82" t="n">
        <f aca="false">IF(NOT(ISNUMBER(H318)),0,IF($S318&lt;2,5,IF(AB318=1,1,IF(H318=MAX($G318:$J318),4,IF(AB318=2,2,3)))))</f>
        <v>3</v>
      </c>
      <c r="AG318" s="82" t="n">
        <f aca="false">IF(NOT(ISNUMBER(I318)),0,IF($S318&lt;2,5,IF(AC318=1,1,IF(I318=MAX($G318:$J318),4,IF(AC318=2,2,3)))))</f>
        <v>2</v>
      </c>
      <c r="AH318" s="82" t="n">
        <f aca="false">IF(NOT(ISNUMBER(J318)),0,IF($S318&lt;2,5,IF(AD318=1,1,IF(J318=MAX($G318:$J318),4,IF(AD318=2,2,3)))))</f>
        <v>4</v>
      </c>
      <c r="AI318" s="83" t="n">
        <f aca="false">IF($S318&gt;=2,IF(ISNUMBER(G318),G318*$F318,MIN($G318:$J318)*$F318),0)</f>
        <v>1588.58</v>
      </c>
      <c r="AJ318" s="83" t="n">
        <f aca="false">IF($S318&gt;=2,IF(ISNUMBER(H318),H318*$F318,MIN($G318:$J318)*$F318),0)</f>
        <v>1912.26</v>
      </c>
      <c r="AK318" s="83" t="n">
        <f aca="false">IF($S318&gt;=2,IF(ISNUMBER(I318),I318*$F318,MIN($G318:$J318)*$F318),0)</f>
        <v>1644.6675</v>
      </c>
      <c r="AL318" s="83" t="n">
        <f aca="false">IF($S318&gt;=2,IF(ISNUMBER(J318),J318*$F318,MIN($G318:$J318)*$F318),0)</f>
        <v>2208.71</v>
      </c>
      <c r="AM318" s="84" t="n">
        <f aca="false">IF($S318&gt;=2,$R318+ROW()/1000000,"")</f>
        <v>620.130318</v>
      </c>
      <c r="AN318" s="83" t="n">
        <f aca="false">IF($S318&gt;=2,MAX(G318:J318),"")</f>
        <v>315.53</v>
      </c>
      <c r="AO318" s="82" t="str">
        <f aca="false">IF($S318&gt;=2,INDEX($G$6:$J$6,MATCH(MAX(G318:J318),G318:J318,0)),"")</f>
        <v>Scholzen</v>
      </c>
      <c r="AP318" s="83" t="n">
        <f aca="false">IF($S318&gt;=2,MIN(G318:J318)*$F318,0)</f>
        <v>1588.58</v>
      </c>
      <c r="AQ318" s="82" t="str">
        <f aca="false">IF($S318&gt;=2,INDEX($G$6:$J$6,MATCH(MIN(G318:J318),G318:J318,0)),"")</f>
        <v>Ferguson</v>
      </c>
    </row>
    <row r="319" customFormat="false" ht="15" hidden="false" customHeight="true" outlineLevel="0" collapsed="false">
      <c r="A319" s="70" t="s">
        <v>800</v>
      </c>
      <c r="B319" s="71" t="s">
        <v>782</v>
      </c>
      <c r="C319" s="72" t="s">
        <v>131</v>
      </c>
      <c r="D319" s="73" t="s">
        <v>801</v>
      </c>
      <c r="E319" s="74" t="s">
        <v>133</v>
      </c>
      <c r="F319" s="75" t="n">
        <v>1</v>
      </c>
      <c r="G319" s="85" t="s">
        <v>138</v>
      </c>
      <c r="H319" s="85" t="s">
        <v>138</v>
      </c>
      <c r="I319" s="85" t="s">
        <v>138</v>
      </c>
      <c r="J319" s="76" t="n">
        <f aca="false">IF(COUNTIF('Quote Lines'!$P$3:$P$805,$A319&amp;"|"&amp;J$6&amp;"|1")=0,"—",SUMIFS('Quote Lines'!$O$3:$O$805,'Quote Lines'!$P$3:$P$805,$A319&amp;"|"&amp;J$6&amp;"|1")/SUMIFS('Quote Lines'!$L$3:$L$805,'Quote Lines'!$P$3:$P$805,$A319&amp;"|"&amp;J$6&amp;"|1"))</f>
        <v>96.75</v>
      </c>
      <c r="K319" s="14" t="str">
        <f aca="false">IF(ISNUMBER(G319),G319*$F319,"—")</f>
        <v>—</v>
      </c>
      <c r="L319" s="14" t="str">
        <f aca="false">IF(ISNUMBER(H319),H319*$F319,"—")</f>
        <v>—</v>
      </c>
      <c r="M319" s="14" t="str">
        <f aca="false">IF(ISNUMBER(I319),I319*$F319,"—")</f>
        <v>—</v>
      </c>
      <c r="N319" s="14" t="n">
        <f aca="false">IF(ISNUMBER(J319),J319*$F319,"—")</f>
        <v>96.75</v>
      </c>
      <c r="O319" s="77" t="n">
        <f aca="false">IF($S319=0,"—",MIN(G319:J319))</f>
        <v>96.75</v>
      </c>
      <c r="P319" s="42" t="str">
        <f aca="false">IF($S319=0,"—",IF(COUNTIF(G319:J319,O319)&gt;1,"Tie",INDEX($G$6:$J$6,MATCH(O319,G319:J319,0))))</f>
        <v>Scholzen</v>
      </c>
      <c r="Q319" s="48" t="str">
        <f aca="false">IF($S319&gt;=2,MAX(G319:J319)/MIN(G319:J319)-1,"—")</f>
        <v>—</v>
      </c>
      <c r="R319" s="78" t="str">
        <f aca="false">IF($S319&gt;=2,(MAX(G319:J319)-MIN(G319:J319))*$F319,"—")</f>
        <v>—</v>
      </c>
      <c r="S319" s="18" t="n">
        <f aca="false">COUNT(G319:J319)</f>
        <v>1</v>
      </c>
      <c r="T319" s="79" t="str">
        <f aca="false">IF($S319&lt;=1,IF($S319=1,"Single quote","—"),"Like-for-like")</f>
        <v>Single quote</v>
      </c>
      <c r="U319" s="79" t="str">
        <f aca="false">IF(COUNT(W319:Z319)&lt;2,"",IF(MAX(W319:Z319)=MIN(W319:Z319),"OK","Qty differs"))</f>
        <v/>
      </c>
      <c r="V319" s="80"/>
      <c r="W319" s="81"/>
      <c r="X319" s="81"/>
      <c r="Y319" s="81"/>
      <c r="Z319" s="81" t="n">
        <f aca="false">IF(COUNTIFS('Quote Lines'!$P$3:$P$805,$A319&amp;"|"&amp;J$6&amp;"|1",'Quote Lines'!$M$3:$M$805,"Y")=0,"",SUMIFS('Quote Lines'!$L$3:$L$805,'Quote Lines'!$P$3:$P$805,$A319&amp;"|"&amp;J$6&amp;"|1",'Quote Lines'!$M$3:$M$805,"Y"))</f>
        <v>1</v>
      </c>
      <c r="AA319" s="82" t="str">
        <f aca="false">IF(ISNUMBER(G319),1+SUMPRODUCT(ISNUMBER($G319:$J319)*($G319:$J319&lt;G319)),"")</f>
        <v/>
      </c>
      <c r="AB319" s="82" t="str">
        <f aca="false">IF(ISNUMBER(H319),1+SUMPRODUCT(ISNUMBER($G319:$J319)*($G319:$J319&lt;H319)),"")</f>
        <v/>
      </c>
      <c r="AC319" s="82" t="str">
        <f aca="false">IF(ISNUMBER(I319),1+SUMPRODUCT(ISNUMBER($G319:$J319)*($G319:$J319&lt;I319)),"")</f>
        <v/>
      </c>
      <c r="AD319" s="82" t="n">
        <f aca="false">IF(ISNUMBER(J319),1+SUMPRODUCT(ISNUMBER($G319:$J319)*($G319:$J319&lt;J319)),"")</f>
        <v>1</v>
      </c>
      <c r="AE319" s="82" t="n">
        <f aca="false">IF(NOT(ISNUMBER(G319)),0,IF($S319&lt;2,5,IF(AA319=1,1,IF(G319=MAX($G319:$J319),4,IF(AA319=2,2,3)))))</f>
        <v>0</v>
      </c>
      <c r="AF319" s="82" t="n">
        <f aca="false">IF(NOT(ISNUMBER(H319)),0,IF($S319&lt;2,5,IF(AB319=1,1,IF(H319=MAX($G319:$J319),4,IF(AB319=2,2,3)))))</f>
        <v>0</v>
      </c>
      <c r="AG319" s="82" t="n">
        <f aca="false">IF(NOT(ISNUMBER(I319)),0,IF($S319&lt;2,5,IF(AC319=1,1,IF(I319=MAX($G319:$J319),4,IF(AC319=2,2,3)))))</f>
        <v>0</v>
      </c>
      <c r="AH319" s="82" t="n">
        <f aca="false">IF(NOT(ISNUMBER(J319)),0,IF($S319&lt;2,5,IF(AD319=1,1,IF(J319=MAX($G319:$J319),4,IF(AD319=2,2,3)))))</f>
        <v>5</v>
      </c>
      <c r="AI319" s="83" t="n">
        <f aca="false">IF($S319&gt;=2,IF(ISNUMBER(G319),G319*$F319,MIN($G319:$J319)*$F319),0)</f>
        <v>0</v>
      </c>
      <c r="AJ319" s="83" t="n">
        <f aca="false">IF($S319&gt;=2,IF(ISNUMBER(H319),H319*$F319,MIN($G319:$J319)*$F319),0)</f>
        <v>0</v>
      </c>
      <c r="AK319" s="83" t="n">
        <f aca="false">IF($S319&gt;=2,IF(ISNUMBER(I319),I319*$F319,MIN($G319:$J319)*$F319),0)</f>
        <v>0</v>
      </c>
      <c r="AL319" s="83" t="n">
        <f aca="false">IF($S319&gt;=2,IF(ISNUMBER(J319),J319*$F319,MIN($G319:$J319)*$F319),0)</f>
        <v>0</v>
      </c>
      <c r="AM319" s="84" t="str">
        <f aca="false">IF($S319&gt;=2,$R319+ROW()/1000000,"")</f>
        <v/>
      </c>
      <c r="AN319" s="83" t="str">
        <f aca="false">IF($S319&gt;=2,MAX(G319:J319),"")</f>
        <v/>
      </c>
      <c r="AO319" s="82" t="str">
        <f aca="false">IF($S319&gt;=2,INDEX($G$6:$J$6,MATCH(MAX(G319:J319),G319:J319,0)),"")</f>
        <v/>
      </c>
      <c r="AP319" s="83" t="n">
        <f aca="false">IF($S319&gt;=2,MIN(G319:J319)*$F319,0)</f>
        <v>0</v>
      </c>
      <c r="AQ319" s="82" t="str">
        <f aca="false">IF($S319&gt;=2,INDEX($G$6:$J$6,MATCH(MIN(G319:J319),G319:J319,0)),"")</f>
        <v/>
      </c>
    </row>
    <row r="320" customFormat="false" ht="15" hidden="false" customHeight="true" outlineLevel="0" collapsed="false">
      <c r="A320" s="70" t="s">
        <v>802</v>
      </c>
      <c r="B320" s="71" t="s">
        <v>782</v>
      </c>
      <c r="C320" s="72" t="s">
        <v>308</v>
      </c>
      <c r="D320" s="73" t="s">
        <v>309</v>
      </c>
      <c r="E320" s="74" t="s">
        <v>310</v>
      </c>
      <c r="F320" s="75" t="n">
        <v>2</v>
      </c>
      <c r="G320" s="85" t="s">
        <v>138</v>
      </c>
      <c r="H320" s="85" t="s">
        <v>138</v>
      </c>
      <c r="I320" s="85" t="s">
        <v>138</v>
      </c>
      <c r="J320" s="76" t="n">
        <f aca="false">IF(COUNTIF('Quote Lines'!$P$3:$P$805,$A320&amp;"|"&amp;J$6&amp;"|1")=0,"—",SUMIFS('Quote Lines'!$O$3:$O$805,'Quote Lines'!$P$3:$P$805,$A320&amp;"|"&amp;J$6&amp;"|1")/SUMIFS('Quote Lines'!$L$3:$L$805,'Quote Lines'!$P$3:$P$805,$A320&amp;"|"&amp;J$6&amp;"|1"))</f>
        <v>124</v>
      </c>
      <c r="K320" s="14" t="str">
        <f aca="false">IF(ISNUMBER(G320),G320*$F320,"—")</f>
        <v>—</v>
      </c>
      <c r="L320" s="14" t="str">
        <f aca="false">IF(ISNUMBER(H320),H320*$F320,"—")</f>
        <v>—</v>
      </c>
      <c r="M320" s="14" t="str">
        <f aca="false">IF(ISNUMBER(I320),I320*$F320,"—")</f>
        <v>—</v>
      </c>
      <c r="N320" s="14" t="n">
        <f aca="false">IF(ISNUMBER(J320),J320*$F320,"—")</f>
        <v>248</v>
      </c>
      <c r="O320" s="77" t="n">
        <f aca="false">IF($S320=0,"—",MIN(G320:J320))</f>
        <v>124</v>
      </c>
      <c r="P320" s="42" t="str">
        <f aca="false">IF($S320=0,"—",IF(COUNTIF(G320:J320,O320)&gt;1,"Tie",INDEX($G$6:$J$6,MATCH(O320,G320:J320,0))))</f>
        <v>Scholzen</v>
      </c>
      <c r="Q320" s="48" t="str">
        <f aca="false">IF($S320&gt;=2,MAX(G320:J320)/MIN(G320:J320)-1,"—")</f>
        <v>—</v>
      </c>
      <c r="R320" s="78" t="str">
        <f aca="false">IF($S320&gt;=2,(MAX(G320:J320)-MIN(G320:J320))*$F320,"—")</f>
        <v>—</v>
      </c>
      <c r="S320" s="18" t="n">
        <f aca="false">COUNT(G320:J320)</f>
        <v>1</v>
      </c>
      <c r="T320" s="79" t="str">
        <f aca="false">IF($S320&lt;=1,IF($S320=1,"Single quote","—"),"Like-for-like")</f>
        <v>Single quote</v>
      </c>
      <c r="U320" s="79" t="str">
        <f aca="false">IF(COUNT(W320:Z320)&lt;2,"",IF(MAX(W320:Z320)=MIN(W320:Z320),"OK","Qty differs"))</f>
        <v/>
      </c>
      <c r="V320" s="80"/>
      <c r="W320" s="81"/>
      <c r="X320" s="81"/>
      <c r="Y320" s="81"/>
      <c r="Z320" s="81" t="n">
        <f aca="false">IF(COUNTIFS('Quote Lines'!$P$3:$P$805,$A320&amp;"|"&amp;J$6&amp;"|1",'Quote Lines'!$M$3:$M$805,"Y")=0,"",SUMIFS('Quote Lines'!$L$3:$L$805,'Quote Lines'!$P$3:$P$805,$A320&amp;"|"&amp;J$6&amp;"|1",'Quote Lines'!$M$3:$M$805,"Y"))</f>
        <v>2</v>
      </c>
      <c r="AA320" s="82" t="str">
        <f aca="false">IF(ISNUMBER(G320),1+SUMPRODUCT(ISNUMBER($G320:$J320)*($G320:$J320&lt;G320)),"")</f>
        <v/>
      </c>
      <c r="AB320" s="82" t="str">
        <f aca="false">IF(ISNUMBER(H320),1+SUMPRODUCT(ISNUMBER($G320:$J320)*($G320:$J320&lt;H320)),"")</f>
        <v/>
      </c>
      <c r="AC320" s="82" t="str">
        <f aca="false">IF(ISNUMBER(I320),1+SUMPRODUCT(ISNUMBER($G320:$J320)*($G320:$J320&lt;I320)),"")</f>
        <v/>
      </c>
      <c r="AD320" s="82" t="n">
        <f aca="false">IF(ISNUMBER(J320),1+SUMPRODUCT(ISNUMBER($G320:$J320)*($G320:$J320&lt;J320)),"")</f>
        <v>1</v>
      </c>
      <c r="AE320" s="82" t="n">
        <f aca="false">IF(NOT(ISNUMBER(G320)),0,IF($S320&lt;2,5,IF(AA320=1,1,IF(G320=MAX($G320:$J320),4,IF(AA320=2,2,3)))))</f>
        <v>0</v>
      </c>
      <c r="AF320" s="82" t="n">
        <f aca="false">IF(NOT(ISNUMBER(H320)),0,IF($S320&lt;2,5,IF(AB320=1,1,IF(H320=MAX($G320:$J320),4,IF(AB320=2,2,3)))))</f>
        <v>0</v>
      </c>
      <c r="AG320" s="82" t="n">
        <f aca="false">IF(NOT(ISNUMBER(I320)),0,IF($S320&lt;2,5,IF(AC320=1,1,IF(I320=MAX($G320:$J320),4,IF(AC320=2,2,3)))))</f>
        <v>0</v>
      </c>
      <c r="AH320" s="82" t="n">
        <f aca="false">IF(NOT(ISNUMBER(J320)),0,IF($S320&lt;2,5,IF(AD320=1,1,IF(J320=MAX($G320:$J320),4,IF(AD320=2,2,3)))))</f>
        <v>5</v>
      </c>
      <c r="AI320" s="83" t="n">
        <f aca="false">IF($S320&gt;=2,IF(ISNUMBER(G320),G320*$F320,MIN($G320:$J320)*$F320),0)</f>
        <v>0</v>
      </c>
      <c r="AJ320" s="83" t="n">
        <f aca="false">IF($S320&gt;=2,IF(ISNUMBER(H320),H320*$F320,MIN($G320:$J320)*$F320),0)</f>
        <v>0</v>
      </c>
      <c r="AK320" s="83" t="n">
        <f aca="false">IF($S320&gt;=2,IF(ISNUMBER(I320),I320*$F320,MIN($G320:$J320)*$F320),0)</f>
        <v>0</v>
      </c>
      <c r="AL320" s="83" t="n">
        <f aca="false">IF($S320&gt;=2,IF(ISNUMBER(J320),J320*$F320,MIN($G320:$J320)*$F320),0)</f>
        <v>0</v>
      </c>
      <c r="AM320" s="84" t="str">
        <f aca="false">IF($S320&gt;=2,$R320+ROW()/1000000,"")</f>
        <v/>
      </c>
      <c r="AN320" s="83" t="str">
        <f aca="false">IF($S320&gt;=2,MAX(G320:J320),"")</f>
        <v/>
      </c>
      <c r="AO320" s="82" t="str">
        <f aca="false">IF($S320&gt;=2,INDEX($G$6:$J$6,MATCH(MAX(G320:J320),G320:J320,0)),"")</f>
        <v/>
      </c>
      <c r="AP320" s="83" t="n">
        <f aca="false">IF($S320&gt;=2,MIN(G320:J320)*$F320,0)</f>
        <v>0</v>
      </c>
      <c r="AQ320" s="82" t="str">
        <f aca="false">IF($S320&gt;=2,INDEX($G$6:$J$6,MATCH(MIN(G320:J320),G320:J320,0)),"")</f>
        <v/>
      </c>
    </row>
    <row r="321" customFormat="false" ht="15" hidden="false" customHeight="true" outlineLevel="0" collapsed="false">
      <c r="A321" s="70" t="s">
        <v>803</v>
      </c>
      <c r="B321" s="71" t="s">
        <v>782</v>
      </c>
      <c r="C321" s="72" t="s">
        <v>739</v>
      </c>
      <c r="D321" s="73" t="s">
        <v>804</v>
      </c>
      <c r="E321" s="74" t="s">
        <v>178</v>
      </c>
      <c r="F321" s="75" t="n">
        <v>1400</v>
      </c>
      <c r="G321" s="76" t="n">
        <f aca="false">IF(COUNTIF('Quote Lines'!$P$3:$P$805,$A321&amp;"|"&amp;G$6&amp;"|1")=0,"—",SUMIFS('Quote Lines'!$O$3:$O$805,'Quote Lines'!$P$3:$P$805,$A321&amp;"|"&amp;G$6&amp;"|1")/SUMIFS('Quote Lines'!$L$3:$L$805,'Quote Lines'!$P$3:$P$805,$A321&amp;"|"&amp;G$6&amp;"|1"))</f>
        <v>1.93709677419355</v>
      </c>
      <c r="H321" s="76" t="n">
        <f aca="false">IF(COUNTIF('Quote Lines'!$P$3:$P$805,$A321&amp;"|"&amp;H$6&amp;"|1")=0,"—",SUMIFS('Quote Lines'!$O$3:$O$805,'Quote Lines'!$P$3:$P$805,$A321&amp;"|"&amp;H$6&amp;"|1")/SUMIFS('Quote Lines'!$L$3:$L$805,'Quote Lines'!$P$3:$P$805,$A321&amp;"|"&amp;H$6&amp;"|1"))</f>
        <v>2.12</v>
      </c>
      <c r="I321" s="76" t="n">
        <f aca="false">IF(COUNTIF('Quote Lines'!$P$3:$P$805,$A321&amp;"|"&amp;I$6&amp;"|1")=0,"—",SUMIFS('Quote Lines'!$O$3:$O$805,'Quote Lines'!$P$3:$P$805,$A321&amp;"|"&amp;I$6&amp;"|1")/SUMIFS('Quote Lines'!$L$3:$L$805,'Quote Lines'!$P$3:$P$805,$A321&amp;"|"&amp;I$6&amp;"|1"))</f>
        <v>1.975</v>
      </c>
      <c r="J321" s="76" t="n">
        <f aca="false">IF(COUNTIF('Quote Lines'!$P$3:$P$805,$A321&amp;"|"&amp;J$6&amp;"|1")=0,"—",SUMIFS('Quote Lines'!$O$3:$O$805,'Quote Lines'!$P$3:$P$805,$A321&amp;"|"&amp;J$6&amp;"|1")/SUMIFS('Quote Lines'!$L$3:$L$805,'Quote Lines'!$P$3:$P$805,$A321&amp;"|"&amp;J$6&amp;"|1"))</f>
        <v>2.12</v>
      </c>
      <c r="K321" s="14" t="n">
        <f aca="false">IF(ISNUMBER(G321),G321*$F321,"—")</f>
        <v>2711.93548387097</v>
      </c>
      <c r="L321" s="14" t="n">
        <f aca="false">IF(ISNUMBER(H321),H321*$F321,"—")</f>
        <v>2968</v>
      </c>
      <c r="M321" s="14" t="n">
        <f aca="false">IF(ISNUMBER(I321),I321*$F321,"—")</f>
        <v>2765</v>
      </c>
      <c r="N321" s="14" t="n">
        <f aca="false">IF(ISNUMBER(J321),J321*$F321,"—")</f>
        <v>2968</v>
      </c>
      <c r="O321" s="77" t="n">
        <f aca="false">IF($S321=0,"—",MIN(G321:J321))</f>
        <v>1.93709677419355</v>
      </c>
      <c r="P321" s="42" t="str">
        <f aca="false">IF($S321=0,"—",IF(COUNTIF(G321:J321,O321)&gt;1,"Tie",INDEX($G$6:$J$6,MATCH(O321,G321:J321,0))))</f>
        <v>Ferguson</v>
      </c>
      <c r="Q321" s="48" t="n">
        <f aca="false">IF($S321&gt;=2,MAX(G321:J321)/MIN(G321:J321)-1,"—")</f>
        <v>0.0944213155703582</v>
      </c>
      <c r="R321" s="78" t="n">
        <f aca="false">IF($S321&gt;=2,(MAX(G321:J321)-MIN(G321:J321))*$F321,"—")</f>
        <v>256.064516129033</v>
      </c>
      <c r="S321" s="18" t="n">
        <f aca="false">COUNT(G321:J321)</f>
        <v>4</v>
      </c>
      <c r="T321" s="79" t="str">
        <f aca="false">IF($S321&lt;=1,IF($S321=1,"Single quote","—"),"Like-for-like")</f>
        <v>Like-for-like</v>
      </c>
      <c r="U321" s="79" t="str">
        <f aca="false">IF(COUNT(W321:Z321)&lt;2,"",IF(MAX(W321:Z321)=MIN(W321:Z321),"OK","Qty differs"))</f>
        <v>Qty differs</v>
      </c>
      <c r="V321" s="80"/>
      <c r="W321" s="81" t="n">
        <f aca="false">IF(COUNTIFS('Quote Lines'!$P$3:$P$805,$A321&amp;"|"&amp;G$6&amp;"|1",'Quote Lines'!$M$3:$M$805,"Y")=0,"",SUMIFS('Quote Lines'!$L$3:$L$805,'Quote Lines'!$P$3:$P$805,$A321&amp;"|"&amp;G$6&amp;"|1",'Quote Lines'!$M$3:$M$805,"Y"))</f>
        <v>1240</v>
      </c>
      <c r="X321" s="81" t="n">
        <f aca="false">IF(COUNTIFS('Quote Lines'!$P$3:$P$805,$A321&amp;"|"&amp;H$6&amp;"|1",'Quote Lines'!$M$3:$M$805,"Y")=0,"",SUMIFS('Quote Lines'!$L$3:$L$805,'Quote Lines'!$P$3:$P$805,$A321&amp;"|"&amp;H$6&amp;"|1",'Quote Lines'!$M$3:$M$805,"Y"))</f>
        <v>1320</v>
      </c>
      <c r="Y321" s="81" t="n">
        <f aca="false">IF(COUNTIFS('Quote Lines'!$P$3:$P$805,$A321&amp;"|"&amp;I$6&amp;"|1",'Quote Lines'!$M$3:$M$805,"Y")=0,"",SUMIFS('Quote Lines'!$L$3:$L$805,'Quote Lines'!$P$3:$P$805,$A321&amp;"|"&amp;I$6&amp;"|1",'Quote Lines'!$M$3:$M$805,"Y"))</f>
        <v>1400</v>
      </c>
      <c r="Z321" s="81" t="n">
        <f aca="false">IF(COUNTIFS('Quote Lines'!$P$3:$P$805,$A321&amp;"|"&amp;J$6&amp;"|1",'Quote Lines'!$M$3:$M$805,"Y")=0,"",SUMIFS('Quote Lines'!$L$3:$L$805,'Quote Lines'!$P$3:$P$805,$A321&amp;"|"&amp;J$6&amp;"|1",'Quote Lines'!$M$3:$M$805,"Y"))</f>
        <v>1540</v>
      </c>
      <c r="AA321" s="82" t="n">
        <f aca="false">IF(ISNUMBER(G321),1+SUMPRODUCT(ISNUMBER($G321:$J321)*($G321:$J321&lt;G321)),"")</f>
        <v>1</v>
      </c>
      <c r="AB321" s="82" t="n">
        <f aca="false">IF(ISNUMBER(H321),1+SUMPRODUCT(ISNUMBER($G321:$J321)*($G321:$J321&lt;H321)),"")</f>
        <v>3</v>
      </c>
      <c r="AC321" s="82" t="n">
        <f aca="false">IF(ISNUMBER(I321),1+SUMPRODUCT(ISNUMBER($G321:$J321)*($G321:$J321&lt;I321)),"")</f>
        <v>2</v>
      </c>
      <c r="AD321" s="82" t="n">
        <f aca="false">IF(ISNUMBER(J321),1+SUMPRODUCT(ISNUMBER($G321:$J321)*($G321:$J321&lt;J321)),"")</f>
        <v>3</v>
      </c>
      <c r="AE321" s="82" t="n">
        <f aca="false">IF(NOT(ISNUMBER(G321)),0,IF($S321&lt;2,5,IF(AA321=1,1,IF(G321=MAX($G321:$J321),4,IF(AA321=2,2,3)))))</f>
        <v>1</v>
      </c>
      <c r="AF321" s="82" t="n">
        <f aca="false">IF(NOT(ISNUMBER(H321)),0,IF($S321&lt;2,5,IF(AB321=1,1,IF(H321=MAX($G321:$J321),4,IF(AB321=2,2,3)))))</f>
        <v>4</v>
      </c>
      <c r="AG321" s="82" t="n">
        <f aca="false">IF(NOT(ISNUMBER(I321)),0,IF($S321&lt;2,5,IF(AC321=1,1,IF(I321=MAX($G321:$J321),4,IF(AC321=2,2,3)))))</f>
        <v>2</v>
      </c>
      <c r="AH321" s="82" t="n">
        <f aca="false">IF(NOT(ISNUMBER(J321)),0,IF($S321&lt;2,5,IF(AD321=1,1,IF(J321=MAX($G321:$J321),4,IF(AD321=2,2,3)))))</f>
        <v>4</v>
      </c>
      <c r="AI321" s="83" t="n">
        <f aca="false">IF($S321&gt;=2,IF(ISNUMBER(G321),G321*$F321,MIN($G321:$J321)*$F321),0)</f>
        <v>2711.93548387097</v>
      </c>
      <c r="AJ321" s="83" t="n">
        <f aca="false">IF($S321&gt;=2,IF(ISNUMBER(H321),H321*$F321,MIN($G321:$J321)*$F321),0)</f>
        <v>2968</v>
      </c>
      <c r="AK321" s="83" t="n">
        <f aca="false">IF($S321&gt;=2,IF(ISNUMBER(I321),I321*$F321,MIN($G321:$J321)*$F321),0)</f>
        <v>2765</v>
      </c>
      <c r="AL321" s="83" t="n">
        <f aca="false">IF($S321&gt;=2,IF(ISNUMBER(J321),J321*$F321,MIN($G321:$J321)*$F321),0)</f>
        <v>2968</v>
      </c>
      <c r="AM321" s="84" t="n">
        <f aca="false">IF($S321&gt;=2,$R321+ROW()/1000000,"")</f>
        <v>256.064837129033</v>
      </c>
      <c r="AN321" s="83" t="n">
        <f aca="false">IF($S321&gt;=2,MAX(G321:J321),"")</f>
        <v>2.12</v>
      </c>
      <c r="AO321" s="82" t="str">
        <f aca="false">IF($S321&gt;=2,INDEX($G$6:$J$6,MATCH(MAX(G321:J321),G321:J321,0)),"")</f>
        <v>HD Fowler</v>
      </c>
      <c r="AP321" s="83" t="n">
        <f aca="false">IF($S321&gt;=2,MIN(G321:J321)*$F321,0)</f>
        <v>2711.93548387097</v>
      </c>
      <c r="AQ321" s="82" t="str">
        <f aca="false">IF($S321&gt;=2,INDEX($G$6:$J$6,MATCH(MIN(G321:J321),G321:J321,0)),"")</f>
        <v>Ferguson</v>
      </c>
    </row>
    <row r="322" customFormat="false" ht="15" hidden="false" customHeight="true" outlineLevel="0" collapsed="false">
      <c r="A322" s="70" t="s">
        <v>805</v>
      </c>
      <c r="B322" s="71" t="s">
        <v>782</v>
      </c>
      <c r="C322" s="72" t="s">
        <v>739</v>
      </c>
      <c r="D322" s="73" t="s">
        <v>806</v>
      </c>
      <c r="E322" s="74" t="s">
        <v>133</v>
      </c>
      <c r="F322" s="75" t="n">
        <v>4</v>
      </c>
      <c r="G322" s="76" t="n">
        <f aca="false">IF(COUNTIF('Quote Lines'!$P$3:$P$805,$A322&amp;"|"&amp;G$6&amp;"|1")=0,"—",SUMIFS('Quote Lines'!$O$3:$O$805,'Quote Lines'!$P$3:$P$805,$A322&amp;"|"&amp;G$6&amp;"|1")/SUMIFS('Quote Lines'!$L$3:$L$805,'Quote Lines'!$P$3:$P$805,$A322&amp;"|"&amp;G$6&amp;"|1"))</f>
        <v>40.21</v>
      </c>
      <c r="H322" s="76" t="n">
        <f aca="false">IF(COUNTIF('Quote Lines'!$P$3:$P$805,$A322&amp;"|"&amp;H$6&amp;"|1")=0,"—",SUMIFS('Quote Lines'!$O$3:$O$805,'Quote Lines'!$P$3:$P$805,$A322&amp;"|"&amp;H$6&amp;"|1")/SUMIFS('Quote Lines'!$L$3:$L$805,'Quote Lines'!$P$3:$P$805,$A322&amp;"|"&amp;H$6&amp;"|1"))</f>
        <v>21.4</v>
      </c>
      <c r="I322" s="76" t="n">
        <f aca="false">IF(COUNTIF('Quote Lines'!$P$3:$P$805,$A322&amp;"|"&amp;I$6&amp;"|1")=0,"—",SUMIFS('Quote Lines'!$O$3:$O$805,'Quote Lines'!$P$3:$P$805,$A322&amp;"|"&amp;I$6&amp;"|1")/SUMIFS('Quote Lines'!$L$3:$L$805,'Quote Lines'!$P$3:$P$805,$A322&amp;"|"&amp;I$6&amp;"|1"))</f>
        <v>36.4975</v>
      </c>
      <c r="J322" s="76" t="n">
        <f aca="false">IF(COUNTIF('Quote Lines'!$P$3:$P$805,$A322&amp;"|"&amp;J$6&amp;"|1")=0,"—",SUMIFS('Quote Lines'!$O$3:$O$805,'Quote Lines'!$P$3:$P$805,$A322&amp;"|"&amp;J$6&amp;"|1")/SUMIFS('Quote Lines'!$L$3:$L$805,'Quote Lines'!$P$3:$P$805,$A322&amp;"|"&amp;J$6&amp;"|1"))</f>
        <v>34</v>
      </c>
      <c r="K322" s="14" t="n">
        <f aca="false">IF(ISNUMBER(G322),G322*$F322,"—")</f>
        <v>160.84</v>
      </c>
      <c r="L322" s="14" t="n">
        <f aca="false">IF(ISNUMBER(H322),H322*$F322,"—")</f>
        <v>85.6</v>
      </c>
      <c r="M322" s="14" t="n">
        <f aca="false">IF(ISNUMBER(I322),I322*$F322,"—")</f>
        <v>145.99</v>
      </c>
      <c r="N322" s="14" t="n">
        <f aca="false">IF(ISNUMBER(J322),J322*$F322,"—")</f>
        <v>136</v>
      </c>
      <c r="O322" s="77" t="n">
        <f aca="false">IF($S322=0,"—",MIN(G322:J322))</f>
        <v>21.4</v>
      </c>
      <c r="P322" s="42" t="str">
        <f aca="false">IF($S322=0,"—",IF(COUNTIF(G322:J322,O322)&gt;1,"Tie",INDEX($G$6:$J$6,MATCH(O322,G322:J322,0))))</f>
        <v>HD Fowler</v>
      </c>
      <c r="Q322" s="48" t="n">
        <f aca="false">IF($S322&gt;=2,MAX(G322:J322)/MIN(G322:J322)-1,"—")</f>
        <v>0.878971962616823</v>
      </c>
      <c r="R322" s="78" t="n">
        <f aca="false">IF($S322&gt;=2,(MAX(G322:J322)-MIN(G322:J322))*$F322,"—")</f>
        <v>75.24</v>
      </c>
      <c r="S322" s="18" t="n">
        <f aca="false">COUNT(G322:J322)</f>
        <v>4</v>
      </c>
      <c r="T322" s="79" t="str">
        <f aca="false">IF($S322&lt;=1,IF($S322=1,"Single quote","—"),"Alt spec – verify")</f>
        <v>Alt spec – verify</v>
      </c>
      <c r="U322" s="79" t="str">
        <f aca="false">IF(COUNT(W322:Z322)&lt;2,"",IF(MAX(W322:Z322)=MIN(W322:Z322),"OK","Qty differs"))</f>
        <v>Qty differs</v>
      </c>
      <c r="V322" s="80" t="s">
        <v>807</v>
      </c>
      <c r="W322" s="81" t="n">
        <f aca="false">IF(COUNTIFS('Quote Lines'!$P$3:$P$805,$A322&amp;"|"&amp;G$6&amp;"|1",'Quote Lines'!$M$3:$M$805,"Y")=0,"",SUMIFS('Quote Lines'!$L$3:$L$805,'Quote Lines'!$P$3:$P$805,$A322&amp;"|"&amp;G$6&amp;"|1",'Quote Lines'!$M$3:$M$805,"Y"))</f>
        <v>8</v>
      </c>
      <c r="X322" s="81" t="n">
        <f aca="false">IF(COUNTIFS('Quote Lines'!$P$3:$P$805,$A322&amp;"|"&amp;H$6&amp;"|1",'Quote Lines'!$M$3:$M$805,"Y")=0,"",SUMIFS('Quote Lines'!$L$3:$L$805,'Quote Lines'!$P$3:$P$805,$A322&amp;"|"&amp;H$6&amp;"|1",'Quote Lines'!$M$3:$M$805,"Y"))</f>
        <v>4</v>
      </c>
      <c r="Y322" s="81" t="n">
        <f aca="false">IF(COUNTIFS('Quote Lines'!$P$3:$P$805,$A322&amp;"|"&amp;I$6&amp;"|1",'Quote Lines'!$M$3:$M$805,"Y")=0,"",SUMIFS('Quote Lines'!$L$3:$L$805,'Quote Lines'!$P$3:$P$805,$A322&amp;"|"&amp;I$6&amp;"|1",'Quote Lines'!$M$3:$M$805,"Y"))</f>
        <v>4</v>
      </c>
      <c r="Z322" s="81" t="n">
        <f aca="false">IF(COUNTIFS('Quote Lines'!$P$3:$P$805,$A322&amp;"|"&amp;J$6&amp;"|1",'Quote Lines'!$M$3:$M$805,"Y")=0,"",SUMIFS('Quote Lines'!$L$3:$L$805,'Quote Lines'!$P$3:$P$805,$A322&amp;"|"&amp;J$6&amp;"|1",'Quote Lines'!$M$3:$M$805,"Y"))</f>
        <v>4</v>
      </c>
      <c r="AA322" s="82" t="n">
        <f aca="false">IF(ISNUMBER(G322),1+SUMPRODUCT(ISNUMBER($G322:$J322)*($G322:$J322&lt;G322)),"")</f>
        <v>4</v>
      </c>
      <c r="AB322" s="82" t="n">
        <f aca="false">IF(ISNUMBER(H322),1+SUMPRODUCT(ISNUMBER($G322:$J322)*($G322:$J322&lt;H322)),"")</f>
        <v>1</v>
      </c>
      <c r="AC322" s="82" t="n">
        <f aca="false">IF(ISNUMBER(I322),1+SUMPRODUCT(ISNUMBER($G322:$J322)*($G322:$J322&lt;I322)),"")</f>
        <v>3</v>
      </c>
      <c r="AD322" s="82" t="n">
        <f aca="false">IF(ISNUMBER(J322),1+SUMPRODUCT(ISNUMBER($G322:$J322)*($G322:$J322&lt;J322)),"")</f>
        <v>2</v>
      </c>
      <c r="AE322" s="82" t="n">
        <f aca="false">IF(NOT(ISNUMBER(G322)),0,IF($S322&lt;2,5,IF(AA322=1,1,IF(G322=MAX($G322:$J322),4,IF(AA322=2,2,3)))))</f>
        <v>4</v>
      </c>
      <c r="AF322" s="82" t="n">
        <f aca="false">IF(NOT(ISNUMBER(H322)),0,IF($S322&lt;2,5,IF(AB322=1,1,IF(H322=MAX($G322:$J322),4,IF(AB322=2,2,3)))))</f>
        <v>1</v>
      </c>
      <c r="AG322" s="82" t="n">
        <f aca="false">IF(NOT(ISNUMBER(I322)),0,IF($S322&lt;2,5,IF(AC322=1,1,IF(I322=MAX($G322:$J322),4,IF(AC322=2,2,3)))))</f>
        <v>3</v>
      </c>
      <c r="AH322" s="82" t="n">
        <f aca="false">IF(NOT(ISNUMBER(J322)),0,IF($S322&lt;2,5,IF(AD322=1,1,IF(J322=MAX($G322:$J322),4,IF(AD322=2,2,3)))))</f>
        <v>2</v>
      </c>
      <c r="AI322" s="83" t="n">
        <f aca="false">IF($S322&gt;=2,IF(ISNUMBER(G322),G322*$F322,MIN($G322:$J322)*$F322),0)</f>
        <v>160.84</v>
      </c>
      <c r="AJ322" s="83" t="n">
        <f aca="false">IF($S322&gt;=2,IF(ISNUMBER(H322),H322*$F322,MIN($G322:$J322)*$F322),0)</f>
        <v>85.6</v>
      </c>
      <c r="AK322" s="83" t="n">
        <f aca="false">IF($S322&gt;=2,IF(ISNUMBER(I322),I322*$F322,MIN($G322:$J322)*$F322),0)</f>
        <v>145.99</v>
      </c>
      <c r="AL322" s="83" t="n">
        <f aca="false">IF($S322&gt;=2,IF(ISNUMBER(J322),J322*$F322,MIN($G322:$J322)*$F322),0)</f>
        <v>136</v>
      </c>
      <c r="AM322" s="84" t="n">
        <f aca="false">IF($S322&gt;=2,$R322+ROW()/1000000,"")</f>
        <v>75.240322</v>
      </c>
      <c r="AN322" s="83" t="n">
        <f aca="false">IF($S322&gt;=2,MAX(G322:J322),"")</f>
        <v>40.21</v>
      </c>
      <c r="AO322" s="82" t="str">
        <f aca="false">IF($S322&gt;=2,INDEX($G$6:$J$6,MATCH(MAX(G322:J322),G322:J322,0)),"")</f>
        <v>Ferguson</v>
      </c>
      <c r="AP322" s="83" t="n">
        <f aca="false">IF($S322&gt;=2,MIN(G322:J322)*$F322,0)</f>
        <v>85.6</v>
      </c>
      <c r="AQ322" s="82" t="str">
        <f aca="false">IF($S322&gt;=2,INDEX($G$6:$J$6,MATCH(MIN(G322:J322),G322:J322,0)),"")</f>
        <v>HD Fowler</v>
      </c>
    </row>
    <row r="323" customFormat="false" ht="15" hidden="false" customHeight="true" outlineLevel="0" collapsed="false">
      <c r="A323" s="70" t="s">
        <v>808</v>
      </c>
      <c r="B323" s="71" t="s">
        <v>782</v>
      </c>
      <c r="C323" s="72" t="s">
        <v>739</v>
      </c>
      <c r="D323" s="73" t="s">
        <v>809</v>
      </c>
      <c r="E323" s="74" t="s">
        <v>178</v>
      </c>
      <c r="F323" s="75" t="n">
        <v>1260</v>
      </c>
      <c r="G323" s="85" t="s">
        <v>138</v>
      </c>
      <c r="H323" s="85" t="s">
        <v>138</v>
      </c>
      <c r="I323" s="85" t="s">
        <v>138</v>
      </c>
      <c r="J323" s="76" t="n">
        <f aca="false">IF(COUNTIF('Quote Lines'!$P$3:$P$805,$A323&amp;"|"&amp;J$6&amp;"|1")=0,"—",SUMIFS('Quote Lines'!$O$3:$O$805,'Quote Lines'!$P$3:$P$805,$A323&amp;"|"&amp;J$6&amp;"|1")/SUMIFS('Quote Lines'!$L$3:$L$805,'Quote Lines'!$P$3:$P$805,$A323&amp;"|"&amp;J$6&amp;"|1"))</f>
        <v>4.4</v>
      </c>
      <c r="K323" s="14" t="str">
        <f aca="false">IF(ISNUMBER(G323),G323*$F323,"—")</f>
        <v>—</v>
      </c>
      <c r="L323" s="14" t="str">
        <f aca="false">IF(ISNUMBER(H323),H323*$F323,"—")</f>
        <v>—</v>
      </c>
      <c r="M323" s="14" t="str">
        <f aca="false">IF(ISNUMBER(I323),I323*$F323,"—")</f>
        <v>—</v>
      </c>
      <c r="N323" s="14" t="n">
        <f aca="false">IF(ISNUMBER(J323),J323*$F323,"—")</f>
        <v>5544</v>
      </c>
      <c r="O323" s="77" t="n">
        <f aca="false">IF($S323=0,"—",MIN(G323:J323))</f>
        <v>4.4</v>
      </c>
      <c r="P323" s="42" t="str">
        <f aca="false">IF($S323=0,"—",IF(COUNTIF(G323:J323,O323)&gt;1,"Tie",INDEX($G$6:$J$6,MATCH(O323,G323:J323,0))))</f>
        <v>Scholzen</v>
      </c>
      <c r="Q323" s="48" t="str">
        <f aca="false">IF($S323&gt;=2,MAX(G323:J323)/MIN(G323:J323)-1,"—")</f>
        <v>—</v>
      </c>
      <c r="R323" s="78" t="str">
        <f aca="false">IF($S323&gt;=2,(MAX(G323:J323)-MIN(G323:J323))*$F323,"—")</f>
        <v>—</v>
      </c>
      <c r="S323" s="18" t="n">
        <f aca="false">COUNT(G323:J323)</f>
        <v>1</v>
      </c>
      <c r="T323" s="79" t="str">
        <f aca="false">IF($S323&lt;=1,IF($S323=1,"Single quote","—"),"Like-for-like")</f>
        <v>Single quote</v>
      </c>
      <c r="U323" s="79" t="str">
        <f aca="false">IF(COUNT(W323:Z323)&lt;2,"",IF(MAX(W323:Z323)=MIN(W323:Z323),"OK","Qty differs"))</f>
        <v/>
      </c>
      <c r="V323" s="80" t="s">
        <v>810</v>
      </c>
      <c r="W323" s="81"/>
      <c r="X323" s="81"/>
      <c r="Y323" s="81"/>
      <c r="Z323" s="81" t="n">
        <f aca="false">IF(COUNTIFS('Quote Lines'!$P$3:$P$805,$A323&amp;"|"&amp;J$6&amp;"|1",'Quote Lines'!$M$3:$M$805,"Y")=0,"",SUMIFS('Quote Lines'!$L$3:$L$805,'Quote Lines'!$P$3:$P$805,$A323&amp;"|"&amp;J$6&amp;"|1",'Quote Lines'!$M$3:$M$805,"Y"))</f>
        <v>1260</v>
      </c>
      <c r="AA323" s="82" t="str">
        <f aca="false">IF(ISNUMBER(G323),1+SUMPRODUCT(ISNUMBER($G323:$J323)*($G323:$J323&lt;G323)),"")</f>
        <v/>
      </c>
      <c r="AB323" s="82" t="str">
        <f aca="false">IF(ISNUMBER(H323),1+SUMPRODUCT(ISNUMBER($G323:$J323)*($G323:$J323&lt;H323)),"")</f>
        <v/>
      </c>
      <c r="AC323" s="82" t="str">
        <f aca="false">IF(ISNUMBER(I323),1+SUMPRODUCT(ISNUMBER($G323:$J323)*($G323:$J323&lt;I323)),"")</f>
        <v/>
      </c>
      <c r="AD323" s="82" t="n">
        <f aca="false">IF(ISNUMBER(J323),1+SUMPRODUCT(ISNUMBER($G323:$J323)*($G323:$J323&lt;J323)),"")</f>
        <v>1</v>
      </c>
      <c r="AE323" s="82" t="n">
        <f aca="false">IF(NOT(ISNUMBER(G323)),0,IF($S323&lt;2,5,IF(AA323=1,1,IF(G323=MAX($G323:$J323),4,IF(AA323=2,2,3)))))</f>
        <v>0</v>
      </c>
      <c r="AF323" s="82" t="n">
        <f aca="false">IF(NOT(ISNUMBER(H323)),0,IF($S323&lt;2,5,IF(AB323=1,1,IF(H323=MAX($G323:$J323),4,IF(AB323=2,2,3)))))</f>
        <v>0</v>
      </c>
      <c r="AG323" s="82" t="n">
        <f aca="false">IF(NOT(ISNUMBER(I323)),0,IF($S323&lt;2,5,IF(AC323=1,1,IF(I323=MAX($G323:$J323),4,IF(AC323=2,2,3)))))</f>
        <v>0</v>
      </c>
      <c r="AH323" s="82" t="n">
        <f aca="false">IF(NOT(ISNUMBER(J323)),0,IF($S323&lt;2,5,IF(AD323=1,1,IF(J323=MAX($G323:$J323),4,IF(AD323=2,2,3)))))</f>
        <v>5</v>
      </c>
      <c r="AI323" s="83" t="n">
        <f aca="false">IF($S323&gt;=2,IF(ISNUMBER(G323),G323*$F323,MIN($G323:$J323)*$F323),0)</f>
        <v>0</v>
      </c>
      <c r="AJ323" s="83" t="n">
        <f aca="false">IF($S323&gt;=2,IF(ISNUMBER(H323),H323*$F323,MIN($G323:$J323)*$F323),0)</f>
        <v>0</v>
      </c>
      <c r="AK323" s="83" t="n">
        <f aca="false">IF($S323&gt;=2,IF(ISNUMBER(I323),I323*$F323,MIN($G323:$J323)*$F323),0)</f>
        <v>0</v>
      </c>
      <c r="AL323" s="83" t="n">
        <f aca="false">IF($S323&gt;=2,IF(ISNUMBER(J323),J323*$F323,MIN($G323:$J323)*$F323),0)</f>
        <v>0</v>
      </c>
      <c r="AM323" s="84" t="str">
        <f aca="false">IF($S323&gt;=2,$R323+ROW()/1000000,"")</f>
        <v/>
      </c>
      <c r="AN323" s="83" t="str">
        <f aca="false">IF($S323&gt;=2,MAX(G323:J323),"")</f>
        <v/>
      </c>
      <c r="AO323" s="82" t="str">
        <f aca="false">IF($S323&gt;=2,INDEX($G$6:$J$6,MATCH(MAX(G323:J323),G323:J323,0)),"")</f>
        <v/>
      </c>
      <c r="AP323" s="83" t="n">
        <f aca="false">IF($S323&gt;=2,MIN(G323:J323)*$F323,0)</f>
        <v>0</v>
      </c>
      <c r="AQ323" s="82" t="str">
        <f aca="false">IF($S323&gt;=2,INDEX($G$6:$J$6,MATCH(MIN(G323:J323),G323:J323,0)),"")</f>
        <v/>
      </c>
    </row>
    <row r="324" customFormat="false" ht="15" hidden="false" customHeight="true" outlineLevel="0" collapsed="false">
      <c r="A324" s="70" t="s">
        <v>811</v>
      </c>
      <c r="B324" s="71" t="s">
        <v>782</v>
      </c>
      <c r="C324" s="72" t="s">
        <v>739</v>
      </c>
      <c r="D324" s="73" t="s">
        <v>812</v>
      </c>
      <c r="E324" s="74" t="s">
        <v>133</v>
      </c>
      <c r="F324" s="75" t="n">
        <v>8</v>
      </c>
      <c r="G324" s="85" t="s">
        <v>138</v>
      </c>
      <c r="H324" s="85" t="s">
        <v>138</v>
      </c>
      <c r="I324" s="85" t="s">
        <v>138</v>
      </c>
      <c r="J324" s="76" t="n">
        <f aca="false">IF(COUNTIF('Quote Lines'!$P$3:$P$805,$A324&amp;"|"&amp;J$6&amp;"|1")=0,"—",SUMIFS('Quote Lines'!$O$3:$O$805,'Quote Lines'!$P$3:$P$805,$A324&amp;"|"&amp;J$6&amp;"|1")/SUMIFS('Quote Lines'!$L$3:$L$805,'Quote Lines'!$P$3:$P$805,$A324&amp;"|"&amp;J$6&amp;"|1"))</f>
        <v>45.37</v>
      </c>
      <c r="K324" s="14" t="str">
        <f aca="false">IF(ISNUMBER(G324),G324*$F324,"—")</f>
        <v>—</v>
      </c>
      <c r="L324" s="14" t="str">
        <f aca="false">IF(ISNUMBER(H324),H324*$F324,"—")</f>
        <v>—</v>
      </c>
      <c r="M324" s="14" t="str">
        <f aca="false">IF(ISNUMBER(I324),I324*$F324,"—")</f>
        <v>—</v>
      </c>
      <c r="N324" s="14" t="n">
        <f aca="false">IF(ISNUMBER(J324),J324*$F324,"—")</f>
        <v>362.96</v>
      </c>
      <c r="O324" s="77" t="n">
        <f aca="false">IF($S324=0,"—",MIN(G324:J324))</f>
        <v>45.37</v>
      </c>
      <c r="P324" s="42" t="str">
        <f aca="false">IF($S324=0,"—",IF(COUNTIF(G324:J324,O324)&gt;1,"Tie",INDEX($G$6:$J$6,MATCH(O324,G324:J324,0))))</f>
        <v>Scholzen</v>
      </c>
      <c r="Q324" s="48" t="str">
        <f aca="false">IF($S324&gt;=2,MAX(G324:J324)/MIN(G324:J324)-1,"—")</f>
        <v>—</v>
      </c>
      <c r="R324" s="78" t="str">
        <f aca="false">IF($S324&gt;=2,(MAX(G324:J324)-MIN(G324:J324))*$F324,"—")</f>
        <v>—</v>
      </c>
      <c r="S324" s="18" t="n">
        <f aca="false">COUNT(G324:J324)</f>
        <v>1</v>
      </c>
      <c r="T324" s="79" t="str">
        <f aca="false">IF($S324&lt;=1,IF($S324=1,"Single quote","—"),"Like-for-like")</f>
        <v>Single quote</v>
      </c>
      <c r="U324" s="79" t="str">
        <f aca="false">IF(COUNT(W324:Z324)&lt;2,"",IF(MAX(W324:Z324)=MIN(W324:Z324),"OK","Qty differs"))</f>
        <v/>
      </c>
      <c r="V324" s="80"/>
      <c r="W324" s="81"/>
      <c r="X324" s="81"/>
      <c r="Y324" s="81"/>
      <c r="Z324" s="81" t="n">
        <f aca="false">IF(COUNTIFS('Quote Lines'!$P$3:$P$805,$A324&amp;"|"&amp;J$6&amp;"|1",'Quote Lines'!$M$3:$M$805,"Y")=0,"",SUMIFS('Quote Lines'!$L$3:$L$805,'Quote Lines'!$P$3:$P$805,$A324&amp;"|"&amp;J$6&amp;"|1",'Quote Lines'!$M$3:$M$805,"Y"))</f>
        <v>8</v>
      </c>
      <c r="AA324" s="82" t="str">
        <f aca="false">IF(ISNUMBER(G324),1+SUMPRODUCT(ISNUMBER($G324:$J324)*($G324:$J324&lt;G324)),"")</f>
        <v/>
      </c>
      <c r="AB324" s="82" t="str">
        <f aca="false">IF(ISNUMBER(H324),1+SUMPRODUCT(ISNUMBER($G324:$J324)*($G324:$J324&lt;H324)),"")</f>
        <v/>
      </c>
      <c r="AC324" s="82" t="str">
        <f aca="false">IF(ISNUMBER(I324),1+SUMPRODUCT(ISNUMBER($G324:$J324)*($G324:$J324&lt;I324)),"")</f>
        <v/>
      </c>
      <c r="AD324" s="82" t="n">
        <f aca="false">IF(ISNUMBER(J324),1+SUMPRODUCT(ISNUMBER($G324:$J324)*($G324:$J324&lt;J324)),"")</f>
        <v>1</v>
      </c>
      <c r="AE324" s="82" t="n">
        <f aca="false">IF(NOT(ISNUMBER(G324)),0,IF($S324&lt;2,5,IF(AA324=1,1,IF(G324=MAX($G324:$J324),4,IF(AA324=2,2,3)))))</f>
        <v>0</v>
      </c>
      <c r="AF324" s="82" t="n">
        <f aca="false">IF(NOT(ISNUMBER(H324)),0,IF($S324&lt;2,5,IF(AB324=1,1,IF(H324=MAX($G324:$J324),4,IF(AB324=2,2,3)))))</f>
        <v>0</v>
      </c>
      <c r="AG324" s="82" t="n">
        <f aca="false">IF(NOT(ISNUMBER(I324)),0,IF($S324&lt;2,5,IF(AC324=1,1,IF(I324=MAX($G324:$J324),4,IF(AC324=2,2,3)))))</f>
        <v>0</v>
      </c>
      <c r="AH324" s="82" t="n">
        <f aca="false">IF(NOT(ISNUMBER(J324)),0,IF($S324&lt;2,5,IF(AD324=1,1,IF(J324=MAX($G324:$J324),4,IF(AD324=2,2,3)))))</f>
        <v>5</v>
      </c>
      <c r="AI324" s="83" t="n">
        <f aca="false">IF($S324&gt;=2,IF(ISNUMBER(G324),G324*$F324,MIN($G324:$J324)*$F324),0)</f>
        <v>0</v>
      </c>
      <c r="AJ324" s="83" t="n">
        <f aca="false">IF($S324&gt;=2,IF(ISNUMBER(H324),H324*$F324,MIN($G324:$J324)*$F324),0)</f>
        <v>0</v>
      </c>
      <c r="AK324" s="83" t="n">
        <f aca="false">IF($S324&gt;=2,IF(ISNUMBER(I324),I324*$F324,MIN($G324:$J324)*$F324),0)</f>
        <v>0</v>
      </c>
      <c r="AL324" s="83" t="n">
        <f aca="false">IF($S324&gt;=2,IF(ISNUMBER(J324),J324*$F324,MIN($G324:$J324)*$F324),0)</f>
        <v>0</v>
      </c>
      <c r="AM324" s="84" t="str">
        <f aca="false">IF($S324&gt;=2,$R324+ROW()/1000000,"")</f>
        <v/>
      </c>
      <c r="AN324" s="83" t="str">
        <f aca="false">IF($S324&gt;=2,MAX(G324:J324),"")</f>
        <v/>
      </c>
      <c r="AO324" s="82" t="str">
        <f aca="false">IF($S324&gt;=2,INDEX($G$6:$J$6,MATCH(MAX(G324:J324),G324:J324,0)),"")</f>
        <v/>
      </c>
      <c r="AP324" s="83" t="n">
        <f aca="false">IF($S324&gt;=2,MIN(G324:J324)*$F324,0)</f>
        <v>0</v>
      </c>
      <c r="AQ324" s="82" t="str">
        <f aca="false">IF($S324&gt;=2,INDEX($G$6:$J$6,MATCH(MIN(G324:J324),G324:J324,0)),"")</f>
        <v/>
      </c>
    </row>
    <row r="325" customFormat="false" ht="15" hidden="false" customHeight="true" outlineLevel="0" collapsed="false">
      <c r="A325" s="70" t="s">
        <v>813</v>
      </c>
      <c r="B325" s="71" t="s">
        <v>782</v>
      </c>
      <c r="C325" s="72" t="s">
        <v>739</v>
      </c>
      <c r="D325" s="73" t="s">
        <v>814</v>
      </c>
      <c r="E325" s="74" t="s">
        <v>133</v>
      </c>
      <c r="F325" s="75" t="n">
        <v>1</v>
      </c>
      <c r="G325" s="85" t="s">
        <v>138</v>
      </c>
      <c r="H325" s="85" t="s">
        <v>138</v>
      </c>
      <c r="I325" s="85" t="s">
        <v>138</v>
      </c>
      <c r="J325" s="76" t="n">
        <f aca="false">IF(COUNTIF('Quote Lines'!$P$3:$P$805,$A325&amp;"|"&amp;J$6&amp;"|1")=0,"—",SUMIFS('Quote Lines'!$O$3:$O$805,'Quote Lines'!$P$3:$P$805,$A325&amp;"|"&amp;J$6&amp;"|1")/SUMIFS('Quote Lines'!$L$3:$L$805,'Quote Lines'!$P$3:$P$805,$A325&amp;"|"&amp;J$6&amp;"|1"))</f>
        <v>89.18</v>
      </c>
      <c r="K325" s="14" t="str">
        <f aca="false">IF(ISNUMBER(G325),G325*$F325,"—")</f>
        <v>—</v>
      </c>
      <c r="L325" s="14" t="str">
        <f aca="false">IF(ISNUMBER(H325),H325*$F325,"—")</f>
        <v>—</v>
      </c>
      <c r="M325" s="14" t="str">
        <f aca="false">IF(ISNUMBER(I325),I325*$F325,"—")</f>
        <v>—</v>
      </c>
      <c r="N325" s="14" t="n">
        <f aca="false">IF(ISNUMBER(J325),J325*$F325,"—")</f>
        <v>89.18</v>
      </c>
      <c r="O325" s="77" t="n">
        <f aca="false">IF($S325=0,"—",MIN(G325:J325))</f>
        <v>89.18</v>
      </c>
      <c r="P325" s="42" t="str">
        <f aca="false">IF($S325=0,"—",IF(COUNTIF(G325:J325,O325)&gt;1,"Tie",INDEX($G$6:$J$6,MATCH(O325,G325:J325,0))))</f>
        <v>Scholzen</v>
      </c>
      <c r="Q325" s="48" t="str">
        <f aca="false">IF($S325&gt;=2,MAX(G325:J325)/MIN(G325:J325)-1,"—")</f>
        <v>—</v>
      </c>
      <c r="R325" s="78" t="str">
        <f aca="false">IF($S325&gt;=2,(MAX(G325:J325)-MIN(G325:J325))*$F325,"—")</f>
        <v>—</v>
      </c>
      <c r="S325" s="18" t="n">
        <f aca="false">COUNT(G325:J325)</f>
        <v>1</v>
      </c>
      <c r="T325" s="79" t="str">
        <f aca="false">IF($S325&lt;=1,IF($S325=1,"Single quote","—"),"Like-for-like")</f>
        <v>Single quote</v>
      </c>
      <c r="U325" s="79" t="str">
        <f aca="false">IF(COUNT(W325:Z325)&lt;2,"",IF(MAX(W325:Z325)=MIN(W325:Z325),"OK","Qty differs"))</f>
        <v/>
      </c>
      <c r="V325" s="80"/>
      <c r="W325" s="81"/>
      <c r="X325" s="81"/>
      <c r="Y325" s="81"/>
      <c r="Z325" s="81" t="n">
        <f aca="false">IF(COUNTIFS('Quote Lines'!$P$3:$P$805,$A325&amp;"|"&amp;J$6&amp;"|1",'Quote Lines'!$M$3:$M$805,"Y")=0,"",SUMIFS('Quote Lines'!$L$3:$L$805,'Quote Lines'!$P$3:$P$805,$A325&amp;"|"&amp;J$6&amp;"|1",'Quote Lines'!$M$3:$M$805,"Y"))</f>
        <v>1</v>
      </c>
      <c r="AA325" s="82" t="str">
        <f aca="false">IF(ISNUMBER(G325),1+SUMPRODUCT(ISNUMBER($G325:$J325)*($G325:$J325&lt;G325)),"")</f>
        <v/>
      </c>
      <c r="AB325" s="82" t="str">
        <f aca="false">IF(ISNUMBER(H325),1+SUMPRODUCT(ISNUMBER($G325:$J325)*($G325:$J325&lt;H325)),"")</f>
        <v/>
      </c>
      <c r="AC325" s="82" t="str">
        <f aca="false">IF(ISNUMBER(I325),1+SUMPRODUCT(ISNUMBER($G325:$J325)*($G325:$J325&lt;I325)),"")</f>
        <v/>
      </c>
      <c r="AD325" s="82" t="n">
        <f aca="false">IF(ISNUMBER(J325),1+SUMPRODUCT(ISNUMBER($G325:$J325)*($G325:$J325&lt;J325)),"")</f>
        <v>1</v>
      </c>
      <c r="AE325" s="82" t="n">
        <f aca="false">IF(NOT(ISNUMBER(G325)),0,IF($S325&lt;2,5,IF(AA325=1,1,IF(G325=MAX($G325:$J325),4,IF(AA325=2,2,3)))))</f>
        <v>0</v>
      </c>
      <c r="AF325" s="82" t="n">
        <f aca="false">IF(NOT(ISNUMBER(H325)),0,IF($S325&lt;2,5,IF(AB325=1,1,IF(H325=MAX($G325:$J325),4,IF(AB325=2,2,3)))))</f>
        <v>0</v>
      </c>
      <c r="AG325" s="82" t="n">
        <f aca="false">IF(NOT(ISNUMBER(I325)),0,IF($S325&lt;2,5,IF(AC325=1,1,IF(I325=MAX($G325:$J325),4,IF(AC325=2,2,3)))))</f>
        <v>0</v>
      </c>
      <c r="AH325" s="82" t="n">
        <f aca="false">IF(NOT(ISNUMBER(J325)),0,IF($S325&lt;2,5,IF(AD325=1,1,IF(J325=MAX($G325:$J325),4,IF(AD325=2,2,3)))))</f>
        <v>5</v>
      </c>
      <c r="AI325" s="83" t="n">
        <f aca="false">IF($S325&gt;=2,IF(ISNUMBER(G325),G325*$F325,MIN($G325:$J325)*$F325),0)</f>
        <v>0</v>
      </c>
      <c r="AJ325" s="83" t="n">
        <f aca="false">IF($S325&gt;=2,IF(ISNUMBER(H325),H325*$F325,MIN($G325:$J325)*$F325),0)</f>
        <v>0</v>
      </c>
      <c r="AK325" s="83" t="n">
        <f aca="false">IF($S325&gt;=2,IF(ISNUMBER(I325),I325*$F325,MIN($G325:$J325)*$F325),0)</f>
        <v>0</v>
      </c>
      <c r="AL325" s="83" t="n">
        <f aca="false">IF($S325&gt;=2,IF(ISNUMBER(J325),J325*$F325,MIN($G325:$J325)*$F325),0)</f>
        <v>0</v>
      </c>
      <c r="AM325" s="84" t="str">
        <f aca="false">IF($S325&gt;=2,$R325+ROW()/1000000,"")</f>
        <v/>
      </c>
      <c r="AN325" s="83" t="str">
        <f aca="false">IF($S325&gt;=2,MAX(G325:J325),"")</f>
        <v/>
      </c>
      <c r="AO325" s="82" t="str">
        <f aca="false">IF($S325&gt;=2,INDEX($G$6:$J$6,MATCH(MAX(G325:J325),G325:J325,0)),"")</f>
        <v/>
      </c>
      <c r="AP325" s="83" t="n">
        <f aca="false">IF($S325&gt;=2,MIN(G325:J325)*$F325,0)</f>
        <v>0</v>
      </c>
      <c r="AQ325" s="82" t="str">
        <f aca="false">IF($S325&gt;=2,INDEX($G$6:$J$6,MATCH(MIN(G325:J325),G325:J325,0)),"")</f>
        <v/>
      </c>
    </row>
    <row r="326" customFormat="false" ht="15" hidden="false" customHeight="true" outlineLevel="0" collapsed="false">
      <c r="A326" s="70" t="s">
        <v>815</v>
      </c>
      <c r="B326" s="71" t="s">
        <v>782</v>
      </c>
      <c r="C326" s="72" t="s">
        <v>739</v>
      </c>
      <c r="D326" s="73" t="s">
        <v>816</v>
      </c>
      <c r="E326" s="74" t="s">
        <v>133</v>
      </c>
      <c r="F326" s="75" t="n">
        <v>2</v>
      </c>
      <c r="G326" s="76" t="n">
        <f aca="false">IF(COUNTIF('Quote Lines'!$P$3:$P$805,$A326&amp;"|"&amp;G$6&amp;"|1")=0,"—",SUMIFS('Quote Lines'!$O$3:$O$805,'Quote Lines'!$P$3:$P$805,$A326&amp;"|"&amp;G$6&amp;"|1")/SUMIFS('Quote Lines'!$L$3:$L$805,'Quote Lines'!$P$3:$P$805,$A326&amp;"|"&amp;G$6&amp;"|1"))</f>
        <v>144.44</v>
      </c>
      <c r="H326" s="85" t="s">
        <v>138</v>
      </c>
      <c r="I326" s="85" t="s">
        <v>138</v>
      </c>
      <c r="J326" s="85" t="s">
        <v>138</v>
      </c>
      <c r="K326" s="14" t="n">
        <f aca="false">IF(ISNUMBER(G326),G326*$F326,"—")</f>
        <v>288.88</v>
      </c>
      <c r="L326" s="14" t="str">
        <f aca="false">IF(ISNUMBER(H326),H326*$F326,"—")</f>
        <v>—</v>
      </c>
      <c r="M326" s="14" t="str">
        <f aca="false">IF(ISNUMBER(I326),I326*$F326,"—")</f>
        <v>—</v>
      </c>
      <c r="N326" s="14" t="str">
        <f aca="false">IF(ISNUMBER(J326),J326*$F326,"—")</f>
        <v>—</v>
      </c>
      <c r="O326" s="77" t="n">
        <f aca="false">IF($S326=0,"—",MIN(G326:J326))</f>
        <v>144.44</v>
      </c>
      <c r="P326" s="42" t="str">
        <f aca="false">IF($S326=0,"—",IF(COUNTIF(G326:J326,O326)&gt;1,"Tie",INDEX($G$6:$J$6,MATCH(O326,G326:J326,0))))</f>
        <v>Ferguson</v>
      </c>
      <c r="Q326" s="48" t="str">
        <f aca="false">IF($S326&gt;=2,MAX(G326:J326)/MIN(G326:J326)-1,"—")</f>
        <v>—</v>
      </c>
      <c r="R326" s="78" t="str">
        <f aca="false">IF($S326&gt;=2,(MAX(G326:J326)-MIN(G326:J326))*$F326,"—")</f>
        <v>—</v>
      </c>
      <c r="S326" s="18" t="n">
        <f aca="false">COUNT(G326:J326)</f>
        <v>1</v>
      </c>
      <c r="T326" s="79" t="str">
        <f aca="false">IF($S326&lt;=1,IF($S326=1,"Single quote","—"),"Like-for-like")</f>
        <v>Single quote</v>
      </c>
      <c r="U326" s="79" t="str">
        <f aca="false">IF(COUNT(W326:Z326)&lt;2,"",IF(MAX(W326:Z326)=MIN(W326:Z326),"OK","Qty differs"))</f>
        <v/>
      </c>
      <c r="V326" s="80"/>
      <c r="W326" s="81" t="n">
        <f aca="false">IF(COUNTIFS('Quote Lines'!$P$3:$P$805,$A326&amp;"|"&amp;G$6&amp;"|1",'Quote Lines'!$M$3:$M$805,"Y")=0,"",SUMIFS('Quote Lines'!$L$3:$L$805,'Quote Lines'!$P$3:$P$805,$A326&amp;"|"&amp;G$6&amp;"|1",'Quote Lines'!$M$3:$M$805,"Y"))</f>
        <v>2</v>
      </c>
      <c r="X326" s="81"/>
      <c r="Y326" s="81"/>
      <c r="Z326" s="81"/>
      <c r="AA326" s="82" t="n">
        <f aca="false">IF(ISNUMBER(G326),1+SUMPRODUCT(ISNUMBER($G326:$J326)*($G326:$J326&lt;G326)),"")</f>
        <v>1</v>
      </c>
      <c r="AB326" s="82" t="str">
        <f aca="false">IF(ISNUMBER(H326),1+SUMPRODUCT(ISNUMBER($G326:$J326)*($G326:$J326&lt;H326)),"")</f>
        <v/>
      </c>
      <c r="AC326" s="82" t="str">
        <f aca="false">IF(ISNUMBER(I326),1+SUMPRODUCT(ISNUMBER($G326:$J326)*($G326:$J326&lt;I326)),"")</f>
        <v/>
      </c>
      <c r="AD326" s="82" t="str">
        <f aca="false">IF(ISNUMBER(J326),1+SUMPRODUCT(ISNUMBER($G326:$J326)*($G326:$J326&lt;J326)),"")</f>
        <v/>
      </c>
      <c r="AE326" s="82" t="n">
        <f aca="false">IF(NOT(ISNUMBER(G326)),0,IF($S326&lt;2,5,IF(AA326=1,1,IF(G326=MAX($G326:$J326),4,IF(AA326=2,2,3)))))</f>
        <v>5</v>
      </c>
      <c r="AF326" s="82" t="n">
        <f aca="false">IF(NOT(ISNUMBER(H326)),0,IF($S326&lt;2,5,IF(AB326=1,1,IF(H326=MAX($G326:$J326),4,IF(AB326=2,2,3)))))</f>
        <v>0</v>
      </c>
      <c r="AG326" s="82" t="n">
        <f aca="false">IF(NOT(ISNUMBER(I326)),0,IF($S326&lt;2,5,IF(AC326=1,1,IF(I326=MAX($G326:$J326),4,IF(AC326=2,2,3)))))</f>
        <v>0</v>
      </c>
      <c r="AH326" s="82" t="n">
        <f aca="false">IF(NOT(ISNUMBER(J326)),0,IF($S326&lt;2,5,IF(AD326=1,1,IF(J326=MAX($G326:$J326),4,IF(AD326=2,2,3)))))</f>
        <v>0</v>
      </c>
      <c r="AI326" s="83" t="n">
        <f aca="false">IF($S326&gt;=2,IF(ISNUMBER(G326),G326*$F326,MIN($G326:$J326)*$F326),0)</f>
        <v>0</v>
      </c>
      <c r="AJ326" s="83" t="n">
        <f aca="false">IF($S326&gt;=2,IF(ISNUMBER(H326),H326*$F326,MIN($G326:$J326)*$F326),0)</f>
        <v>0</v>
      </c>
      <c r="AK326" s="83" t="n">
        <f aca="false">IF($S326&gt;=2,IF(ISNUMBER(I326),I326*$F326,MIN($G326:$J326)*$F326),0)</f>
        <v>0</v>
      </c>
      <c r="AL326" s="83" t="n">
        <f aca="false">IF($S326&gt;=2,IF(ISNUMBER(J326),J326*$F326,MIN($G326:$J326)*$F326),0)</f>
        <v>0</v>
      </c>
      <c r="AM326" s="84" t="str">
        <f aca="false">IF($S326&gt;=2,$R326+ROW()/1000000,"")</f>
        <v/>
      </c>
      <c r="AN326" s="83" t="str">
        <f aca="false">IF($S326&gt;=2,MAX(G326:J326),"")</f>
        <v/>
      </c>
      <c r="AO326" s="82" t="str">
        <f aca="false">IF($S326&gt;=2,INDEX($G$6:$J$6,MATCH(MAX(G326:J326),G326:J326,0)),"")</f>
        <v/>
      </c>
      <c r="AP326" s="83" t="n">
        <f aca="false">IF($S326&gt;=2,MIN(G326:J326)*$F326,0)</f>
        <v>0</v>
      </c>
      <c r="AQ326" s="82" t="str">
        <f aca="false">IF($S326&gt;=2,INDEX($G$6:$J$6,MATCH(MIN(G326:J326),G326:J326,0)),"")</f>
        <v/>
      </c>
    </row>
    <row r="327" customFormat="false" ht="27.75" hidden="false" customHeight="true" outlineLevel="0" collapsed="false">
      <c r="A327" s="70" t="s">
        <v>817</v>
      </c>
      <c r="B327" s="71" t="s">
        <v>782</v>
      </c>
      <c r="C327" s="72" t="s">
        <v>739</v>
      </c>
      <c r="D327" s="73" t="s">
        <v>818</v>
      </c>
      <c r="E327" s="74" t="s">
        <v>178</v>
      </c>
      <c r="F327" s="75" t="n">
        <v>580</v>
      </c>
      <c r="G327" s="76" t="n">
        <f aca="false">IF(COUNTIF('Quote Lines'!$P$3:$P$805,$A327&amp;"|"&amp;G$6&amp;"|1")=0,"—",SUMIFS('Quote Lines'!$O$3:$O$805,'Quote Lines'!$P$3:$P$805,$A327&amp;"|"&amp;G$6&amp;"|1")/SUMIFS('Quote Lines'!$L$3:$L$805,'Quote Lines'!$P$3:$P$805,$A327&amp;"|"&amp;G$6&amp;"|1"))</f>
        <v>240.58</v>
      </c>
      <c r="H327" s="87" t="s">
        <v>819</v>
      </c>
      <c r="I327" s="76" t="n">
        <f aca="false">IF(COUNTIF('Quote Lines'!$P$3:$P$805,$A327&amp;"|"&amp;I$6&amp;"|1")=0,"—",SUMIFS('Quote Lines'!$O$3:$O$805,'Quote Lines'!$P$3:$P$805,$A327&amp;"|"&amp;I$6&amp;"|1")/SUMIFS('Quote Lines'!$L$3:$L$805,'Quote Lines'!$P$3:$P$805,$A327&amp;"|"&amp;I$6&amp;"|1"))</f>
        <v>267.052637931035</v>
      </c>
      <c r="J327" s="85" t="s">
        <v>138</v>
      </c>
      <c r="K327" s="14" t="n">
        <f aca="false">IF(ISNUMBER(G327),G327*$F327,"—")</f>
        <v>139536.4</v>
      </c>
      <c r="L327" s="14" t="str">
        <f aca="false">IF(ISNUMBER(H327),H327*$F327,"—")</f>
        <v>—</v>
      </c>
      <c r="M327" s="14" t="n">
        <f aca="false">IF(ISNUMBER(I327),I327*$F327,"—")</f>
        <v>154890.53</v>
      </c>
      <c r="N327" s="14" t="str">
        <f aca="false">IF(ISNUMBER(J327),J327*$F327,"—")</f>
        <v>—</v>
      </c>
      <c r="O327" s="77" t="n">
        <f aca="false">IF($S327=0,"—",MIN(G327:J327))</f>
        <v>240.58</v>
      </c>
      <c r="P327" s="42" t="str">
        <f aca="false">IF($S327=0,"—",IF(COUNTIF(G327:J327,O327)&gt;1,"Tie",INDEX($G$6:$J$6,MATCH(O327,G327:J327,0))))</f>
        <v>Ferguson</v>
      </c>
      <c r="Q327" s="48" t="n">
        <f aca="false">IF($S327&gt;=2,MAX(G327:J327)/MIN(G327:J327)-1,"—")</f>
        <v>0.110036735934136</v>
      </c>
      <c r="R327" s="78" t="n">
        <f aca="false">IF($S327&gt;=2,(MAX(G327:J327)-MIN(G327:J327))*$F327,"—")</f>
        <v>15354.13</v>
      </c>
      <c r="S327" s="18" t="n">
        <f aca="false">COUNT(G327:J327)</f>
        <v>2</v>
      </c>
      <c r="T327" s="79" t="str">
        <f aca="false">IF($S327&lt;=1,IF($S327=1,"Single quote","—"),"Alt spec – verify")</f>
        <v>Alt spec – verify</v>
      </c>
      <c r="U327" s="79" t="str">
        <f aca="false">IF(COUNT(W327:Z327)&lt;2,"",IF(MAX(W327:Z327)=MIN(W327:Z327),"OK","Qty differs"))</f>
        <v>OK</v>
      </c>
      <c r="V327" s="80" t="s">
        <v>820</v>
      </c>
      <c r="W327" s="81" t="n">
        <f aca="false">IF(COUNTIFS('Quote Lines'!$P$3:$P$805,$A327&amp;"|"&amp;G$6&amp;"|1",'Quote Lines'!$M$3:$M$805,"Y")=0,"",SUMIFS('Quote Lines'!$L$3:$L$805,'Quote Lines'!$P$3:$P$805,$A327&amp;"|"&amp;G$6&amp;"|1",'Quote Lines'!$M$3:$M$805,"Y"))</f>
        <v>580</v>
      </c>
      <c r="X327" s="81"/>
      <c r="Y327" s="81" t="n">
        <f aca="false">IF(COUNTIFS('Quote Lines'!$P$3:$P$805,$A327&amp;"|"&amp;I$6&amp;"|1",'Quote Lines'!$M$3:$M$805,"Y")=0,"",SUMIFS('Quote Lines'!$L$3:$L$805,'Quote Lines'!$P$3:$P$805,$A327&amp;"|"&amp;I$6&amp;"|1",'Quote Lines'!$M$3:$M$805,"Y"))</f>
        <v>580</v>
      </c>
      <c r="Z327" s="81"/>
      <c r="AA327" s="82" t="n">
        <f aca="false">IF(ISNUMBER(G327),1+SUMPRODUCT(ISNUMBER($G327:$J327)*($G327:$J327&lt;G327)),"")</f>
        <v>1</v>
      </c>
      <c r="AB327" s="82" t="str">
        <f aca="false">IF(ISNUMBER(H327),1+SUMPRODUCT(ISNUMBER($G327:$J327)*($G327:$J327&lt;H327)),"")</f>
        <v/>
      </c>
      <c r="AC327" s="82" t="n">
        <f aca="false">IF(ISNUMBER(I327),1+SUMPRODUCT(ISNUMBER($G327:$J327)*($G327:$J327&lt;I327)),"")</f>
        <v>2</v>
      </c>
      <c r="AD327" s="82" t="str">
        <f aca="false">IF(ISNUMBER(J327),1+SUMPRODUCT(ISNUMBER($G327:$J327)*($G327:$J327&lt;J327)),"")</f>
        <v/>
      </c>
      <c r="AE327" s="82" t="n">
        <f aca="false">IF(NOT(ISNUMBER(G327)),0,IF($S327&lt;2,5,IF(AA327=1,1,IF(G327=MAX($G327:$J327),4,IF(AA327=2,2,3)))))</f>
        <v>1</v>
      </c>
      <c r="AF327" s="82" t="n">
        <f aca="false">IF(NOT(ISNUMBER(H327)),0,IF($S327&lt;2,5,IF(AB327=1,1,IF(H327=MAX($G327:$J327),4,IF(AB327=2,2,3)))))</f>
        <v>0</v>
      </c>
      <c r="AG327" s="82" t="n">
        <f aca="false">IF(NOT(ISNUMBER(I327)),0,IF($S327&lt;2,5,IF(AC327=1,1,IF(I327=MAX($G327:$J327),4,IF(AC327=2,2,3)))))</f>
        <v>4</v>
      </c>
      <c r="AH327" s="82" t="n">
        <f aca="false">IF(NOT(ISNUMBER(J327)),0,IF($S327&lt;2,5,IF(AD327=1,1,IF(J327=MAX($G327:$J327),4,IF(AD327=2,2,3)))))</f>
        <v>0</v>
      </c>
      <c r="AI327" s="83" t="n">
        <f aca="false">IF($S327&gt;=2,IF(ISNUMBER(G327),G327*$F327,MIN($G327:$J327)*$F327),0)</f>
        <v>139536.4</v>
      </c>
      <c r="AJ327" s="83" t="n">
        <f aca="false">IF($S327&gt;=2,IF(ISNUMBER(H327),H327*$F327,MIN($G327:$J327)*$F327),0)</f>
        <v>139536.4</v>
      </c>
      <c r="AK327" s="83" t="n">
        <f aca="false">IF($S327&gt;=2,IF(ISNUMBER(I327),I327*$F327,MIN($G327:$J327)*$F327),0)</f>
        <v>154890.53</v>
      </c>
      <c r="AL327" s="83" t="n">
        <f aca="false">IF($S327&gt;=2,IF(ISNUMBER(J327),J327*$F327,MIN($G327:$J327)*$F327),0)</f>
        <v>139536.4</v>
      </c>
      <c r="AM327" s="84" t="n">
        <f aca="false">IF($S327&gt;=2,$R327+ROW()/1000000,"")</f>
        <v>15354.130327</v>
      </c>
      <c r="AN327" s="83" t="n">
        <f aca="false">IF($S327&gt;=2,MAX(G327:J327),"")</f>
        <v>267.052637931035</v>
      </c>
      <c r="AO327" s="82" t="str">
        <f aca="false">IF($S327&gt;=2,INDEX($G$6:$J$6,MATCH(MAX(G327:J327),G327:J327,0)),"")</f>
        <v>Mountainland</v>
      </c>
      <c r="AP327" s="83" t="n">
        <f aca="false">IF($S327&gt;=2,MIN(G327:J327)*$F327,0)</f>
        <v>139536.4</v>
      </c>
      <c r="AQ327" s="82" t="str">
        <f aca="false">IF($S327&gt;=2,INDEX($G$6:$J$6,MATCH(MIN(G327:J327),G327:J327,0)),"")</f>
        <v>Ferguson</v>
      </c>
    </row>
    <row r="328" customFormat="false" ht="15" hidden="false" customHeight="true" outlineLevel="0" collapsed="false">
      <c r="A328" s="70" t="s">
        <v>821</v>
      </c>
      <c r="B328" s="71" t="s">
        <v>782</v>
      </c>
      <c r="C328" s="72" t="s">
        <v>739</v>
      </c>
      <c r="D328" s="73" t="s">
        <v>822</v>
      </c>
      <c r="E328" s="74" t="s">
        <v>133</v>
      </c>
      <c r="F328" s="75" t="n">
        <v>117</v>
      </c>
      <c r="G328" s="76" t="n">
        <f aca="false">IF(COUNTIF('Quote Lines'!$P$3:$P$805,$A328&amp;"|"&amp;G$6&amp;"|1")=0,"—",SUMIFS('Quote Lines'!$O$3:$O$805,'Quote Lines'!$P$3:$P$805,$A328&amp;"|"&amp;G$6&amp;"|1")/SUMIFS('Quote Lines'!$L$3:$L$805,'Quote Lines'!$P$3:$P$805,$A328&amp;"|"&amp;G$6&amp;"|1"))</f>
        <v>437.65</v>
      </c>
      <c r="H328" s="87" t="s">
        <v>823</v>
      </c>
      <c r="I328" s="76" t="n">
        <f aca="false">IF(COUNTIF('Quote Lines'!$P$3:$P$805,$A328&amp;"|"&amp;I$6&amp;"|1")=0,"—",SUMIFS('Quote Lines'!$O$3:$O$805,'Quote Lines'!$P$3:$P$805,$A328&amp;"|"&amp;I$6&amp;"|1")/SUMIFS('Quote Lines'!$L$3:$L$805,'Quote Lines'!$P$3:$P$805,$A328&amp;"|"&amp;I$6&amp;"|1"))</f>
        <v>363.75</v>
      </c>
      <c r="J328" s="85" t="s">
        <v>138</v>
      </c>
      <c r="K328" s="14" t="n">
        <f aca="false">IF(ISNUMBER(G328),G328*$F328,"—")</f>
        <v>51205.05</v>
      </c>
      <c r="L328" s="14" t="str">
        <f aca="false">IF(ISNUMBER(H328),H328*$F328,"—")</f>
        <v>—</v>
      </c>
      <c r="M328" s="14" t="n">
        <f aca="false">IF(ISNUMBER(I328),I328*$F328,"—")</f>
        <v>42558.75</v>
      </c>
      <c r="N328" s="14" t="str">
        <f aca="false">IF(ISNUMBER(J328),J328*$F328,"—")</f>
        <v>—</v>
      </c>
      <c r="O328" s="77" t="n">
        <f aca="false">IF($S328=0,"—",MIN(G328:J328))</f>
        <v>363.75</v>
      </c>
      <c r="P328" s="42" t="str">
        <f aca="false">IF($S328=0,"—",IF(COUNTIF(G328:J328,O328)&gt;1,"Tie",INDEX($G$6:$J$6,MATCH(O328,G328:J328,0))))</f>
        <v>Mountainland</v>
      </c>
      <c r="Q328" s="48" t="n">
        <f aca="false">IF($S328&gt;=2,MAX(G328:J328)/MIN(G328:J328)-1,"—")</f>
        <v>0.203161512027491</v>
      </c>
      <c r="R328" s="78" t="n">
        <f aca="false">IF($S328&gt;=2,(MAX(G328:J328)-MIN(G328:J328))*$F328,"—")</f>
        <v>8646.30000000001</v>
      </c>
      <c r="S328" s="18" t="n">
        <f aca="false">COUNT(G328:J328)</f>
        <v>2</v>
      </c>
      <c r="T328" s="79" t="str">
        <f aca="false">IF($S328&lt;=1,IF($S328=1,"Single quote","—"),"Like-for-like")</f>
        <v>Like-for-like</v>
      </c>
      <c r="U328" s="79" t="str">
        <f aca="false">IF(COUNT(W328:Z328)&lt;2,"",IF(MAX(W328:Z328)=MIN(W328:Z328),"OK","Qty differs"))</f>
        <v>Qty differs</v>
      </c>
      <c r="V328" s="80" t="s">
        <v>824</v>
      </c>
      <c r="W328" s="81" t="n">
        <f aca="false">IF(COUNTIFS('Quote Lines'!$P$3:$P$805,$A328&amp;"|"&amp;G$6&amp;"|1",'Quote Lines'!$M$3:$M$805,"Y")=0,"",SUMIFS('Quote Lines'!$L$3:$L$805,'Quote Lines'!$P$3:$P$805,$A328&amp;"|"&amp;G$6&amp;"|1",'Quote Lines'!$M$3:$M$805,"Y"))</f>
        <v>97</v>
      </c>
      <c r="X328" s="81"/>
      <c r="Y328" s="81" t="n">
        <f aca="false">IF(COUNTIFS('Quote Lines'!$P$3:$P$805,$A328&amp;"|"&amp;I$6&amp;"|1",'Quote Lines'!$M$3:$M$805,"Y")=0,"",SUMIFS('Quote Lines'!$L$3:$L$805,'Quote Lines'!$P$3:$P$805,$A328&amp;"|"&amp;I$6&amp;"|1",'Quote Lines'!$M$3:$M$805,"Y"))</f>
        <v>117</v>
      </c>
      <c r="Z328" s="81"/>
      <c r="AA328" s="82" t="n">
        <f aca="false">IF(ISNUMBER(G328),1+SUMPRODUCT(ISNUMBER($G328:$J328)*($G328:$J328&lt;G328)),"")</f>
        <v>2</v>
      </c>
      <c r="AB328" s="82" t="str">
        <f aca="false">IF(ISNUMBER(H328),1+SUMPRODUCT(ISNUMBER($G328:$J328)*($G328:$J328&lt;H328)),"")</f>
        <v/>
      </c>
      <c r="AC328" s="82" t="n">
        <f aca="false">IF(ISNUMBER(I328),1+SUMPRODUCT(ISNUMBER($G328:$J328)*($G328:$J328&lt;I328)),"")</f>
        <v>1</v>
      </c>
      <c r="AD328" s="82" t="str">
        <f aca="false">IF(ISNUMBER(J328),1+SUMPRODUCT(ISNUMBER($G328:$J328)*($G328:$J328&lt;J328)),"")</f>
        <v/>
      </c>
      <c r="AE328" s="82" t="n">
        <f aca="false">IF(NOT(ISNUMBER(G328)),0,IF($S328&lt;2,5,IF(AA328=1,1,IF(G328=MAX($G328:$J328),4,IF(AA328=2,2,3)))))</f>
        <v>4</v>
      </c>
      <c r="AF328" s="82" t="n">
        <f aca="false">IF(NOT(ISNUMBER(H328)),0,IF($S328&lt;2,5,IF(AB328=1,1,IF(H328=MAX($G328:$J328),4,IF(AB328=2,2,3)))))</f>
        <v>0</v>
      </c>
      <c r="AG328" s="82" t="n">
        <f aca="false">IF(NOT(ISNUMBER(I328)),0,IF($S328&lt;2,5,IF(AC328=1,1,IF(I328=MAX($G328:$J328),4,IF(AC328=2,2,3)))))</f>
        <v>1</v>
      </c>
      <c r="AH328" s="82" t="n">
        <f aca="false">IF(NOT(ISNUMBER(J328)),0,IF($S328&lt;2,5,IF(AD328=1,1,IF(J328=MAX($G328:$J328),4,IF(AD328=2,2,3)))))</f>
        <v>0</v>
      </c>
      <c r="AI328" s="83" t="n">
        <f aca="false">IF($S328&gt;=2,IF(ISNUMBER(G328),G328*$F328,MIN($G328:$J328)*$F328),0)</f>
        <v>51205.05</v>
      </c>
      <c r="AJ328" s="83" t="n">
        <f aca="false">IF($S328&gt;=2,IF(ISNUMBER(H328),H328*$F328,MIN($G328:$J328)*$F328),0)</f>
        <v>42558.75</v>
      </c>
      <c r="AK328" s="83" t="n">
        <f aca="false">IF($S328&gt;=2,IF(ISNUMBER(I328),I328*$F328,MIN($G328:$J328)*$F328),0)</f>
        <v>42558.75</v>
      </c>
      <c r="AL328" s="83" t="n">
        <f aca="false">IF($S328&gt;=2,IF(ISNUMBER(J328),J328*$F328,MIN($G328:$J328)*$F328),0)</f>
        <v>42558.75</v>
      </c>
      <c r="AM328" s="84" t="n">
        <f aca="false">IF($S328&gt;=2,$R328+ROW()/1000000,"")</f>
        <v>8646.30032800001</v>
      </c>
      <c r="AN328" s="83" t="n">
        <f aca="false">IF($S328&gt;=2,MAX(G328:J328),"")</f>
        <v>437.65</v>
      </c>
      <c r="AO328" s="82" t="str">
        <f aca="false">IF($S328&gt;=2,INDEX($G$6:$J$6,MATCH(MAX(G328:J328),G328:J328,0)),"")</f>
        <v>Ferguson</v>
      </c>
      <c r="AP328" s="83" t="n">
        <f aca="false">IF($S328&gt;=2,MIN(G328:J328)*$F328,0)</f>
        <v>42558.75</v>
      </c>
      <c r="AQ328" s="82" t="str">
        <f aca="false">IF($S328&gt;=2,INDEX($G$6:$J$6,MATCH(MIN(G328:J328),G328:J328,0)),"")</f>
        <v>Mountainland</v>
      </c>
    </row>
    <row r="329" customFormat="false" ht="15" hidden="false" customHeight="true" outlineLevel="0" collapsed="false">
      <c r="A329" s="70" t="s">
        <v>825</v>
      </c>
      <c r="B329" s="71" t="s">
        <v>782</v>
      </c>
      <c r="C329" s="72" t="s">
        <v>739</v>
      </c>
      <c r="D329" s="73" t="s">
        <v>826</v>
      </c>
      <c r="E329" s="74" t="s">
        <v>133</v>
      </c>
      <c r="F329" s="75" t="n">
        <v>2</v>
      </c>
      <c r="G329" s="76" t="n">
        <f aca="false">IF(COUNTIF('Quote Lines'!$P$3:$P$805,$A329&amp;"|"&amp;G$6&amp;"|1")=0,"—",SUMIFS('Quote Lines'!$O$3:$O$805,'Quote Lines'!$P$3:$P$805,$A329&amp;"|"&amp;G$6&amp;"|1")/SUMIFS('Quote Lines'!$L$3:$L$805,'Quote Lines'!$P$3:$P$805,$A329&amp;"|"&amp;G$6&amp;"|1"))</f>
        <v>328.24</v>
      </c>
      <c r="H329" s="87" t="s">
        <v>823</v>
      </c>
      <c r="I329" s="76" t="n">
        <f aca="false">IF(COUNTIF('Quote Lines'!$P$3:$P$805,$A329&amp;"|"&amp;I$6&amp;"|1")=0,"—",SUMIFS('Quote Lines'!$O$3:$O$805,'Quote Lines'!$P$3:$P$805,$A329&amp;"|"&amp;I$6&amp;"|1")/SUMIFS('Quote Lines'!$L$3:$L$805,'Quote Lines'!$P$3:$P$805,$A329&amp;"|"&amp;I$6&amp;"|1"))</f>
        <v>337.5</v>
      </c>
      <c r="J329" s="85" t="s">
        <v>138</v>
      </c>
      <c r="K329" s="14" t="n">
        <f aca="false">IF(ISNUMBER(G329),G329*$F329,"—")</f>
        <v>656.48</v>
      </c>
      <c r="L329" s="14" t="str">
        <f aca="false">IF(ISNUMBER(H329),H329*$F329,"—")</f>
        <v>—</v>
      </c>
      <c r="M329" s="14" t="n">
        <f aca="false">IF(ISNUMBER(I329),I329*$F329,"—")</f>
        <v>675</v>
      </c>
      <c r="N329" s="14" t="str">
        <f aca="false">IF(ISNUMBER(J329),J329*$F329,"—")</f>
        <v>—</v>
      </c>
      <c r="O329" s="77" t="n">
        <f aca="false">IF($S329=0,"—",MIN(G329:J329))</f>
        <v>328.24</v>
      </c>
      <c r="P329" s="42" t="str">
        <f aca="false">IF($S329=0,"—",IF(COUNTIF(G329:J329,O329)&gt;1,"Tie",INDEX($G$6:$J$6,MATCH(O329,G329:J329,0))))</f>
        <v>Ferguson</v>
      </c>
      <c r="Q329" s="48" t="n">
        <f aca="false">IF($S329&gt;=2,MAX(G329:J329)/MIN(G329:J329)-1,"—")</f>
        <v>0.0282110650743359</v>
      </c>
      <c r="R329" s="78" t="n">
        <f aca="false">IF($S329&gt;=2,(MAX(G329:J329)-MIN(G329:J329))*$F329,"—")</f>
        <v>18.52</v>
      </c>
      <c r="S329" s="18" t="n">
        <f aca="false">COUNT(G329:J329)</f>
        <v>2</v>
      </c>
      <c r="T329" s="79" t="str">
        <f aca="false">IF($S329&lt;=1,IF($S329=1,"Single quote","—"),"Like-for-like")</f>
        <v>Like-for-like</v>
      </c>
      <c r="U329" s="79" t="str">
        <f aca="false">IF(COUNT(W329:Z329)&lt;2,"",IF(MAX(W329:Z329)=MIN(W329:Z329),"OK","Qty differs"))</f>
        <v>OK</v>
      </c>
      <c r="V329" s="80" t="s">
        <v>824</v>
      </c>
      <c r="W329" s="81" t="n">
        <f aca="false">IF(COUNTIFS('Quote Lines'!$P$3:$P$805,$A329&amp;"|"&amp;G$6&amp;"|1",'Quote Lines'!$M$3:$M$805,"Y")=0,"",SUMIFS('Quote Lines'!$L$3:$L$805,'Quote Lines'!$P$3:$P$805,$A329&amp;"|"&amp;G$6&amp;"|1",'Quote Lines'!$M$3:$M$805,"Y"))</f>
        <v>2</v>
      </c>
      <c r="X329" s="81"/>
      <c r="Y329" s="81" t="n">
        <f aca="false">IF(COUNTIFS('Quote Lines'!$P$3:$P$805,$A329&amp;"|"&amp;I$6&amp;"|1",'Quote Lines'!$M$3:$M$805,"Y")=0,"",SUMIFS('Quote Lines'!$L$3:$L$805,'Quote Lines'!$P$3:$P$805,$A329&amp;"|"&amp;I$6&amp;"|1",'Quote Lines'!$M$3:$M$805,"Y"))</f>
        <v>2</v>
      </c>
      <c r="Z329" s="81"/>
      <c r="AA329" s="82" t="n">
        <f aca="false">IF(ISNUMBER(G329),1+SUMPRODUCT(ISNUMBER($G329:$J329)*($G329:$J329&lt;G329)),"")</f>
        <v>1</v>
      </c>
      <c r="AB329" s="82" t="str">
        <f aca="false">IF(ISNUMBER(H329),1+SUMPRODUCT(ISNUMBER($G329:$J329)*($G329:$J329&lt;H329)),"")</f>
        <v/>
      </c>
      <c r="AC329" s="82" t="n">
        <f aca="false">IF(ISNUMBER(I329),1+SUMPRODUCT(ISNUMBER($G329:$J329)*($G329:$J329&lt;I329)),"")</f>
        <v>2</v>
      </c>
      <c r="AD329" s="82" t="str">
        <f aca="false">IF(ISNUMBER(J329),1+SUMPRODUCT(ISNUMBER($G329:$J329)*($G329:$J329&lt;J329)),"")</f>
        <v/>
      </c>
      <c r="AE329" s="82" t="n">
        <f aca="false">IF(NOT(ISNUMBER(G329)),0,IF($S329&lt;2,5,IF(AA329=1,1,IF(G329=MAX($G329:$J329),4,IF(AA329=2,2,3)))))</f>
        <v>1</v>
      </c>
      <c r="AF329" s="82" t="n">
        <f aca="false">IF(NOT(ISNUMBER(H329)),0,IF($S329&lt;2,5,IF(AB329=1,1,IF(H329=MAX($G329:$J329),4,IF(AB329=2,2,3)))))</f>
        <v>0</v>
      </c>
      <c r="AG329" s="82" t="n">
        <f aca="false">IF(NOT(ISNUMBER(I329)),0,IF($S329&lt;2,5,IF(AC329=1,1,IF(I329=MAX($G329:$J329),4,IF(AC329=2,2,3)))))</f>
        <v>4</v>
      </c>
      <c r="AH329" s="82" t="n">
        <f aca="false">IF(NOT(ISNUMBER(J329)),0,IF($S329&lt;2,5,IF(AD329=1,1,IF(J329=MAX($G329:$J329),4,IF(AD329=2,2,3)))))</f>
        <v>0</v>
      </c>
      <c r="AI329" s="83" t="n">
        <f aca="false">IF($S329&gt;=2,IF(ISNUMBER(G329),G329*$F329,MIN($G329:$J329)*$F329),0)</f>
        <v>656.48</v>
      </c>
      <c r="AJ329" s="83" t="n">
        <f aca="false">IF($S329&gt;=2,IF(ISNUMBER(H329),H329*$F329,MIN($G329:$J329)*$F329),0)</f>
        <v>656.48</v>
      </c>
      <c r="AK329" s="83" t="n">
        <f aca="false">IF($S329&gt;=2,IF(ISNUMBER(I329),I329*$F329,MIN($G329:$J329)*$F329),0)</f>
        <v>675</v>
      </c>
      <c r="AL329" s="83" t="n">
        <f aca="false">IF($S329&gt;=2,IF(ISNUMBER(J329),J329*$F329,MIN($G329:$J329)*$F329),0)</f>
        <v>656.48</v>
      </c>
      <c r="AM329" s="84" t="n">
        <f aca="false">IF($S329&gt;=2,$R329+ROW()/1000000,"")</f>
        <v>18.520329</v>
      </c>
      <c r="AN329" s="83" t="n">
        <f aca="false">IF($S329&gt;=2,MAX(G329:J329),"")</f>
        <v>337.5</v>
      </c>
      <c r="AO329" s="82" t="str">
        <f aca="false">IF($S329&gt;=2,INDEX($G$6:$J$6,MATCH(MAX(G329:J329),G329:J329,0)),"")</f>
        <v>Mountainland</v>
      </c>
      <c r="AP329" s="83" t="n">
        <f aca="false">IF($S329&gt;=2,MIN(G329:J329)*$F329,0)</f>
        <v>656.48</v>
      </c>
      <c r="AQ329" s="82" t="str">
        <f aca="false">IF($S329&gt;=2,INDEX($G$6:$J$6,MATCH(MIN(G329:J329),G329:J329,0)),"")</f>
        <v>Ferguson</v>
      </c>
    </row>
    <row r="330" customFormat="false" ht="15" hidden="false" customHeight="true" outlineLevel="0" collapsed="false">
      <c r="A330" s="70" t="s">
        <v>827</v>
      </c>
      <c r="B330" s="71" t="s">
        <v>782</v>
      </c>
      <c r="C330" s="72" t="s">
        <v>469</v>
      </c>
      <c r="D330" s="73" t="s">
        <v>828</v>
      </c>
      <c r="E330" s="74" t="s">
        <v>178</v>
      </c>
      <c r="F330" s="75" t="n">
        <v>1020</v>
      </c>
      <c r="G330" s="85" t="s">
        <v>138</v>
      </c>
      <c r="H330" s="76" t="n">
        <f aca="false">IF(COUNTIF('Quote Lines'!$P$3:$P$805,$A330&amp;"|"&amp;H$6&amp;"|1")=0,"—",SUMIFS('Quote Lines'!$O$3:$O$805,'Quote Lines'!$P$3:$P$805,$A330&amp;"|"&amp;H$6&amp;"|1")/SUMIFS('Quote Lines'!$L$3:$L$805,'Quote Lines'!$P$3:$P$805,$A330&amp;"|"&amp;H$6&amp;"|1"))</f>
        <v>1.45</v>
      </c>
      <c r="I330" s="85" t="s">
        <v>138</v>
      </c>
      <c r="J330" s="85" t="s">
        <v>138</v>
      </c>
      <c r="K330" s="14" t="str">
        <f aca="false">IF(ISNUMBER(G330),G330*$F330,"—")</f>
        <v>—</v>
      </c>
      <c r="L330" s="14" t="n">
        <f aca="false">IF(ISNUMBER(H330),H330*$F330,"—")</f>
        <v>1479</v>
      </c>
      <c r="M330" s="14" t="str">
        <f aca="false">IF(ISNUMBER(I330),I330*$F330,"—")</f>
        <v>—</v>
      </c>
      <c r="N330" s="14" t="str">
        <f aca="false">IF(ISNUMBER(J330),J330*$F330,"—")</f>
        <v>—</v>
      </c>
      <c r="O330" s="77" t="n">
        <f aca="false">IF($S330=0,"—",MIN(G330:J330))</f>
        <v>1.45</v>
      </c>
      <c r="P330" s="42" t="str">
        <f aca="false">IF($S330=0,"—",IF(COUNTIF(G330:J330,O330)&gt;1,"Tie",INDEX($G$6:$J$6,MATCH(O330,G330:J330,0))))</f>
        <v>HD Fowler</v>
      </c>
      <c r="Q330" s="48" t="str">
        <f aca="false">IF($S330&gt;=2,MAX(G330:J330)/MIN(G330:J330)-1,"—")</f>
        <v>—</v>
      </c>
      <c r="R330" s="78" t="str">
        <f aca="false">IF($S330&gt;=2,(MAX(G330:J330)-MIN(G330:J330))*$F330,"—")</f>
        <v>—</v>
      </c>
      <c r="S330" s="18" t="n">
        <f aca="false">COUNT(G330:J330)</f>
        <v>1</v>
      </c>
      <c r="T330" s="79" t="str">
        <f aca="false">IF($S330&lt;=1,IF($S330=1,"Single quote","—"),"Like-for-like")</f>
        <v>Single quote</v>
      </c>
      <c r="U330" s="79" t="str">
        <f aca="false">IF(COUNT(W330:Z330)&lt;2,"",IF(MAX(W330:Z330)=MIN(W330:Z330),"OK","Qty differs"))</f>
        <v/>
      </c>
      <c r="V330" s="80"/>
      <c r="W330" s="81"/>
      <c r="X330" s="81" t="n">
        <f aca="false">IF(COUNTIFS('Quote Lines'!$P$3:$P$805,$A330&amp;"|"&amp;H$6&amp;"|1",'Quote Lines'!$M$3:$M$805,"Y")=0,"",SUMIFS('Quote Lines'!$L$3:$L$805,'Quote Lines'!$P$3:$P$805,$A330&amp;"|"&amp;H$6&amp;"|1",'Quote Lines'!$M$3:$M$805,"Y"))</f>
        <v>1020</v>
      </c>
      <c r="Y330" s="81"/>
      <c r="Z330" s="81"/>
      <c r="AA330" s="82" t="str">
        <f aca="false">IF(ISNUMBER(G330),1+SUMPRODUCT(ISNUMBER($G330:$J330)*($G330:$J330&lt;G330)),"")</f>
        <v/>
      </c>
      <c r="AB330" s="82" t="n">
        <f aca="false">IF(ISNUMBER(H330),1+SUMPRODUCT(ISNUMBER($G330:$J330)*($G330:$J330&lt;H330)),"")</f>
        <v>1</v>
      </c>
      <c r="AC330" s="82" t="str">
        <f aca="false">IF(ISNUMBER(I330),1+SUMPRODUCT(ISNUMBER($G330:$J330)*($G330:$J330&lt;I330)),"")</f>
        <v/>
      </c>
      <c r="AD330" s="82" t="str">
        <f aca="false">IF(ISNUMBER(J330),1+SUMPRODUCT(ISNUMBER($G330:$J330)*($G330:$J330&lt;J330)),"")</f>
        <v/>
      </c>
      <c r="AE330" s="82" t="n">
        <f aca="false">IF(NOT(ISNUMBER(G330)),0,IF($S330&lt;2,5,IF(AA330=1,1,IF(G330=MAX($G330:$J330),4,IF(AA330=2,2,3)))))</f>
        <v>0</v>
      </c>
      <c r="AF330" s="82" t="n">
        <f aca="false">IF(NOT(ISNUMBER(H330)),0,IF($S330&lt;2,5,IF(AB330=1,1,IF(H330=MAX($G330:$J330),4,IF(AB330=2,2,3)))))</f>
        <v>5</v>
      </c>
      <c r="AG330" s="82" t="n">
        <f aca="false">IF(NOT(ISNUMBER(I330)),0,IF($S330&lt;2,5,IF(AC330=1,1,IF(I330=MAX($G330:$J330),4,IF(AC330=2,2,3)))))</f>
        <v>0</v>
      </c>
      <c r="AH330" s="82" t="n">
        <f aca="false">IF(NOT(ISNUMBER(J330)),0,IF($S330&lt;2,5,IF(AD330=1,1,IF(J330=MAX($G330:$J330),4,IF(AD330=2,2,3)))))</f>
        <v>0</v>
      </c>
      <c r="AI330" s="83" t="n">
        <f aca="false">IF($S330&gt;=2,IF(ISNUMBER(G330),G330*$F330,MIN($G330:$J330)*$F330),0)</f>
        <v>0</v>
      </c>
      <c r="AJ330" s="83" t="n">
        <f aca="false">IF($S330&gt;=2,IF(ISNUMBER(H330),H330*$F330,MIN($G330:$J330)*$F330),0)</f>
        <v>0</v>
      </c>
      <c r="AK330" s="83" t="n">
        <f aca="false">IF($S330&gt;=2,IF(ISNUMBER(I330),I330*$F330,MIN($G330:$J330)*$F330),0)</f>
        <v>0</v>
      </c>
      <c r="AL330" s="83" t="n">
        <f aca="false">IF($S330&gt;=2,IF(ISNUMBER(J330),J330*$F330,MIN($G330:$J330)*$F330),0)</f>
        <v>0</v>
      </c>
      <c r="AM330" s="84" t="str">
        <f aca="false">IF($S330&gt;=2,$R330+ROW()/1000000,"")</f>
        <v/>
      </c>
      <c r="AN330" s="83" t="str">
        <f aca="false">IF($S330&gt;=2,MAX(G330:J330),"")</f>
        <v/>
      </c>
      <c r="AO330" s="82" t="str">
        <f aca="false">IF($S330&gt;=2,INDEX($G$6:$J$6,MATCH(MAX(G330:J330),G330:J330,0)),"")</f>
        <v/>
      </c>
      <c r="AP330" s="83" t="n">
        <f aca="false">IF($S330&gt;=2,MIN(G330:J330)*$F330,0)</f>
        <v>0</v>
      </c>
      <c r="AQ330" s="82" t="str">
        <f aca="false">IF($S330&gt;=2,INDEX($G$6:$J$6,MATCH(MIN(G330:J330),G330:J330,0)),"")</f>
        <v/>
      </c>
    </row>
    <row r="331" customFormat="false" ht="15" hidden="false" customHeight="true" outlineLevel="0" collapsed="false">
      <c r="A331" s="70" t="s">
        <v>829</v>
      </c>
      <c r="B331" s="71" t="s">
        <v>782</v>
      </c>
      <c r="C331" s="72" t="s">
        <v>469</v>
      </c>
      <c r="D331" s="73" t="s">
        <v>472</v>
      </c>
      <c r="E331" s="74" t="s">
        <v>473</v>
      </c>
      <c r="F331" s="75" t="n">
        <v>15</v>
      </c>
      <c r="G331" s="85" t="s">
        <v>138</v>
      </c>
      <c r="H331" s="76" t="n">
        <f aca="false">IF(COUNTIF('Quote Lines'!$P$3:$P$805,$A331&amp;"|"&amp;H$6&amp;"|1")=0,"—",SUMIFS('Quote Lines'!$O$3:$O$805,'Quote Lines'!$P$3:$P$805,$A331&amp;"|"&amp;H$6&amp;"|1")/SUMIFS('Quote Lines'!$L$3:$L$805,'Quote Lines'!$P$3:$P$805,$A331&amp;"|"&amp;H$6&amp;"|1"))</f>
        <v>6.64</v>
      </c>
      <c r="I331" s="85" t="s">
        <v>138</v>
      </c>
      <c r="J331" s="85" t="s">
        <v>138</v>
      </c>
      <c r="K331" s="14" t="str">
        <f aca="false">IF(ISNUMBER(G331),G331*$F331,"—")</f>
        <v>—</v>
      </c>
      <c r="L331" s="14" t="n">
        <f aca="false">IF(ISNUMBER(H331),H331*$F331,"—")</f>
        <v>99.6</v>
      </c>
      <c r="M331" s="14" t="str">
        <f aca="false">IF(ISNUMBER(I331),I331*$F331,"—")</f>
        <v>—</v>
      </c>
      <c r="N331" s="14" t="str">
        <f aca="false">IF(ISNUMBER(J331),J331*$F331,"—")</f>
        <v>—</v>
      </c>
      <c r="O331" s="77" t="n">
        <f aca="false">IF($S331=0,"—",MIN(G331:J331))</f>
        <v>6.64</v>
      </c>
      <c r="P331" s="42" t="str">
        <f aca="false">IF($S331=0,"—",IF(COUNTIF(G331:J331,O331)&gt;1,"Tie",INDEX($G$6:$J$6,MATCH(O331,G331:J331,0))))</f>
        <v>HD Fowler</v>
      </c>
      <c r="Q331" s="48" t="str">
        <f aca="false">IF($S331&gt;=2,MAX(G331:J331)/MIN(G331:J331)-1,"—")</f>
        <v>—</v>
      </c>
      <c r="R331" s="78" t="str">
        <f aca="false">IF($S331&gt;=2,(MAX(G331:J331)-MIN(G331:J331))*$F331,"—")</f>
        <v>—</v>
      </c>
      <c r="S331" s="18" t="n">
        <f aca="false">COUNT(G331:J331)</f>
        <v>1</v>
      </c>
      <c r="T331" s="79" t="str">
        <f aca="false">IF($S331&lt;=1,IF($S331=1,"Single quote","—"),"Like-for-like")</f>
        <v>Single quote</v>
      </c>
      <c r="U331" s="79" t="str">
        <f aca="false">IF(COUNT(W331:Z331)&lt;2,"",IF(MAX(W331:Z331)=MIN(W331:Z331),"OK","Qty differs"))</f>
        <v/>
      </c>
      <c r="V331" s="80"/>
      <c r="W331" s="81"/>
      <c r="X331" s="81" t="n">
        <f aca="false">IF(COUNTIFS('Quote Lines'!$P$3:$P$805,$A331&amp;"|"&amp;H$6&amp;"|1",'Quote Lines'!$M$3:$M$805,"Y")=0,"",SUMIFS('Quote Lines'!$L$3:$L$805,'Quote Lines'!$P$3:$P$805,$A331&amp;"|"&amp;H$6&amp;"|1",'Quote Lines'!$M$3:$M$805,"Y"))</f>
        <v>15</v>
      </c>
      <c r="Y331" s="81"/>
      <c r="Z331" s="81"/>
      <c r="AA331" s="82" t="str">
        <f aca="false">IF(ISNUMBER(G331),1+SUMPRODUCT(ISNUMBER($G331:$J331)*($G331:$J331&lt;G331)),"")</f>
        <v/>
      </c>
      <c r="AB331" s="82" t="n">
        <f aca="false">IF(ISNUMBER(H331),1+SUMPRODUCT(ISNUMBER($G331:$J331)*($G331:$J331&lt;H331)),"")</f>
        <v>1</v>
      </c>
      <c r="AC331" s="82" t="str">
        <f aca="false">IF(ISNUMBER(I331),1+SUMPRODUCT(ISNUMBER($G331:$J331)*($G331:$J331&lt;I331)),"")</f>
        <v/>
      </c>
      <c r="AD331" s="82" t="str">
        <f aca="false">IF(ISNUMBER(J331),1+SUMPRODUCT(ISNUMBER($G331:$J331)*($G331:$J331&lt;J331)),"")</f>
        <v/>
      </c>
      <c r="AE331" s="82" t="n">
        <f aca="false">IF(NOT(ISNUMBER(G331)),0,IF($S331&lt;2,5,IF(AA331=1,1,IF(G331=MAX($G331:$J331),4,IF(AA331=2,2,3)))))</f>
        <v>0</v>
      </c>
      <c r="AF331" s="82" t="n">
        <f aca="false">IF(NOT(ISNUMBER(H331)),0,IF($S331&lt;2,5,IF(AB331=1,1,IF(H331=MAX($G331:$J331),4,IF(AB331=2,2,3)))))</f>
        <v>5</v>
      </c>
      <c r="AG331" s="82" t="n">
        <f aca="false">IF(NOT(ISNUMBER(I331)),0,IF($S331&lt;2,5,IF(AC331=1,1,IF(I331=MAX($G331:$J331),4,IF(AC331=2,2,3)))))</f>
        <v>0</v>
      </c>
      <c r="AH331" s="82" t="n">
        <f aca="false">IF(NOT(ISNUMBER(J331)),0,IF($S331&lt;2,5,IF(AD331=1,1,IF(J331=MAX($G331:$J331),4,IF(AD331=2,2,3)))))</f>
        <v>0</v>
      </c>
      <c r="AI331" s="83" t="n">
        <f aca="false">IF($S331&gt;=2,IF(ISNUMBER(G331),G331*$F331,MIN($G331:$J331)*$F331),0)</f>
        <v>0</v>
      </c>
      <c r="AJ331" s="83" t="n">
        <f aca="false">IF($S331&gt;=2,IF(ISNUMBER(H331),H331*$F331,MIN($G331:$J331)*$F331),0)</f>
        <v>0</v>
      </c>
      <c r="AK331" s="83" t="n">
        <f aca="false">IF($S331&gt;=2,IF(ISNUMBER(I331),I331*$F331,MIN($G331:$J331)*$F331),0)</f>
        <v>0</v>
      </c>
      <c r="AL331" s="83" t="n">
        <f aca="false">IF($S331&gt;=2,IF(ISNUMBER(J331),J331*$F331,MIN($G331:$J331)*$F331),0)</f>
        <v>0</v>
      </c>
      <c r="AM331" s="84" t="str">
        <f aca="false">IF($S331&gt;=2,$R331+ROW()/1000000,"")</f>
        <v/>
      </c>
      <c r="AN331" s="83" t="str">
        <f aca="false">IF($S331&gt;=2,MAX(G331:J331),"")</f>
        <v/>
      </c>
      <c r="AO331" s="82" t="str">
        <f aca="false">IF($S331&gt;=2,INDEX($G$6:$J$6,MATCH(MAX(G331:J331),G331:J331,0)),"")</f>
        <v/>
      </c>
      <c r="AP331" s="83" t="n">
        <f aca="false">IF($S331&gt;=2,MIN(G331:J331)*$F331,0)</f>
        <v>0</v>
      </c>
      <c r="AQ331" s="82" t="str">
        <f aca="false">IF($S331&gt;=2,INDEX($G$6:$J$6,MATCH(MIN(G331:J331),G331:J331,0)),"")</f>
        <v/>
      </c>
    </row>
    <row r="332" customFormat="false" ht="15" hidden="false" customHeight="true" outlineLevel="0" collapsed="false">
      <c r="A332" s="70" t="s">
        <v>830</v>
      </c>
      <c r="B332" s="71" t="s">
        <v>782</v>
      </c>
      <c r="C332" s="72" t="s">
        <v>469</v>
      </c>
      <c r="D332" s="73" t="s">
        <v>475</v>
      </c>
      <c r="E332" s="74" t="s">
        <v>133</v>
      </c>
      <c r="F332" s="75" t="n">
        <v>2</v>
      </c>
      <c r="G332" s="85" t="s">
        <v>138</v>
      </c>
      <c r="H332" s="76" t="n">
        <f aca="false">IF(COUNTIF('Quote Lines'!$P$3:$P$805,$A332&amp;"|"&amp;H$6&amp;"|1")=0,"—",SUMIFS('Quote Lines'!$O$3:$O$805,'Quote Lines'!$P$3:$P$805,$A332&amp;"|"&amp;H$6&amp;"|1")/SUMIFS('Quote Lines'!$L$3:$L$805,'Quote Lines'!$P$3:$P$805,$A332&amp;"|"&amp;H$6&amp;"|1"))</f>
        <v>42.82</v>
      </c>
      <c r="I332" s="85" t="s">
        <v>138</v>
      </c>
      <c r="J332" s="85" t="s">
        <v>138</v>
      </c>
      <c r="K332" s="14" t="str">
        <f aca="false">IF(ISNUMBER(G332),G332*$F332,"—")</f>
        <v>—</v>
      </c>
      <c r="L332" s="14" t="n">
        <f aca="false">IF(ISNUMBER(H332),H332*$F332,"—")</f>
        <v>85.64</v>
      </c>
      <c r="M332" s="14" t="str">
        <f aca="false">IF(ISNUMBER(I332),I332*$F332,"—")</f>
        <v>—</v>
      </c>
      <c r="N332" s="14" t="str">
        <f aca="false">IF(ISNUMBER(J332),J332*$F332,"—")</f>
        <v>—</v>
      </c>
      <c r="O332" s="77" t="n">
        <f aca="false">IF($S332=0,"—",MIN(G332:J332))</f>
        <v>42.82</v>
      </c>
      <c r="P332" s="42" t="str">
        <f aca="false">IF($S332=0,"—",IF(COUNTIF(G332:J332,O332)&gt;1,"Tie",INDEX($G$6:$J$6,MATCH(O332,G332:J332,0))))</f>
        <v>HD Fowler</v>
      </c>
      <c r="Q332" s="48" t="str">
        <f aca="false">IF($S332&gt;=2,MAX(G332:J332)/MIN(G332:J332)-1,"—")</f>
        <v>—</v>
      </c>
      <c r="R332" s="78" t="str">
        <f aca="false">IF($S332&gt;=2,(MAX(G332:J332)-MIN(G332:J332))*$F332,"—")</f>
        <v>—</v>
      </c>
      <c r="S332" s="18" t="n">
        <f aca="false">COUNT(G332:J332)</f>
        <v>1</v>
      </c>
      <c r="T332" s="79" t="str">
        <f aca="false">IF($S332&lt;=1,IF($S332=1,"Single quote","—"),"Like-for-like")</f>
        <v>Single quote</v>
      </c>
      <c r="U332" s="79" t="str">
        <f aca="false">IF(COUNT(W332:Z332)&lt;2,"",IF(MAX(W332:Z332)=MIN(W332:Z332),"OK","Qty differs"))</f>
        <v/>
      </c>
      <c r="V332" s="80"/>
      <c r="W332" s="81"/>
      <c r="X332" s="81" t="n">
        <f aca="false">IF(COUNTIFS('Quote Lines'!$P$3:$P$805,$A332&amp;"|"&amp;H$6&amp;"|1",'Quote Lines'!$M$3:$M$805,"Y")=0,"",SUMIFS('Quote Lines'!$L$3:$L$805,'Quote Lines'!$P$3:$P$805,$A332&amp;"|"&amp;H$6&amp;"|1",'Quote Lines'!$M$3:$M$805,"Y"))</f>
        <v>2</v>
      </c>
      <c r="Y332" s="81"/>
      <c r="Z332" s="81"/>
      <c r="AA332" s="82" t="str">
        <f aca="false">IF(ISNUMBER(G332),1+SUMPRODUCT(ISNUMBER($G332:$J332)*($G332:$J332&lt;G332)),"")</f>
        <v/>
      </c>
      <c r="AB332" s="82" t="n">
        <f aca="false">IF(ISNUMBER(H332),1+SUMPRODUCT(ISNUMBER($G332:$J332)*($G332:$J332&lt;H332)),"")</f>
        <v>1</v>
      </c>
      <c r="AC332" s="82" t="str">
        <f aca="false">IF(ISNUMBER(I332),1+SUMPRODUCT(ISNUMBER($G332:$J332)*($G332:$J332&lt;I332)),"")</f>
        <v/>
      </c>
      <c r="AD332" s="82" t="str">
        <f aca="false">IF(ISNUMBER(J332),1+SUMPRODUCT(ISNUMBER($G332:$J332)*($G332:$J332&lt;J332)),"")</f>
        <v/>
      </c>
      <c r="AE332" s="82" t="n">
        <f aca="false">IF(NOT(ISNUMBER(G332)),0,IF($S332&lt;2,5,IF(AA332=1,1,IF(G332=MAX($G332:$J332),4,IF(AA332=2,2,3)))))</f>
        <v>0</v>
      </c>
      <c r="AF332" s="82" t="n">
        <f aca="false">IF(NOT(ISNUMBER(H332)),0,IF($S332&lt;2,5,IF(AB332=1,1,IF(H332=MAX($G332:$J332),4,IF(AB332=2,2,3)))))</f>
        <v>5</v>
      </c>
      <c r="AG332" s="82" t="n">
        <f aca="false">IF(NOT(ISNUMBER(I332)),0,IF($S332&lt;2,5,IF(AC332=1,1,IF(I332=MAX($G332:$J332),4,IF(AC332=2,2,3)))))</f>
        <v>0</v>
      </c>
      <c r="AH332" s="82" t="n">
        <f aca="false">IF(NOT(ISNUMBER(J332)),0,IF($S332&lt;2,5,IF(AD332=1,1,IF(J332=MAX($G332:$J332),4,IF(AD332=2,2,3)))))</f>
        <v>0</v>
      </c>
      <c r="AI332" s="83" t="n">
        <f aca="false">IF($S332&gt;=2,IF(ISNUMBER(G332),G332*$F332,MIN($G332:$J332)*$F332),0)</f>
        <v>0</v>
      </c>
      <c r="AJ332" s="83" t="n">
        <f aca="false">IF($S332&gt;=2,IF(ISNUMBER(H332),H332*$F332,MIN($G332:$J332)*$F332),0)</f>
        <v>0</v>
      </c>
      <c r="AK332" s="83" t="n">
        <f aca="false">IF($S332&gt;=2,IF(ISNUMBER(I332),I332*$F332,MIN($G332:$J332)*$F332),0)</f>
        <v>0</v>
      </c>
      <c r="AL332" s="83" t="n">
        <f aca="false">IF($S332&gt;=2,IF(ISNUMBER(J332),J332*$F332,MIN($G332:$J332)*$F332),0)</f>
        <v>0</v>
      </c>
      <c r="AM332" s="84" t="str">
        <f aca="false">IF($S332&gt;=2,$R332+ROW()/1000000,"")</f>
        <v/>
      </c>
      <c r="AN332" s="83" t="str">
        <f aca="false">IF($S332&gt;=2,MAX(G332:J332),"")</f>
        <v/>
      </c>
      <c r="AO332" s="82" t="str">
        <f aca="false">IF($S332&gt;=2,INDEX($G$6:$J$6,MATCH(MAX(G332:J332),G332:J332,0)),"")</f>
        <v/>
      </c>
      <c r="AP332" s="83" t="n">
        <f aca="false">IF($S332&gt;=2,MIN(G332:J332)*$F332,0)</f>
        <v>0</v>
      </c>
      <c r="AQ332" s="82" t="str">
        <f aca="false">IF($S332&gt;=2,INDEX($G$6:$J$6,MATCH(MIN(G332:J332),G332:J332,0)),"")</f>
        <v/>
      </c>
    </row>
    <row r="333" customFormat="false" ht="15" hidden="false" customHeight="true" outlineLevel="0" collapsed="false">
      <c r="A333" s="70" t="s">
        <v>831</v>
      </c>
      <c r="B333" s="71" t="s">
        <v>782</v>
      </c>
      <c r="C333" s="72" t="s">
        <v>469</v>
      </c>
      <c r="D333" s="73" t="s">
        <v>477</v>
      </c>
      <c r="E333" s="74" t="s">
        <v>133</v>
      </c>
      <c r="F333" s="75" t="n">
        <v>1</v>
      </c>
      <c r="G333" s="85" t="s">
        <v>138</v>
      </c>
      <c r="H333" s="76" t="n">
        <f aca="false">IF(COUNTIF('Quote Lines'!$P$3:$P$805,$A333&amp;"|"&amp;H$6&amp;"|1")=0,"—",SUMIFS('Quote Lines'!$O$3:$O$805,'Quote Lines'!$P$3:$P$805,$A333&amp;"|"&amp;H$6&amp;"|1")/SUMIFS('Quote Lines'!$L$3:$L$805,'Quote Lines'!$P$3:$P$805,$A333&amp;"|"&amp;H$6&amp;"|1"))</f>
        <v>647.81</v>
      </c>
      <c r="I333" s="85" t="s">
        <v>138</v>
      </c>
      <c r="J333" s="85" t="s">
        <v>138</v>
      </c>
      <c r="K333" s="14" t="str">
        <f aca="false">IF(ISNUMBER(G333),G333*$F333,"—")</f>
        <v>—</v>
      </c>
      <c r="L333" s="14" t="n">
        <f aca="false">IF(ISNUMBER(H333),H333*$F333,"—")</f>
        <v>647.81</v>
      </c>
      <c r="M333" s="14" t="str">
        <f aca="false">IF(ISNUMBER(I333),I333*$F333,"—")</f>
        <v>—</v>
      </c>
      <c r="N333" s="14" t="str">
        <f aca="false">IF(ISNUMBER(J333),J333*$F333,"—")</f>
        <v>—</v>
      </c>
      <c r="O333" s="77" t="n">
        <f aca="false">IF($S333=0,"—",MIN(G333:J333))</f>
        <v>647.81</v>
      </c>
      <c r="P333" s="42" t="str">
        <f aca="false">IF($S333=0,"—",IF(COUNTIF(G333:J333,O333)&gt;1,"Tie",INDEX($G$6:$J$6,MATCH(O333,G333:J333,0))))</f>
        <v>HD Fowler</v>
      </c>
      <c r="Q333" s="48" t="str">
        <f aca="false">IF($S333&gt;=2,MAX(G333:J333)/MIN(G333:J333)-1,"—")</f>
        <v>—</v>
      </c>
      <c r="R333" s="78" t="str">
        <f aca="false">IF($S333&gt;=2,(MAX(G333:J333)-MIN(G333:J333))*$F333,"—")</f>
        <v>—</v>
      </c>
      <c r="S333" s="18" t="n">
        <f aca="false">COUNT(G333:J333)</f>
        <v>1</v>
      </c>
      <c r="T333" s="79" t="str">
        <f aca="false">IF($S333&lt;=1,IF($S333=1,"Single quote","—"),"Like-for-like")</f>
        <v>Single quote</v>
      </c>
      <c r="U333" s="79" t="str">
        <f aca="false">IF(COUNT(W333:Z333)&lt;2,"",IF(MAX(W333:Z333)=MIN(W333:Z333),"OK","Qty differs"))</f>
        <v/>
      </c>
      <c r="V333" s="80" t="s">
        <v>478</v>
      </c>
      <c r="W333" s="81"/>
      <c r="X333" s="81" t="str">
        <f aca="false">IF(COUNTIFS('Quote Lines'!$P$3:$P$805,$A333&amp;"|"&amp;H$6&amp;"|1",'Quote Lines'!$M$3:$M$805,"Y")=0,"",SUMIFS('Quote Lines'!$L$3:$L$805,'Quote Lines'!$P$3:$P$805,$A333&amp;"|"&amp;H$6&amp;"|1",'Quote Lines'!$M$3:$M$805,"Y"))</f>
        <v/>
      </c>
      <c r="Y333" s="81"/>
      <c r="Z333" s="81"/>
      <c r="AA333" s="82" t="str">
        <f aca="false">IF(ISNUMBER(G333),1+SUMPRODUCT(ISNUMBER($G333:$J333)*($G333:$J333&lt;G333)),"")</f>
        <v/>
      </c>
      <c r="AB333" s="82" t="n">
        <f aca="false">IF(ISNUMBER(H333),1+SUMPRODUCT(ISNUMBER($G333:$J333)*($G333:$J333&lt;H333)),"")</f>
        <v>1</v>
      </c>
      <c r="AC333" s="82" t="str">
        <f aca="false">IF(ISNUMBER(I333),1+SUMPRODUCT(ISNUMBER($G333:$J333)*($G333:$J333&lt;I333)),"")</f>
        <v/>
      </c>
      <c r="AD333" s="82" t="str">
        <f aca="false">IF(ISNUMBER(J333),1+SUMPRODUCT(ISNUMBER($G333:$J333)*($G333:$J333&lt;J333)),"")</f>
        <v/>
      </c>
      <c r="AE333" s="82" t="n">
        <f aca="false">IF(NOT(ISNUMBER(G333)),0,IF($S333&lt;2,5,IF(AA333=1,1,IF(G333=MAX($G333:$J333),4,IF(AA333=2,2,3)))))</f>
        <v>0</v>
      </c>
      <c r="AF333" s="82" t="n">
        <f aca="false">IF(NOT(ISNUMBER(H333)),0,IF($S333&lt;2,5,IF(AB333=1,1,IF(H333=MAX($G333:$J333),4,IF(AB333=2,2,3)))))</f>
        <v>5</v>
      </c>
      <c r="AG333" s="82" t="n">
        <f aca="false">IF(NOT(ISNUMBER(I333)),0,IF($S333&lt;2,5,IF(AC333=1,1,IF(I333=MAX($G333:$J333),4,IF(AC333=2,2,3)))))</f>
        <v>0</v>
      </c>
      <c r="AH333" s="82" t="n">
        <f aca="false">IF(NOT(ISNUMBER(J333)),0,IF($S333&lt;2,5,IF(AD333=1,1,IF(J333=MAX($G333:$J333),4,IF(AD333=2,2,3)))))</f>
        <v>0</v>
      </c>
      <c r="AI333" s="83" t="n">
        <f aca="false">IF($S333&gt;=2,IF(ISNUMBER(G333),G333*$F333,MIN($G333:$J333)*$F333),0)</f>
        <v>0</v>
      </c>
      <c r="AJ333" s="83" t="n">
        <f aca="false">IF($S333&gt;=2,IF(ISNUMBER(H333),H333*$F333,MIN($G333:$J333)*$F333),0)</f>
        <v>0</v>
      </c>
      <c r="AK333" s="83" t="n">
        <f aca="false">IF($S333&gt;=2,IF(ISNUMBER(I333),I333*$F333,MIN($G333:$J333)*$F333),0)</f>
        <v>0</v>
      </c>
      <c r="AL333" s="83" t="n">
        <f aca="false">IF($S333&gt;=2,IF(ISNUMBER(J333),J333*$F333,MIN($G333:$J333)*$F333),0)</f>
        <v>0</v>
      </c>
      <c r="AM333" s="84" t="str">
        <f aca="false">IF($S333&gt;=2,$R333+ROW()/1000000,"")</f>
        <v/>
      </c>
      <c r="AN333" s="83" t="str">
        <f aca="false">IF($S333&gt;=2,MAX(G333:J333),"")</f>
        <v/>
      </c>
      <c r="AO333" s="82" t="str">
        <f aca="false">IF($S333&gt;=2,INDEX($G$6:$J$6,MATCH(MAX(G333:J333),G333:J333,0)),"")</f>
        <v/>
      </c>
      <c r="AP333" s="83" t="n">
        <f aca="false">IF($S333&gt;=2,MIN(G333:J333)*$F333,0)</f>
        <v>0</v>
      </c>
      <c r="AQ333" s="82" t="str">
        <f aca="false">IF($S333&gt;=2,INDEX($G$6:$J$6,MATCH(MIN(G333:J333),G333:J333,0)),"")</f>
        <v/>
      </c>
    </row>
    <row r="334" customFormat="false" ht="15" hidden="false" customHeight="true" outlineLevel="0" collapsed="false">
      <c r="A334" s="70" t="s">
        <v>832</v>
      </c>
      <c r="B334" s="71" t="s">
        <v>782</v>
      </c>
      <c r="C334" s="72" t="s">
        <v>325</v>
      </c>
      <c r="D334" s="73" t="s">
        <v>833</v>
      </c>
      <c r="E334" s="74" t="s">
        <v>178</v>
      </c>
      <c r="F334" s="75" t="n">
        <v>40</v>
      </c>
      <c r="G334" s="85" t="s">
        <v>138</v>
      </c>
      <c r="H334" s="85" t="s">
        <v>138</v>
      </c>
      <c r="I334" s="85" t="s">
        <v>138</v>
      </c>
      <c r="J334" s="76" t="n">
        <f aca="false">IF(COUNTIF('Quote Lines'!$P$3:$P$805,$A334&amp;"|"&amp;J$6&amp;"|1")=0,"—",SUMIFS('Quote Lines'!$O$3:$O$805,'Quote Lines'!$P$3:$P$805,$A334&amp;"|"&amp;J$6&amp;"|1")/SUMIFS('Quote Lines'!$L$3:$L$805,'Quote Lines'!$P$3:$P$805,$A334&amp;"|"&amp;J$6&amp;"|1"))</f>
        <v>2.1</v>
      </c>
      <c r="K334" s="14" t="str">
        <f aca="false">IF(ISNUMBER(G334),G334*$F334,"—")</f>
        <v>—</v>
      </c>
      <c r="L334" s="14" t="str">
        <f aca="false">IF(ISNUMBER(H334),H334*$F334,"—")</f>
        <v>—</v>
      </c>
      <c r="M334" s="14" t="str">
        <f aca="false">IF(ISNUMBER(I334),I334*$F334,"—")</f>
        <v>—</v>
      </c>
      <c r="N334" s="14" t="n">
        <f aca="false">IF(ISNUMBER(J334),J334*$F334,"—")</f>
        <v>84</v>
      </c>
      <c r="O334" s="77" t="n">
        <f aca="false">IF($S334=0,"—",MIN(G334:J334))</f>
        <v>2.1</v>
      </c>
      <c r="P334" s="42" t="str">
        <f aca="false">IF($S334=0,"—",IF(COUNTIF(G334:J334,O334)&gt;1,"Tie",INDEX($G$6:$J$6,MATCH(O334,G334:J334,0))))</f>
        <v>Scholzen</v>
      </c>
      <c r="Q334" s="48" t="str">
        <f aca="false">IF($S334&gt;=2,MAX(G334:J334)/MIN(G334:J334)-1,"—")</f>
        <v>—</v>
      </c>
      <c r="R334" s="78" t="str">
        <f aca="false">IF($S334&gt;=2,(MAX(G334:J334)-MIN(G334:J334))*$F334,"—")</f>
        <v>—</v>
      </c>
      <c r="S334" s="18" t="n">
        <f aca="false">COUNT(G334:J334)</f>
        <v>1</v>
      </c>
      <c r="T334" s="79" t="str">
        <f aca="false">IF($S334&lt;=1,IF($S334=1,"Single quote","—"),"Like-for-like")</f>
        <v>Single quote</v>
      </c>
      <c r="U334" s="79" t="str">
        <f aca="false">IF(COUNT(W334:Z334)&lt;2,"",IF(MAX(W334:Z334)=MIN(W334:Z334),"OK","Qty differs"))</f>
        <v/>
      </c>
      <c r="V334" s="80"/>
      <c r="W334" s="81"/>
      <c r="X334" s="81"/>
      <c r="Y334" s="81"/>
      <c r="Z334" s="81" t="n">
        <f aca="false">IF(COUNTIFS('Quote Lines'!$P$3:$P$805,$A334&amp;"|"&amp;J$6&amp;"|1",'Quote Lines'!$M$3:$M$805,"Y")=0,"",SUMIFS('Quote Lines'!$L$3:$L$805,'Quote Lines'!$P$3:$P$805,$A334&amp;"|"&amp;J$6&amp;"|1",'Quote Lines'!$M$3:$M$805,"Y"))</f>
        <v>40</v>
      </c>
      <c r="AA334" s="82" t="str">
        <f aca="false">IF(ISNUMBER(G334),1+SUMPRODUCT(ISNUMBER($G334:$J334)*($G334:$J334&lt;G334)),"")</f>
        <v/>
      </c>
      <c r="AB334" s="82" t="str">
        <f aca="false">IF(ISNUMBER(H334),1+SUMPRODUCT(ISNUMBER($G334:$J334)*($G334:$J334&lt;H334)),"")</f>
        <v/>
      </c>
      <c r="AC334" s="82" t="str">
        <f aca="false">IF(ISNUMBER(I334),1+SUMPRODUCT(ISNUMBER($G334:$J334)*($G334:$J334&lt;I334)),"")</f>
        <v/>
      </c>
      <c r="AD334" s="82" t="n">
        <f aca="false">IF(ISNUMBER(J334),1+SUMPRODUCT(ISNUMBER($G334:$J334)*($G334:$J334&lt;J334)),"")</f>
        <v>1</v>
      </c>
      <c r="AE334" s="82" t="n">
        <f aca="false">IF(NOT(ISNUMBER(G334)),0,IF($S334&lt;2,5,IF(AA334=1,1,IF(G334=MAX($G334:$J334),4,IF(AA334=2,2,3)))))</f>
        <v>0</v>
      </c>
      <c r="AF334" s="82" t="n">
        <f aca="false">IF(NOT(ISNUMBER(H334)),0,IF($S334&lt;2,5,IF(AB334=1,1,IF(H334=MAX($G334:$J334),4,IF(AB334=2,2,3)))))</f>
        <v>0</v>
      </c>
      <c r="AG334" s="82" t="n">
        <f aca="false">IF(NOT(ISNUMBER(I334)),0,IF($S334&lt;2,5,IF(AC334=1,1,IF(I334=MAX($G334:$J334),4,IF(AC334=2,2,3)))))</f>
        <v>0</v>
      </c>
      <c r="AH334" s="82" t="n">
        <f aca="false">IF(NOT(ISNUMBER(J334)),0,IF($S334&lt;2,5,IF(AD334=1,1,IF(J334=MAX($G334:$J334),4,IF(AD334=2,2,3)))))</f>
        <v>5</v>
      </c>
      <c r="AI334" s="83" t="n">
        <f aca="false">IF($S334&gt;=2,IF(ISNUMBER(G334),G334*$F334,MIN($G334:$J334)*$F334),0)</f>
        <v>0</v>
      </c>
      <c r="AJ334" s="83" t="n">
        <f aca="false">IF($S334&gt;=2,IF(ISNUMBER(H334),H334*$F334,MIN($G334:$J334)*$F334),0)</f>
        <v>0</v>
      </c>
      <c r="AK334" s="83" t="n">
        <f aca="false">IF($S334&gt;=2,IF(ISNUMBER(I334),I334*$F334,MIN($G334:$J334)*$F334),0)</f>
        <v>0</v>
      </c>
      <c r="AL334" s="83" t="n">
        <f aca="false">IF($S334&gt;=2,IF(ISNUMBER(J334),J334*$F334,MIN($G334:$J334)*$F334),0)</f>
        <v>0</v>
      </c>
      <c r="AM334" s="84" t="str">
        <f aca="false">IF($S334&gt;=2,$R334+ROW()/1000000,"")</f>
        <v/>
      </c>
      <c r="AN334" s="83" t="str">
        <f aca="false">IF($S334&gt;=2,MAX(G334:J334),"")</f>
        <v/>
      </c>
      <c r="AO334" s="82" t="str">
        <f aca="false">IF($S334&gt;=2,INDEX($G$6:$J$6,MATCH(MAX(G334:J334),G334:J334,0)),"")</f>
        <v/>
      </c>
      <c r="AP334" s="83" t="n">
        <f aca="false">IF($S334&gt;=2,MIN(G334:J334)*$F334,0)</f>
        <v>0</v>
      </c>
      <c r="AQ334" s="82" t="str">
        <f aca="false">IF($S334&gt;=2,INDEX($G$6:$J$6,MATCH(MIN(G334:J334),G334:J334,0)),"")</f>
        <v/>
      </c>
    </row>
    <row r="335" customFormat="false" ht="15" hidden="false" customHeight="true" outlineLevel="0" collapsed="false">
      <c r="A335" s="70" t="s">
        <v>834</v>
      </c>
      <c r="B335" s="71" t="s">
        <v>782</v>
      </c>
      <c r="C335" s="72" t="s">
        <v>325</v>
      </c>
      <c r="D335" s="73" t="s">
        <v>835</v>
      </c>
      <c r="E335" s="74" t="s">
        <v>133</v>
      </c>
      <c r="F335" s="75" t="n">
        <v>2</v>
      </c>
      <c r="G335" s="85" t="s">
        <v>138</v>
      </c>
      <c r="H335" s="85" t="s">
        <v>138</v>
      </c>
      <c r="I335" s="85" t="s">
        <v>138</v>
      </c>
      <c r="J335" s="76" t="n">
        <f aca="false">IF(COUNTIF('Quote Lines'!$P$3:$P$805,$A335&amp;"|"&amp;J$6&amp;"|1")=0,"—",SUMIFS('Quote Lines'!$O$3:$O$805,'Quote Lines'!$P$3:$P$805,$A335&amp;"|"&amp;J$6&amp;"|1")/SUMIFS('Quote Lines'!$L$3:$L$805,'Quote Lines'!$P$3:$P$805,$A335&amp;"|"&amp;J$6&amp;"|1"))</f>
        <v>9.36</v>
      </c>
      <c r="K335" s="14" t="str">
        <f aca="false">IF(ISNUMBER(G335),G335*$F335,"—")</f>
        <v>—</v>
      </c>
      <c r="L335" s="14" t="str">
        <f aca="false">IF(ISNUMBER(H335),H335*$F335,"—")</f>
        <v>—</v>
      </c>
      <c r="M335" s="14" t="str">
        <f aca="false">IF(ISNUMBER(I335),I335*$F335,"—")</f>
        <v>—</v>
      </c>
      <c r="N335" s="14" t="n">
        <f aca="false">IF(ISNUMBER(J335),J335*$F335,"—")</f>
        <v>18.72</v>
      </c>
      <c r="O335" s="77" t="n">
        <f aca="false">IF($S335=0,"—",MIN(G335:J335))</f>
        <v>9.36</v>
      </c>
      <c r="P335" s="42" t="str">
        <f aca="false">IF($S335=0,"—",IF(COUNTIF(G335:J335,O335)&gt;1,"Tie",INDEX($G$6:$J$6,MATCH(O335,G335:J335,0))))</f>
        <v>Scholzen</v>
      </c>
      <c r="Q335" s="48" t="str">
        <f aca="false">IF($S335&gt;=2,MAX(G335:J335)/MIN(G335:J335)-1,"—")</f>
        <v>—</v>
      </c>
      <c r="R335" s="78" t="str">
        <f aca="false">IF($S335&gt;=2,(MAX(G335:J335)-MIN(G335:J335))*$F335,"—")</f>
        <v>—</v>
      </c>
      <c r="S335" s="18" t="n">
        <f aca="false">COUNT(G335:J335)</f>
        <v>1</v>
      </c>
      <c r="T335" s="79" t="str">
        <f aca="false">IF($S335&lt;=1,IF($S335=1,"Single quote","—"),"Like-for-like")</f>
        <v>Single quote</v>
      </c>
      <c r="U335" s="79" t="str">
        <f aca="false">IF(COUNT(W335:Z335)&lt;2,"",IF(MAX(W335:Z335)=MIN(W335:Z335),"OK","Qty differs"))</f>
        <v/>
      </c>
      <c r="V335" s="80"/>
      <c r="W335" s="81"/>
      <c r="X335" s="81"/>
      <c r="Y335" s="81"/>
      <c r="Z335" s="81" t="n">
        <f aca="false">IF(COUNTIFS('Quote Lines'!$P$3:$P$805,$A335&amp;"|"&amp;J$6&amp;"|1",'Quote Lines'!$M$3:$M$805,"Y")=0,"",SUMIFS('Quote Lines'!$L$3:$L$805,'Quote Lines'!$P$3:$P$805,$A335&amp;"|"&amp;J$6&amp;"|1",'Quote Lines'!$M$3:$M$805,"Y"))</f>
        <v>2</v>
      </c>
      <c r="AA335" s="82" t="str">
        <f aca="false">IF(ISNUMBER(G335),1+SUMPRODUCT(ISNUMBER($G335:$J335)*($G335:$J335&lt;G335)),"")</f>
        <v/>
      </c>
      <c r="AB335" s="82" t="str">
        <f aca="false">IF(ISNUMBER(H335),1+SUMPRODUCT(ISNUMBER($G335:$J335)*($G335:$J335&lt;H335)),"")</f>
        <v/>
      </c>
      <c r="AC335" s="82" t="str">
        <f aca="false">IF(ISNUMBER(I335),1+SUMPRODUCT(ISNUMBER($G335:$J335)*($G335:$J335&lt;I335)),"")</f>
        <v/>
      </c>
      <c r="AD335" s="82" t="n">
        <f aca="false">IF(ISNUMBER(J335),1+SUMPRODUCT(ISNUMBER($G335:$J335)*($G335:$J335&lt;J335)),"")</f>
        <v>1</v>
      </c>
      <c r="AE335" s="82" t="n">
        <f aca="false">IF(NOT(ISNUMBER(G335)),0,IF($S335&lt;2,5,IF(AA335=1,1,IF(G335=MAX($G335:$J335),4,IF(AA335=2,2,3)))))</f>
        <v>0</v>
      </c>
      <c r="AF335" s="82" t="n">
        <f aca="false">IF(NOT(ISNUMBER(H335)),0,IF($S335&lt;2,5,IF(AB335=1,1,IF(H335=MAX($G335:$J335),4,IF(AB335=2,2,3)))))</f>
        <v>0</v>
      </c>
      <c r="AG335" s="82" t="n">
        <f aca="false">IF(NOT(ISNUMBER(I335)),0,IF($S335&lt;2,5,IF(AC335=1,1,IF(I335=MAX($G335:$J335),4,IF(AC335=2,2,3)))))</f>
        <v>0</v>
      </c>
      <c r="AH335" s="82" t="n">
        <f aca="false">IF(NOT(ISNUMBER(J335)),0,IF($S335&lt;2,5,IF(AD335=1,1,IF(J335=MAX($G335:$J335),4,IF(AD335=2,2,3)))))</f>
        <v>5</v>
      </c>
      <c r="AI335" s="83" t="n">
        <f aca="false">IF($S335&gt;=2,IF(ISNUMBER(G335),G335*$F335,MIN($G335:$J335)*$F335),0)</f>
        <v>0</v>
      </c>
      <c r="AJ335" s="83" t="n">
        <f aca="false">IF($S335&gt;=2,IF(ISNUMBER(H335),H335*$F335,MIN($G335:$J335)*$F335),0)</f>
        <v>0</v>
      </c>
      <c r="AK335" s="83" t="n">
        <f aca="false">IF($S335&gt;=2,IF(ISNUMBER(I335),I335*$F335,MIN($G335:$J335)*$F335),0)</f>
        <v>0</v>
      </c>
      <c r="AL335" s="83" t="n">
        <f aca="false">IF($S335&gt;=2,IF(ISNUMBER(J335),J335*$F335,MIN($G335:$J335)*$F335),0)</f>
        <v>0</v>
      </c>
      <c r="AM335" s="84" t="str">
        <f aca="false">IF($S335&gt;=2,$R335+ROW()/1000000,"")</f>
        <v/>
      </c>
      <c r="AN335" s="83" t="str">
        <f aca="false">IF($S335&gt;=2,MAX(G335:J335),"")</f>
        <v/>
      </c>
      <c r="AO335" s="82" t="str">
        <f aca="false">IF($S335&gt;=2,INDEX($G$6:$J$6,MATCH(MAX(G335:J335),G335:J335,0)),"")</f>
        <v/>
      </c>
      <c r="AP335" s="83" t="n">
        <f aca="false">IF($S335&gt;=2,MIN(G335:J335)*$F335,0)</f>
        <v>0</v>
      </c>
      <c r="AQ335" s="82" t="str">
        <f aca="false">IF($S335&gt;=2,INDEX($G$6:$J$6,MATCH(MIN(G335:J335),G335:J335,0)),"")</f>
        <v/>
      </c>
    </row>
    <row r="336" customFormat="false" ht="19.5" hidden="false" customHeight="true" outlineLevel="0" collapsed="false">
      <c r="A336" s="69"/>
      <c r="B336" s="9" t="s">
        <v>836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</row>
    <row r="337" customFormat="false" ht="15" hidden="false" customHeight="true" outlineLevel="0" collapsed="false">
      <c r="A337" s="70" t="s">
        <v>837</v>
      </c>
      <c r="B337" s="71" t="s">
        <v>838</v>
      </c>
      <c r="C337" s="72" t="s">
        <v>839</v>
      </c>
      <c r="D337" s="73" t="s">
        <v>840</v>
      </c>
      <c r="E337" s="74" t="s">
        <v>133</v>
      </c>
      <c r="F337" s="75" t="n">
        <v>1</v>
      </c>
      <c r="G337" s="85" t="s">
        <v>138</v>
      </c>
      <c r="H337" s="76" t="n">
        <f aca="false">IF(COUNTIF('Quote Lines'!$P$3:$P$805,$A337&amp;"|"&amp;H$6&amp;"|1")=0,"—",SUMIFS('Quote Lines'!$O$3:$O$805,'Quote Lines'!$P$3:$P$805,$A337&amp;"|"&amp;H$6&amp;"|1")/SUMIFS('Quote Lines'!$L$3:$L$805,'Quote Lines'!$P$3:$P$805,$A337&amp;"|"&amp;H$6&amp;"|1"))</f>
        <v>150</v>
      </c>
      <c r="I337" s="85" t="s">
        <v>138</v>
      </c>
      <c r="J337" s="85" t="s">
        <v>138</v>
      </c>
      <c r="K337" s="14" t="str">
        <f aca="false">IF(ISNUMBER(G337),G337*$F337,"—")</f>
        <v>—</v>
      </c>
      <c r="L337" s="14" t="n">
        <f aca="false">IF(ISNUMBER(H337),H337*$F337,"—")</f>
        <v>150</v>
      </c>
      <c r="M337" s="14" t="str">
        <f aca="false">IF(ISNUMBER(I337),I337*$F337,"—")</f>
        <v>—</v>
      </c>
      <c r="N337" s="14" t="str">
        <f aca="false">IF(ISNUMBER(J337),J337*$F337,"—")</f>
        <v>—</v>
      </c>
      <c r="O337" s="77" t="n">
        <f aca="false">IF($S337=0,"—",MIN(G337:J337))</f>
        <v>150</v>
      </c>
      <c r="P337" s="42" t="str">
        <f aca="false">IF($S337=0,"—",IF(COUNTIF(G337:J337,O337)&gt;1,"Tie",INDEX($G$6:$J$6,MATCH(O337,G337:J337,0))))</f>
        <v>HD Fowler</v>
      </c>
      <c r="Q337" s="48" t="str">
        <f aca="false">IF($S337&gt;=2,MAX(G337:J337)/MIN(G337:J337)-1,"—")</f>
        <v>—</v>
      </c>
      <c r="R337" s="78" t="str">
        <f aca="false">IF($S337&gt;=2,(MAX(G337:J337)-MIN(G337:J337))*$F337,"—")</f>
        <v>—</v>
      </c>
      <c r="S337" s="18" t="n">
        <f aca="false">COUNT(G337:J337)</f>
        <v>1</v>
      </c>
      <c r="T337" s="79" t="str">
        <f aca="false">IF($S337&lt;=1,IF($S337=1,"Single quote","—"),"Like-for-like")</f>
        <v>Single quote</v>
      </c>
      <c r="U337" s="79" t="str">
        <f aca="false">IF(COUNT(W337:Z337)&lt;2,"",IF(MAX(W337:Z337)=MIN(W337:Z337),"OK","Qty differs"))</f>
        <v/>
      </c>
      <c r="V337" s="80"/>
      <c r="W337" s="81"/>
      <c r="X337" s="81" t="n">
        <f aca="false">IF(COUNTIFS('Quote Lines'!$P$3:$P$805,$A337&amp;"|"&amp;H$6&amp;"|1",'Quote Lines'!$M$3:$M$805,"Y")=0,"",SUMIFS('Quote Lines'!$L$3:$L$805,'Quote Lines'!$P$3:$P$805,$A337&amp;"|"&amp;H$6&amp;"|1",'Quote Lines'!$M$3:$M$805,"Y"))</f>
        <v>1</v>
      </c>
      <c r="Y337" s="81"/>
      <c r="Z337" s="81"/>
      <c r="AA337" s="82" t="str">
        <f aca="false">IF(ISNUMBER(G337),1+SUMPRODUCT(ISNUMBER($G337:$J337)*($G337:$J337&lt;G337)),"")</f>
        <v/>
      </c>
      <c r="AB337" s="82" t="n">
        <f aca="false">IF(ISNUMBER(H337),1+SUMPRODUCT(ISNUMBER($G337:$J337)*($G337:$J337&lt;H337)),"")</f>
        <v>1</v>
      </c>
      <c r="AC337" s="82" t="str">
        <f aca="false">IF(ISNUMBER(I337),1+SUMPRODUCT(ISNUMBER($G337:$J337)*($G337:$J337&lt;I337)),"")</f>
        <v/>
      </c>
      <c r="AD337" s="82" t="str">
        <f aca="false">IF(ISNUMBER(J337),1+SUMPRODUCT(ISNUMBER($G337:$J337)*($G337:$J337&lt;J337)),"")</f>
        <v/>
      </c>
      <c r="AE337" s="82" t="n">
        <f aca="false">IF(NOT(ISNUMBER(G337)),0,IF($S337&lt;2,5,IF(AA337=1,1,IF(G337=MAX($G337:$J337),4,IF(AA337=2,2,3)))))</f>
        <v>0</v>
      </c>
      <c r="AF337" s="82" t="n">
        <f aca="false">IF(NOT(ISNUMBER(H337)),0,IF($S337&lt;2,5,IF(AB337=1,1,IF(H337=MAX($G337:$J337),4,IF(AB337=2,2,3)))))</f>
        <v>5</v>
      </c>
      <c r="AG337" s="82" t="n">
        <f aca="false">IF(NOT(ISNUMBER(I337)),0,IF($S337&lt;2,5,IF(AC337=1,1,IF(I337=MAX($G337:$J337),4,IF(AC337=2,2,3)))))</f>
        <v>0</v>
      </c>
      <c r="AH337" s="82" t="n">
        <f aca="false">IF(NOT(ISNUMBER(J337)),0,IF($S337&lt;2,5,IF(AD337=1,1,IF(J337=MAX($G337:$J337),4,IF(AD337=2,2,3)))))</f>
        <v>0</v>
      </c>
      <c r="AI337" s="83" t="n">
        <f aca="false">IF($S337&gt;=2,IF(ISNUMBER(G337),G337*$F337,MIN($G337:$J337)*$F337),0)</f>
        <v>0</v>
      </c>
      <c r="AJ337" s="83" t="n">
        <f aca="false">IF($S337&gt;=2,IF(ISNUMBER(H337),H337*$F337,MIN($G337:$J337)*$F337),0)</f>
        <v>0</v>
      </c>
      <c r="AK337" s="83" t="n">
        <f aca="false">IF($S337&gt;=2,IF(ISNUMBER(I337),I337*$F337,MIN($G337:$J337)*$F337),0)</f>
        <v>0</v>
      </c>
      <c r="AL337" s="83" t="n">
        <f aca="false">IF($S337&gt;=2,IF(ISNUMBER(J337),J337*$F337,MIN($G337:$J337)*$F337),0)</f>
        <v>0</v>
      </c>
      <c r="AM337" s="84" t="str">
        <f aca="false">IF($S337&gt;=2,$R337+ROW()/1000000,"")</f>
        <v/>
      </c>
      <c r="AN337" s="83" t="str">
        <f aca="false">IF($S337&gt;=2,MAX(G337:J337),"")</f>
        <v/>
      </c>
      <c r="AO337" s="82" t="str">
        <f aca="false">IF($S337&gt;=2,INDEX($G$6:$J$6,MATCH(MAX(G337:J337),G337:J337,0)),"")</f>
        <v/>
      </c>
      <c r="AP337" s="83" t="n">
        <f aca="false">IF($S337&gt;=2,MIN(G337:J337)*$F337,0)</f>
        <v>0</v>
      </c>
      <c r="AQ337" s="82" t="str">
        <f aca="false">IF($S337&gt;=2,INDEX($G$6:$J$6,MATCH(MIN(G337:J337),G337:J337,0)),"")</f>
        <v/>
      </c>
    </row>
    <row r="338" customFormat="false" ht="15" hidden="false" customHeight="true" outlineLevel="0" collapsed="false">
      <c r="A338" s="70" t="s">
        <v>841</v>
      </c>
      <c r="B338" s="71" t="s">
        <v>838</v>
      </c>
      <c r="C338" s="72" t="s">
        <v>839</v>
      </c>
      <c r="D338" s="73" t="s">
        <v>842</v>
      </c>
      <c r="E338" s="74" t="s">
        <v>133</v>
      </c>
      <c r="F338" s="75" t="n">
        <v>1</v>
      </c>
      <c r="G338" s="85" t="s">
        <v>138</v>
      </c>
      <c r="H338" s="76" t="n">
        <f aca="false">IF(COUNTIF('Quote Lines'!$P$3:$P$805,$A338&amp;"|"&amp;H$6&amp;"|1")=0,"—",SUMIFS('Quote Lines'!$O$3:$O$805,'Quote Lines'!$P$3:$P$805,$A338&amp;"|"&amp;H$6&amp;"|1")/SUMIFS('Quote Lines'!$L$3:$L$805,'Quote Lines'!$P$3:$P$805,$A338&amp;"|"&amp;H$6&amp;"|1"))</f>
        <v>2000</v>
      </c>
      <c r="I338" s="85" t="s">
        <v>138</v>
      </c>
      <c r="J338" s="85" t="s">
        <v>138</v>
      </c>
      <c r="K338" s="14" t="str">
        <f aca="false">IF(ISNUMBER(G338),G338*$F338,"—")</f>
        <v>—</v>
      </c>
      <c r="L338" s="14" t="n">
        <f aca="false">IF(ISNUMBER(H338),H338*$F338,"—")</f>
        <v>2000</v>
      </c>
      <c r="M338" s="14" t="str">
        <f aca="false">IF(ISNUMBER(I338),I338*$F338,"—")</f>
        <v>—</v>
      </c>
      <c r="N338" s="14" t="str">
        <f aca="false">IF(ISNUMBER(J338),J338*$F338,"—")</f>
        <v>—</v>
      </c>
      <c r="O338" s="77" t="n">
        <f aca="false">IF($S338=0,"—",MIN(G338:J338))</f>
        <v>2000</v>
      </c>
      <c r="P338" s="42" t="str">
        <f aca="false">IF($S338=0,"—",IF(COUNTIF(G338:J338,O338)&gt;1,"Tie",INDEX($G$6:$J$6,MATCH(O338,G338:J338,0))))</f>
        <v>HD Fowler</v>
      </c>
      <c r="Q338" s="48" t="str">
        <f aca="false">IF($S338&gt;=2,MAX(G338:J338)/MIN(G338:J338)-1,"—")</f>
        <v>—</v>
      </c>
      <c r="R338" s="78" t="str">
        <f aca="false">IF($S338&gt;=2,(MAX(G338:J338)-MIN(G338:J338))*$F338,"—")</f>
        <v>—</v>
      </c>
      <c r="S338" s="18" t="n">
        <f aca="false">COUNT(G338:J338)</f>
        <v>1</v>
      </c>
      <c r="T338" s="79" t="str">
        <f aca="false">IF($S338&lt;=1,IF($S338=1,"Single quote","—"),"Like-for-like")</f>
        <v>Single quote</v>
      </c>
      <c r="U338" s="79" t="str">
        <f aca="false">IF(COUNT(W338:Z338)&lt;2,"",IF(MAX(W338:Z338)=MIN(W338:Z338),"OK","Qty differs"))</f>
        <v/>
      </c>
      <c r="V338" s="80" t="s">
        <v>843</v>
      </c>
      <c r="W338" s="81"/>
      <c r="X338" s="81" t="n">
        <f aca="false">IF(COUNTIFS('Quote Lines'!$P$3:$P$805,$A338&amp;"|"&amp;H$6&amp;"|1",'Quote Lines'!$M$3:$M$805,"Y")=0,"",SUMIFS('Quote Lines'!$L$3:$L$805,'Quote Lines'!$P$3:$P$805,$A338&amp;"|"&amp;H$6&amp;"|1",'Quote Lines'!$M$3:$M$805,"Y"))</f>
        <v>1</v>
      </c>
      <c r="Y338" s="81"/>
      <c r="Z338" s="81"/>
      <c r="AA338" s="82" t="str">
        <f aca="false">IF(ISNUMBER(G338),1+SUMPRODUCT(ISNUMBER($G338:$J338)*($G338:$J338&lt;G338)),"")</f>
        <v/>
      </c>
      <c r="AB338" s="82" t="n">
        <f aca="false">IF(ISNUMBER(H338),1+SUMPRODUCT(ISNUMBER($G338:$J338)*($G338:$J338&lt;H338)),"")</f>
        <v>1</v>
      </c>
      <c r="AC338" s="82" t="str">
        <f aca="false">IF(ISNUMBER(I338),1+SUMPRODUCT(ISNUMBER($G338:$J338)*($G338:$J338&lt;I338)),"")</f>
        <v/>
      </c>
      <c r="AD338" s="82" t="str">
        <f aca="false">IF(ISNUMBER(J338),1+SUMPRODUCT(ISNUMBER($G338:$J338)*($G338:$J338&lt;J338)),"")</f>
        <v/>
      </c>
      <c r="AE338" s="82" t="n">
        <f aca="false">IF(NOT(ISNUMBER(G338)),0,IF($S338&lt;2,5,IF(AA338=1,1,IF(G338=MAX($G338:$J338),4,IF(AA338=2,2,3)))))</f>
        <v>0</v>
      </c>
      <c r="AF338" s="82" t="n">
        <f aca="false">IF(NOT(ISNUMBER(H338)),0,IF($S338&lt;2,5,IF(AB338=1,1,IF(H338=MAX($G338:$J338),4,IF(AB338=2,2,3)))))</f>
        <v>5</v>
      </c>
      <c r="AG338" s="82" t="n">
        <f aca="false">IF(NOT(ISNUMBER(I338)),0,IF($S338&lt;2,5,IF(AC338=1,1,IF(I338=MAX($G338:$J338),4,IF(AC338=2,2,3)))))</f>
        <v>0</v>
      </c>
      <c r="AH338" s="82" t="n">
        <f aca="false">IF(NOT(ISNUMBER(J338)),0,IF($S338&lt;2,5,IF(AD338=1,1,IF(J338=MAX($G338:$J338),4,IF(AD338=2,2,3)))))</f>
        <v>0</v>
      </c>
      <c r="AI338" s="83" t="n">
        <f aca="false">IF($S338&gt;=2,IF(ISNUMBER(G338),G338*$F338,MIN($G338:$J338)*$F338),0)</f>
        <v>0</v>
      </c>
      <c r="AJ338" s="83" t="n">
        <f aca="false">IF($S338&gt;=2,IF(ISNUMBER(H338),H338*$F338,MIN($G338:$J338)*$F338),0)</f>
        <v>0</v>
      </c>
      <c r="AK338" s="83" t="n">
        <f aca="false">IF($S338&gt;=2,IF(ISNUMBER(I338),I338*$F338,MIN($G338:$J338)*$F338),0)</f>
        <v>0</v>
      </c>
      <c r="AL338" s="83" t="n">
        <f aca="false">IF($S338&gt;=2,IF(ISNUMBER(J338),J338*$F338,MIN($G338:$J338)*$F338),0)</f>
        <v>0</v>
      </c>
      <c r="AM338" s="84" t="str">
        <f aca="false">IF($S338&gt;=2,$R338+ROW()/1000000,"")</f>
        <v/>
      </c>
      <c r="AN338" s="83" t="str">
        <f aca="false">IF($S338&gt;=2,MAX(G338:J338),"")</f>
        <v/>
      </c>
      <c r="AO338" s="82" t="str">
        <f aca="false">IF($S338&gt;=2,INDEX($G$6:$J$6,MATCH(MAX(G338:J338),G338:J338,0)),"")</f>
        <v/>
      </c>
      <c r="AP338" s="83" t="n">
        <f aca="false">IF($S338&gt;=2,MIN(G338:J338)*$F338,0)</f>
        <v>0</v>
      </c>
      <c r="AQ338" s="82" t="str">
        <f aca="false">IF($S338&gt;=2,INDEX($G$6:$J$6,MATCH(MIN(G338:J338),G338:J338,0)),"")</f>
        <v/>
      </c>
    </row>
    <row r="340" customFormat="false" ht="19.5" hidden="false" customHeight="true" outlineLevel="0" collapsed="false">
      <c r="A340" s="88"/>
      <c r="B340" s="88"/>
      <c r="C340" s="88"/>
      <c r="D340" s="89" t="s">
        <v>844</v>
      </c>
      <c r="E340" s="88"/>
      <c r="F340" s="88"/>
      <c r="G340" s="88"/>
      <c r="H340" s="88"/>
      <c r="I340" s="88"/>
      <c r="J340" s="88"/>
      <c r="K340" s="90" t="n">
        <f aca="false">SUM(K7:K338)</f>
        <v>1319825.44348387</v>
      </c>
      <c r="L340" s="90" t="n">
        <f aca="false">SUM(L7:L338)</f>
        <v>1118774.14726027</v>
      </c>
      <c r="M340" s="90" t="n">
        <f aca="false">SUM(M7:M338)</f>
        <v>1254403.0396234</v>
      </c>
      <c r="N340" s="90" t="n">
        <f aca="false">SUM(N7:N338)</f>
        <v>1116019.98</v>
      </c>
      <c r="O340" s="88"/>
      <c r="P340" s="88"/>
      <c r="Q340" s="88"/>
      <c r="R340" s="88"/>
      <c r="S340" s="88"/>
      <c r="T340" s="88"/>
      <c r="U340" s="88"/>
      <c r="V340" s="88"/>
    </row>
  </sheetData>
  <autoFilter ref="A6:V338"/>
  <mergeCells count="9">
    <mergeCell ref="G3:H3"/>
    <mergeCell ref="I3:J3"/>
    <mergeCell ref="K3:L3"/>
    <mergeCell ref="M3:N3"/>
    <mergeCell ref="A5:F5"/>
    <mergeCell ref="G5:J5"/>
    <mergeCell ref="K5:N5"/>
    <mergeCell ref="O5:U5"/>
    <mergeCell ref="W5:Z5"/>
  </mergeCells>
  <conditionalFormatting sqref="G7:J338">
    <cfRule type="expression" priority="2" aboveAverage="0" equalAverage="0" bottom="0" percent="0" rank="0" text="" dxfId="0">
      <formula>AND(ISNUMBER(AE7),AE7=1)</formula>
    </cfRule>
    <cfRule type="expression" priority="3" aboveAverage="0" equalAverage="0" bottom="0" percent="0" rank="0" text="" dxfId="27">
      <formula>AND(ISNUMBER(AE7),AE7=4)</formula>
    </cfRule>
    <cfRule type="expression" priority="4" aboveAverage="0" equalAverage="0" bottom="0" percent="0" rank="0" text="" dxfId="28">
      <formula>AND(ISNUMBER(AE7),AE7=2)</formula>
    </cfRule>
    <cfRule type="expression" priority="5" aboveAverage="0" equalAverage="0" bottom="0" percent="0" rank="0" text="" dxfId="29">
      <formula>AND(ISNUMBER(AE7),AE7=3)</formula>
    </cfRule>
    <cfRule type="expression" priority="6" aboveAverage="0" equalAverage="0" bottom="0" percent="0" rank="0" text="" dxfId="30">
      <formula>AND(ISNUMBER(AE7),AE7=5)</formula>
    </cfRule>
    <cfRule type="expression" priority="7" aboveAverage="0" equalAverage="0" bottom="0" percent="0" rank="0" text="" dxfId="31">
      <formula>AND(ISNUMBER(AE7),AE7=0)</formula>
    </cfRule>
  </conditionalFormatting>
  <conditionalFormatting sqref="K7:N338">
    <cfRule type="expression" priority="8" aboveAverage="0" equalAverage="0" bottom="0" percent="0" rank="0" text="" dxfId="0">
      <formula>AND(ISNUMBER(AE7),AE7=1)</formula>
    </cfRule>
    <cfRule type="expression" priority="9" aboveAverage="0" equalAverage="0" bottom="0" percent="0" rank="0" text="" dxfId="27">
      <formula>AND(ISNUMBER(AE7),AE7=4)</formula>
    </cfRule>
    <cfRule type="expression" priority="10" aboveAverage="0" equalAverage="0" bottom="0" percent="0" rank="0" text="" dxfId="28">
      <formula>AND(ISNUMBER(AE7),AE7=2)</formula>
    </cfRule>
    <cfRule type="expression" priority="11" aboveAverage="0" equalAverage="0" bottom="0" percent="0" rank="0" text="" dxfId="29">
      <formula>AND(ISNUMBER(AE7),AE7=3)</formula>
    </cfRule>
    <cfRule type="expression" priority="12" aboveAverage="0" equalAverage="0" bottom="0" percent="0" rank="0" text="" dxfId="30">
      <formula>AND(ISNUMBER(AE7),AE7=5)</formula>
    </cfRule>
    <cfRule type="expression" priority="13" aboveAverage="0" equalAverage="0" bottom="0" percent="0" rank="0" text="" dxfId="31">
      <formula>AND(ISNUMBER(AE7),AE7=0)</formula>
    </cfRule>
  </conditionalFormatting>
  <conditionalFormatting sqref="U7:U338">
    <cfRule type="expression" priority="14" aboveAverage="0" equalAverage="0" bottom="0" percent="0" rank="0" text="" dxfId="32">
      <formula>U7="Qty differs"</formula>
    </cfRule>
  </conditionalFormatting>
  <conditionalFormatting sqref="T7:T338">
    <cfRule type="expression" priority="15" aboveAverage="0" equalAverage="0" bottom="0" percent="0" rank="0" text="" dxfId="33">
      <formula>T7="Alt spec – verify"</formula>
    </cfRule>
    <cfRule type="expression" priority="16" aboveAverage="0" equalAverage="0" bottom="0" percent="0" rank="0" text="" dxfId="34">
      <formula>T7="Single quote"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N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8" min="4" style="0" width="15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4" min="11" style="0" width="12"/>
  </cols>
  <sheetData>
    <row r="1" customFormat="false" ht="19.7" hidden="false" customHeight="false" outlineLevel="0" collapsed="false">
      <c r="A1" s="52" t="s">
        <v>845</v>
      </c>
    </row>
    <row r="2" customFormat="false" ht="15" hidden="false" customHeight="false" outlineLevel="0" collapsed="false">
      <c r="A2" s="53" t="s">
        <v>846</v>
      </c>
    </row>
    <row r="4" customFormat="false" ht="36" hidden="false" customHeight="true" outlineLevel="0" collapsed="false">
      <c r="A4" s="11" t="s">
        <v>67</v>
      </c>
      <c r="B4" s="11" t="s">
        <v>847</v>
      </c>
      <c r="C4" s="11" t="s">
        <v>848</v>
      </c>
      <c r="D4" s="11" t="s">
        <v>19</v>
      </c>
      <c r="E4" s="11" t="s">
        <v>23</v>
      </c>
      <c r="F4" s="11" t="s">
        <v>27</v>
      </c>
      <c r="G4" s="11" t="s">
        <v>31</v>
      </c>
      <c r="H4" s="11" t="s">
        <v>849</v>
      </c>
      <c r="I4" s="11" t="s">
        <v>106</v>
      </c>
      <c r="J4" s="11" t="s">
        <v>850</v>
      </c>
      <c r="K4" s="11" t="s">
        <v>851</v>
      </c>
      <c r="L4" s="11" t="s">
        <v>852</v>
      </c>
      <c r="M4" s="11" t="s">
        <v>853</v>
      </c>
      <c r="N4" s="11" t="s">
        <v>854</v>
      </c>
    </row>
    <row r="5" customFormat="false" ht="18" hidden="false" customHeight="true" outlineLevel="0" collapsed="false">
      <c r="A5" s="27" t="s">
        <v>130</v>
      </c>
      <c r="B5" s="35" t="s">
        <v>855</v>
      </c>
      <c r="C5" s="22" t="n">
        <f aca="false">COUNTIFS('Material Comparison'!$B$7:$B$338,$A5,'Material Comparison'!$S$7:$S$338,"&gt;=2")</f>
        <v>73</v>
      </c>
      <c r="D5" s="23" t="n">
        <f aca="false">IF($C5=0,"—",SUMIFS('Material Comparison'!$AI$7:$AI$338,'Material Comparison'!$B$7:$B$338,$A5))</f>
        <v>130570.028</v>
      </c>
      <c r="E5" s="23" t="n">
        <f aca="false">IF($C5=0,"—",SUMIFS('Material Comparison'!$AJ$7:$AJ$338,'Material Comparison'!$B$7:$B$338,$A5))</f>
        <v>112768.522260274</v>
      </c>
      <c r="F5" s="23" t="n">
        <f aca="false">IF($C5=0,"—",SUMIFS('Material Comparison'!$AK$7:$AK$338,'Material Comparison'!$B$7:$B$338,$A5))</f>
        <v>115098.182260274</v>
      </c>
      <c r="G5" s="23" t="n">
        <f aca="false">IF($C5=0,"—",SUMIFS('Material Comparison'!$AL$7:$AL$338,'Material Comparison'!$B$7:$B$338,$A5))</f>
        <v>123089.24</v>
      </c>
      <c r="H5" s="47" t="n">
        <f aca="false">IF($C5=0,"—",MIN(D5:G5))</f>
        <v>112768.522260274</v>
      </c>
      <c r="I5" s="42" t="str">
        <f aca="false">IF($C5=0,"—",IF(COUNTIF(D5:G5,H5)&gt;1,"Tie",INDEX($D$4:$G$4,MATCH(H5,D5:G5,0))))</f>
        <v>HD Fowler</v>
      </c>
      <c r="J5" s="23" t="n">
        <f aca="false">IF($C5=0,"—",MAX(D5:G5)-MIN(D5:G5))</f>
        <v>17801.505739726</v>
      </c>
      <c r="K5" s="91" t="n">
        <f aca="false">IF($C5=0,"—",COUNTIFS('Material Comparison'!$B$7:$B$338,$A5,'Material Comparison'!$S$7:$S$338,"&gt;=2",'Material Comparison'!$AE$7:$AE$338,"&gt;=1",'Material Comparison'!$AE$7:$AE$338,"&lt;=4"))</f>
        <v>55</v>
      </c>
      <c r="L5" s="91" t="n">
        <f aca="false">IF($C5=0,"—",COUNTIFS('Material Comparison'!$B$7:$B$338,$A5,'Material Comparison'!$S$7:$S$338,"&gt;=2",'Material Comparison'!$AF$7:$AF$338,"&gt;=1",'Material Comparison'!$AF$7:$AF$338,"&lt;=4"))</f>
        <v>54</v>
      </c>
      <c r="M5" s="91" t="n">
        <f aca="false">IF($C5=0,"—",COUNTIFS('Material Comparison'!$B$7:$B$338,$A5,'Material Comparison'!$S$7:$S$338,"&gt;=2",'Material Comparison'!$AG$7:$AG$338,"&gt;=1",'Material Comparison'!$AG$7:$AG$338,"&lt;=4"))</f>
        <v>42</v>
      </c>
      <c r="N5" s="91" t="n">
        <f aca="false">IF($C5=0,"—",COUNTIFS('Material Comparison'!$B$7:$B$338,$A5,'Material Comparison'!$S$7:$S$338,"&gt;=2",'Material Comparison'!$AH$7:$AH$338,"&gt;=1",'Material Comparison'!$AH$7:$AH$338,"&lt;=4"))</f>
        <v>54</v>
      </c>
    </row>
    <row r="6" customFormat="false" ht="18" hidden="false" customHeight="true" outlineLevel="0" collapsed="false">
      <c r="A6" s="27" t="s">
        <v>457</v>
      </c>
      <c r="B6" s="35" t="s">
        <v>856</v>
      </c>
      <c r="C6" s="22" t="n">
        <f aca="false">COUNTIFS('Material Comparison'!$B$7:$B$338,$A6,'Material Comparison'!$S$7:$S$338,"&gt;=2")</f>
        <v>4</v>
      </c>
      <c r="D6" s="23" t="n">
        <f aca="false">IF($C6=0,"—",SUMIFS('Material Comparison'!$AI$7:$AI$338,'Material Comparison'!$B$7:$B$338,$A6))</f>
        <v>6472.8</v>
      </c>
      <c r="E6" s="23" t="n">
        <f aca="false">IF($C6=0,"—",SUMIFS('Material Comparison'!$AJ$7:$AJ$338,'Material Comparison'!$B$7:$B$338,$A6))</f>
        <v>6222.86</v>
      </c>
      <c r="F6" s="23" t="n">
        <f aca="false">IF($C6=0,"—",SUMIFS('Material Comparison'!$AK$7:$AK$338,'Material Comparison'!$B$7:$B$338,$A6))</f>
        <v>6213.75</v>
      </c>
      <c r="G6" s="23" t="n">
        <f aca="false">IF($C6=0,"—",SUMIFS('Material Comparison'!$AL$7:$AL$338,'Material Comparison'!$B$7:$B$338,$A6))</f>
        <v>6850.81</v>
      </c>
      <c r="H6" s="47" t="n">
        <f aca="false">IF($C6=0,"—",MIN(D6:G6))</f>
        <v>6213.75</v>
      </c>
      <c r="I6" s="42" t="str">
        <f aca="false">IF($C6=0,"—",IF(COUNTIF(D6:G6,H6)&gt;1,"Tie",INDEX($D$4:$G$4,MATCH(H6,D6:G6,0))))</f>
        <v>Mountainland</v>
      </c>
      <c r="J6" s="23" t="n">
        <f aca="false">IF($C6=0,"—",MAX(D6:G6)-MIN(D6:G6))</f>
        <v>637.06</v>
      </c>
      <c r="K6" s="91" t="n">
        <f aca="false">IF($C6=0,"—",COUNTIFS('Material Comparison'!$B$7:$B$338,$A6,'Material Comparison'!$S$7:$S$338,"&gt;=2",'Material Comparison'!$AE$7:$AE$338,"&gt;=1",'Material Comparison'!$AE$7:$AE$338,"&lt;=4"))</f>
        <v>4</v>
      </c>
      <c r="L6" s="91" t="n">
        <f aca="false">IF($C6=0,"—",COUNTIFS('Material Comparison'!$B$7:$B$338,$A6,'Material Comparison'!$S$7:$S$338,"&gt;=2",'Material Comparison'!$AF$7:$AF$338,"&gt;=1",'Material Comparison'!$AF$7:$AF$338,"&lt;=4"))</f>
        <v>4</v>
      </c>
      <c r="M6" s="91" t="n">
        <f aca="false">IF($C6=0,"—",COUNTIFS('Material Comparison'!$B$7:$B$338,$A6,'Material Comparison'!$S$7:$S$338,"&gt;=2",'Material Comparison'!$AG$7:$AG$338,"&gt;=1",'Material Comparison'!$AG$7:$AG$338,"&lt;=4"))</f>
        <v>3</v>
      </c>
      <c r="N6" s="91" t="n">
        <f aca="false">IF($C6=0,"—",COUNTIFS('Material Comparison'!$B$7:$B$338,$A6,'Material Comparison'!$S$7:$S$338,"&gt;=2",'Material Comparison'!$AH$7:$AH$338,"&gt;=1",'Material Comparison'!$AH$7:$AH$338,"&lt;=4"))</f>
        <v>3</v>
      </c>
    </row>
    <row r="7" customFormat="false" ht="18" hidden="false" customHeight="true" outlineLevel="0" collapsed="false">
      <c r="A7" s="27" t="s">
        <v>481</v>
      </c>
      <c r="B7" s="35" t="s">
        <v>857</v>
      </c>
      <c r="C7" s="22" t="n">
        <f aca="false">COUNTIFS('Material Comparison'!$B$7:$B$338,$A7,'Material Comparison'!$S$7:$S$338,"&gt;=2")</f>
        <v>4</v>
      </c>
      <c r="D7" s="23" t="n">
        <f aca="false">IF($C7=0,"—",SUMIFS('Material Comparison'!$AI$7:$AI$338,'Material Comparison'!$B$7:$B$338,$A7))</f>
        <v>169485.51</v>
      </c>
      <c r="E7" s="23" t="n">
        <f aca="false">IF($C7=0,"—",SUMIFS('Material Comparison'!$AJ$7:$AJ$338,'Material Comparison'!$B$7:$B$338,$A7))</f>
        <v>164590.5</v>
      </c>
      <c r="F7" s="23" t="n">
        <f aca="false">IF($C7=0,"—",SUMIFS('Material Comparison'!$AK$7:$AK$338,'Material Comparison'!$B$7:$B$338,$A7))</f>
        <v>153356.377666667</v>
      </c>
      <c r="G7" s="23" t="n">
        <f aca="false">IF($C7=0,"—",SUMIFS('Material Comparison'!$AL$7:$AL$338,'Material Comparison'!$B$7:$B$338,$A7))</f>
        <v>146958.87</v>
      </c>
      <c r="H7" s="47" t="n">
        <f aca="false">IF($C7=0,"—",MIN(D7:G7))</f>
        <v>146958.87</v>
      </c>
      <c r="I7" s="42" t="str">
        <f aca="false">IF($C7=0,"—",IF(COUNTIF(D7:G7,H7)&gt;1,"Tie",INDEX($D$4:$G$4,MATCH(H7,D7:G7,0))))</f>
        <v>Scholzen</v>
      </c>
      <c r="J7" s="23" t="n">
        <f aca="false">IF($C7=0,"—",MAX(D7:G7)-MIN(D7:G7))</f>
        <v>22526.64</v>
      </c>
      <c r="K7" s="91" t="n">
        <f aca="false">IF($C7=0,"—",COUNTIFS('Material Comparison'!$B$7:$B$338,$A7,'Material Comparison'!$S$7:$S$338,"&gt;=2",'Material Comparison'!$AE$7:$AE$338,"&gt;=1",'Material Comparison'!$AE$7:$AE$338,"&lt;=4"))</f>
        <v>4</v>
      </c>
      <c r="L7" s="91" t="n">
        <f aca="false">IF($C7=0,"—",COUNTIFS('Material Comparison'!$B$7:$B$338,$A7,'Material Comparison'!$S$7:$S$338,"&gt;=2",'Material Comparison'!$AF$7:$AF$338,"&gt;=1",'Material Comparison'!$AF$7:$AF$338,"&lt;=4"))</f>
        <v>4</v>
      </c>
      <c r="M7" s="91" t="n">
        <f aca="false">IF($C7=0,"—",COUNTIFS('Material Comparison'!$B$7:$B$338,$A7,'Material Comparison'!$S$7:$S$338,"&gt;=2",'Material Comparison'!$AG$7:$AG$338,"&gt;=1",'Material Comparison'!$AG$7:$AG$338,"&lt;=4"))</f>
        <v>3</v>
      </c>
      <c r="N7" s="91" t="n">
        <f aca="false">IF($C7=0,"—",COUNTIFS('Material Comparison'!$B$7:$B$338,$A7,'Material Comparison'!$S$7:$S$338,"&gt;=2",'Material Comparison'!$AH$7:$AH$338,"&gt;=1",'Material Comparison'!$AH$7:$AH$338,"&lt;=4"))</f>
        <v>3</v>
      </c>
    </row>
    <row r="8" customFormat="false" ht="18" hidden="false" customHeight="true" outlineLevel="0" collapsed="false">
      <c r="A8" s="27" t="s">
        <v>498</v>
      </c>
      <c r="B8" s="35" t="s">
        <v>858</v>
      </c>
      <c r="C8" s="22" t="n">
        <f aca="false">COUNTIFS('Material Comparison'!$B$7:$B$338,$A8,'Material Comparison'!$S$7:$S$338,"&gt;=2")</f>
        <v>4</v>
      </c>
      <c r="D8" s="23" t="n">
        <f aca="false">IF($C8=0,"—",SUMIFS('Material Comparison'!$AI$7:$AI$338,'Material Comparison'!$B$7:$B$338,$A8))</f>
        <v>397594.14</v>
      </c>
      <c r="E8" s="23" t="n">
        <f aca="false">IF($C8=0,"—",SUMIFS('Material Comparison'!$AJ$7:$AJ$338,'Material Comparison'!$B$7:$B$338,$A8))</f>
        <v>409887.56</v>
      </c>
      <c r="F8" s="23" t="n">
        <f aca="false">IF($C8=0,"—",SUMIFS('Material Comparison'!$AK$7:$AK$338,'Material Comparison'!$B$7:$B$338,$A8))</f>
        <v>402127.325652174</v>
      </c>
      <c r="G8" s="23" t="n">
        <f aca="false">IF($C8=0,"—",SUMIFS('Material Comparison'!$AL$7:$AL$338,'Material Comparison'!$B$7:$B$338,$A8))</f>
        <v>406035.17</v>
      </c>
      <c r="H8" s="47" t="n">
        <f aca="false">IF($C8=0,"—",MIN(D8:G8))</f>
        <v>397594.14</v>
      </c>
      <c r="I8" s="42" t="str">
        <f aca="false">IF($C8=0,"—",IF(COUNTIF(D8:G8,H8)&gt;1,"Tie",INDEX($D$4:$G$4,MATCH(H8,D8:G8,0))))</f>
        <v>Ferguson</v>
      </c>
      <c r="J8" s="23" t="n">
        <f aca="false">IF($C8=0,"—",MAX(D8:G8)-MIN(D8:G8))</f>
        <v>12293.42</v>
      </c>
      <c r="K8" s="91" t="n">
        <f aca="false">IF($C8=0,"—",COUNTIFS('Material Comparison'!$B$7:$B$338,$A8,'Material Comparison'!$S$7:$S$338,"&gt;=2",'Material Comparison'!$AE$7:$AE$338,"&gt;=1",'Material Comparison'!$AE$7:$AE$338,"&lt;=4"))</f>
        <v>4</v>
      </c>
      <c r="L8" s="91" t="n">
        <f aca="false">IF($C8=0,"—",COUNTIFS('Material Comparison'!$B$7:$B$338,$A8,'Material Comparison'!$S$7:$S$338,"&gt;=2",'Material Comparison'!$AF$7:$AF$338,"&gt;=1",'Material Comparison'!$AF$7:$AF$338,"&lt;=4"))</f>
        <v>4</v>
      </c>
      <c r="M8" s="91" t="n">
        <f aca="false">IF($C8=0,"—",COUNTIFS('Material Comparison'!$B$7:$B$338,$A8,'Material Comparison'!$S$7:$S$338,"&gt;=2",'Material Comparison'!$AG$7:$AG$338,"&gt;=1",'Material Comparison'!$AG$7:$AG$338,"&lt;=4"))</f>
        <v>3</v>
      </c>
      <c r="N8" s="91" t="n">
        <f aca="false">IF($C8=0,"—",COUNTIFS('Material Comparison'!$B$7:$B$338,$A8,'Material Comparison'!$S$7:$S$338,"&gt;=2",'Material Comparison'!$AH$7:$AH$338,"&gt;=1",'Material Comparison'!$AH$7:$AH$338,"&lt;=4"))</f>
        <v>3</v>
      </c>
    </row>
    <row r="9" customFormat="false" ht="18" hidden="false" customHeight="true" outlineLevel="0" collapsed="false">
      <c r="A9" s="27" t="s">
        <v>511</v>
      </c>
      <c r="B9" s="35" t="s">
        <v>859</v>
      </c>
      <c r="C9" s="22" t="n">
        <f aca="false">COUNTIFS('Material Comparison'!$B$7:$B$338,$A9,'Material Comparison'!$S$7:$S$338,"&gt;=2")</f>
        <v>4</v>
      </c>
      <c r="D9" s="23" t="n">
        <f aca="false">IF($C9=0,"—",SUMIFS('Material Comparison'!$AI$7:$AI$338,'Material Comparison'!$B$7:$B$338,$A9))</f>
        <v>24072.8</v>
      </c>
      <c r="E9" s="23" t="n">
        <f aca="false">IF($C9=0,"—",SUMIFS('Material Comparison'!$AJ$7:$AJ$338,'Material Comparison'!$B$7:$B$338,$A9))</f>
        <v>20918.88</v>
      </c>
      <c r="F9" s="23" t="n">
        <f aca="false">IF($C9=0,"—",SUMIFS('Material Comparison'!$AK$7:$AK$338,'Material Comparison'!$B$7:$B$338,$A9))</f>
        <v>21527.61</v>
      </c>
      <c r="G9" s="23" t="n">
        <f aca="false">IF($C9=0,"—",SUMIFS('Material Comparison'!$AL$7:$AL$338,'Material Comparison'!$B$7:$B$338,$A9))</f>
        <v>21428.99</v>
      </c>
      <c r="H9" s="47" t="n">
        <f aca="false">IF($C9=0,"—",MIN(D9:G9))</f>
        <v>20918.88</v>
      </c>
      <c r="I9" s="42" t="str">
        <f aca="false">IF($C9=0,"—",IF(COUNTIF(D9:G9,H9)&gt;1,"Tie",INDEX($D$4:$G$4,MATCH(H9,D9:G9,0))))</f>
        <v>HD Fowler</v>
      </c>
      <c r="J9" s="23" t="n">
        <f aca="false">IF($C9=0,"—",MAX(D9:G9)-MIN(D9:G9))</f>
        <v>3153.92</v>
      </c>
      <c r="K9" s="91" t="n">
        <f aca="false">IF($C9=0,"—",COUNTIFS('Material Comparison'!$B$7:$B$338,$A9,'Material Comparison'!$S$7:$S$338,"&gt;=2",'Material Comparison'!$AE$7:$AE$338,"&gt;=1",'Material Comparison'!$AE$7:$AE$338,"&lt;=4"))</f>
        <v>4</v>
      </c>
      <c r="L9" s="91" t="n">
        <f aca="false">IF($C9=0,"—",COUNTIFS('Material Comparison'!$B$7:$B$338,$A9,'Material Comparison'!$S$7:$S$338,"&gt;=2",'Material Comparison'!$AF$7:$AF$338,"&gt;=1",'Material Comparison'!$AF$7:$AF$338,"&lt;=4"))</f>
        <v>4</v>
      </c>
      <c r="M9" s="91" t="n">
        <f aca="false">IF($C9=0,"—",COUNTIFS('Material Comparison'!$B$7:$B$338,$A9,'Material Comparison'!$S$7:$S$338,"&gt;=2",'Material Comparison'!$AG$7:$AG$338,"&gt;=1",'Material Comparison'!$AG$7:$AG$338,"&lt;=4"))</f>
        <v>4</v>
      </c>
      <c r="N9" s="91" t="n">
        <f aca="false">IF($C9=0,"—",COUNTIFS('Material Comparison'!$B$7:$B$338,$A9,'Material Comparison'!$S$7:$S$338,"&gt;=2",'Material Comparison'!$AH$7:$AH$338,"&gt;=1",'Material Comparison'!$AH$7:$AH$338,"&lt;=4"))</f>
        <v>3</v>
      </c>
    </row>
    <row r="10" customFormat="false" ht="18" hidden="false" customHeight="true" outlineLevel="0" collapsed="false">
      <c r="A10" s="27" t="s">
        <v>523</v>
      </c>
      <c r="B10" s="35" t="s">
        <v>860</v>
      </c>
      <c r="C10" s="22" t="n">
        <f aca="false">COUNTIFS('Material Comparison'!$B$7:$B$338,$A10,'Material Comparison'!$S$7:$S$338,"&gt;=2")</f>
        <v>6</v>
      </c>
      <c r="D10" s="23" t="n">
        <f aca="false">IF($C10=0,"—",SUMIFS('Material Comparison'!$AI$7:$AI$338,'Material Comparison'!$B$7:$B$338,$A10))</f>
        <v>9500.99</v>
      </c>
      <c r="E10" s="23" t="n">
        <f aca="false">IF($C10=0,"—",SUMIFS('Material Comparison'!$AJ$7:$AJ$338,'Material Comparison'!$B$7:$B$338,$A10))</f>
        <v>8161.71</v>
      </c>
      <c r="F10" s="23" t="n">
        <f aca="false">IF($C10=0,"—",SUMIFS('Material Comparison'!$AK$7:$AK$338,'Material Comparison'!$B$7:$B$338,$A10))</f>
        <v>8386.28</v>
      </c>
      <c r="G10" s="23" t="n">
        <f aca="false">IF($C10=0,"—",SUMIFS('Material Comparison'!$AL$7:$AL$338,'Material Comparison'!$B$7:$B$338,$A10))</f>
        <v>9200.33</v>
      </c>
      <c r="H10" s="47" t="n">
        <f aca="false">IF($C10=0,"—",MIN(D10:G10))</f>
        <v>8161.71</v>
      </c>
      <c r="I10" s="42" t="str">
        <f aca="false">IF($C10=0,"—",IF(COUNTIF(D10:G10,H10)&gt;1,"Tie",INDEX($D$4:$G$4,MATCH(H10,D10:G10,0))))</f>
        <v>HD Fowler</v>
      </c>
      <c r="J10" s="23" t="n">
        <f aca="false">IF($C10=0,"—",MAX(D10:G10)-MIN(D10:G10))</f>
        <v>1339.28</v>
      </c>
      <c r="K10" s="91" t="n">
        <f aca="false">IF($C10=0,"—",COUNTIFS('Material Comparison'!$B$7:$B$338,$A10,'Material Comparison'!$S$7:$S$338,"&gt;=2",'Material Comparison'!$AE$7:$AE$338,"&gt;=1",'Material Comparison'!$AE$7:$AE$338,"&lt;=4"))</f>
        <v>4</v>
      </c>
      <c r="L10" s="91" t="n">
        <f aca="false">IF($C10=0,"—",COUNTIFS('Material Comparison'!$B$7:$B$338,$A10,'Material Comparison'!$S$7:$S$338,"&gt;=2",'Material Comparison'!$AF$7:$AF$338,"&gt;=1",'Material Comparison'!$AF$7:$AF$338,"&lt;=4"))</f>
        <v>4</v>
      </c>
      <c r="M10" s="91" t="n">
        <f aca="false">IF($C10=0,"—",COUNTIFS('Material Comparison'!$B$7:$B$338,$A10,'Material Comparison'!$S$7:$S$338,"&gt;=2",'Material Comparison'!$AG$7:$AG$338,"&gt;=1",'Material Comparison'!$AG$7:$AG$338,"&lt;=4"))</f>
        <v>6</v>
      </c>
      <c r="N10" s="91" t="n">
        <f aca="false">IF($C10=0,"—",COUNTIFS('Material Comparison'!$B$7:$B$338,$A10,'Material Comparison'!$S$7:$S$338,"&gt;=2",'Material Comparison'!$AH$7:$AH$338,"&gt;=1",'Material Comparison'!$AH$7:$AH$338,"&lt;=4"))</f>
        <v>5</v>
      </c>
    </row>
    <row r="11" customFormat="false" ht="18" hidden="false" customHeight="true" outlineLevel="0" collapsed="false">
      <c r="A11" s="27" t="s">
        <v>540</v>
      </c>
      <c r="B11" s="35" t="s">
        <v>861</v>
      </c>
      <c r="C11" s="22" t="n">
        <f aca="false">COUNTIFS('Material Comparison'!$B$7:$B$338,$A11,'Material Comparison'!$S$7:$S$338,"&gt;=2")</f>
        <v>4</v>
      </c>
      <c r="D11" s="23" t="n">
        <f aca="false">IF($C11=0,"—",SUMIFS('Material Comparison'!$AI$7:$AI$338,'Material Comparison'!$B$7:$B$338,$A11))</f>
        <v>68725.6</v>
      </c>
      <c r="E11" s="23" t="n">
        <f aca="false">IF($C11=0,"—",SUMIFS('Material Comparison'!$AJ$7:$AJ$338,'Material Comparison'!$B$7:$B$338,$A11))</f>
        <v>56878.72</v>
      </c>
      <c r="F11" s="23" t="n">
        <f aca="false">IF($C11=0,"—",SUMIFS('Material Comparison'!$AK$7:$AK$338,'Material Comparison'!$B$7:$B$338,$A11))</f>
        <v>59134.058</v>
      </c>
      <c r="G11" s="23" t="n">
        <f aca="false">IF($C11=0,"—",SUMIFS('Material Comparison'!$AL$7:$AL$338,'Material Comparison'!$B$7:$B$338,$A11))</f>
        <v>60880</v>
      </c>
      <c r="H11" s="47" t="n">
        <f aca="false">IF($C11=0,"—",MIN(D11:G11))</f>
        <v>56878.72</v>
      </c>
      <c r="I11" s="42" t="str">
        <f aca="false">IF($C11=0,"—",IF(COUNTIF(D11:G11,H11)&gt;1,"Tie",INDEX($D$4:$G$4,MATCH(H11,D11:G11,0))))</f>
        <v>HD Fowler</v>
      </c>
      <c r="J11" s="23" t="n">
        <f aca="false">IF($C11=0,"—",MAX(D11:G11)-MIN(D11:G11))</f>
        <v>11846.88</v>
      </c>
      <c r="K11" s="91" t="n">
        <f aca="false">IF($C11=0,"—",COUNTIFS('Material Comparison'!$B$7:$B$338,$A11,'Material Comparison'!$S$7:$S$338,"&gt;=2",'Material Comparison'!$AE$7:$AE$338,"&gt;=1",'Material Comparison'!$AE$7:$AE$338,"&lt;=4"))</f>
        <v>4</v>
      </c>
      <c r="L11" s="91" t="n">
        <f aca="false">IF($C11=0,"—",COUNTIFS('Material Comparison'!$B$7:$B$338,$A11,'Material Comparison'!$S$7:$S$338,"&gt;=2",'Material Comparison'!$AF$7:$AF$338,"&gt;=1",'Material Comparison'!$AF$7:$AF$338,"&lt;=4"))</f>
        <v>4</v>
      </c>
      <c r="M11" s="91" t="n">
        <f aca="false">IF($C11=0,"—",COUNTIFS('Material Comparison'!$B$7:$B$338,$A11,'Material Comparison'!$S$7:$S$338,"&gt;=2",'Material Comparison'!$AG$7:$AG$338,"&gt;=1",'Material Comparison'!$AG$7:$AG$338,"&lt;=4"))</f>
        <v>4</v>
      </c>
      <c r="N11" s="91" t="n">
        <f aca="false">IF($C11=0,"—",COUNTIFS('Material Comparison'!$B$7:$B$338,$A11,'Material Comparison'!$S$7:$S$338,"&gt;=2",'Material Comparison'!$AH$7:$AH$338,"&gt;=1",'Material Comparison'!$AH$7:$AH$338,"&lt;=4"))</f>
        <v>3</v>
      </c>
    </row>
    <row r="12" customFormat="false" ht="18" hidden="false" customHeight="true" outlineLevel="0" collapsed="false">
      <c r="A12" s="27" t="s">
        <v>552</v>
      </c>
      <c r="B12" s="35" t="s">
        <v>862</v>
      </c>
      <c r="C12" s="22" t="n">
        <f aca="false">COUNTIFS('Material Comparison'!$B$7:$B$338,$A12,'Material Comparison'!$S$7:$S$338,"&gt;=2")</f>
        <v>4</v>
      </c>
      <c r="D12" s="23" t="n">
        <f aca="false">IF($C12=0,"—",SUMIFS('Material Comparison'!$AI$7:$AI$338,'Material Comparison'!$B$7:$B$338,$A12))</f>
        <v>74873.52</v>
      </c>
      <c r="E12" s="23" t="n">
        <f aca="false">IF($C12=0,"—",SUMIFS('Material Comparison'!$AJ$7:$AJ$338,'Material Comparison'!$B$7:$B$338,$A12))</f>
        <v>67524.96</v>
      </c>
      <c r="F12" s="23" t="n">
        <f aca="false">IF($C12=0,"—",SUMIFS('Material Comparison'!$AK$7:$AK$338,'Material Comparison'!$B$7:$B$338,$A12))</f>
        <v>57515.1263636364</v>
      </c>
      <c r="G12" s="23" t="n">
        <f aca="false">IF($C12=0,"—",SUMIFS('Material Comparison'!$AL$7:$AL$338,'Material Comparison'!$B$7:$B$338,$A12))</f>
        <v>56628.65</v>
      </c>
      <c r="H12" s="47" t="n">
        <f aca="false">IF($C12=0,"—",MIN(D12:G12))</f>
        <v>56628.65</v>
      </c>
      <c r="I12" s="42" t="str">
        <f aca="false">IF($C12=0,"—",IF(COUNTIF(D12:G12,H12)&gt;1,"Tie",INDEX($D$4:$G$4,MATCH(H12,D12:G12,0))))</f>
        <v>Scholzen</v>
      </c>
      <c r="J12" s="23" t="n">
        <f aca="false">IF($C12=0,"—",MAX(D12:G12)-MIN(D12:G12))</f>
        <v>18244.87</v>
      </c>
      <c r="K12" s="91" t="n">
        <f aca="false">IF($C12=0,"—",COUNTIFS('Material Comparison'!$B$7:$B$338,$A12,'Material Comparison'!$S$7:$S$338,"&gt;=2",'Material Comparison'!$AE$7:$AE$338,"&gt;=1",'Material Comparison'!$AE$7:$AE$338,"&lt;=4"))</f>
        <v>4</v>
      </c>
      <c r="L12" s="91" t="n">
        <f aca="false">IF($C12=0,"—",COUNTIFS('Material Comparison'!$B$7:$B$338,$A12,'Material Comparison'!$S$7:$S$338,"&gt;=2",'Material Comparison'!$AF$7:$AF$338,"&gt;=1",'Material Comparison'!$AF$7:$AF$338,"&lt;=4"))</f>
        <v>4</v>
      </c>
      <c r="M12" s="91" t="n">
        <f aca="false">IF($C12=0,"—",COUNTIFS('Material Comparison'!$B$7:$B$338,$A12,'Material Comparison'!$S$7:$S$338,"&gt;=2",'Material Comparison'!$AG$7:$AG$338,"&gt;=1",'Material Comparison'!$AG$7:$AG$338,"&lt;=4"))</f>
        <v>4</v>
      </c>
      <c r="N12" s="91" t="n">
        <f aca="false">IF($C12=0,"—",COUNTIFS('Material Comparison'!$B$7:$B$338,$A12,'Material Comparison'!$S$7:$S$338,"&gt;=2",'Material Comparison'!$AH$7:$AH$338,"&gt;=1",'Material Comparison'!$AH$7:$AH$338,"&lt;=4"))</f>
        <v>3</v>
      </c>
    </row>
    <row r="13" customFormat="false" ht="18" hidden="false" customHeight="true" outlineLevel="0" collapsed="false">
      <c r="A13" s="27" t="s">
        <v>569</v>
      </c>
      <c r="B13" s="35" t="s">
        <v>863</v>
      </c>
      <c r="C13" s="22" t="n">
        <f aca="false">COUNTIFS('Material Comparison'!$B$7:$B$338,$A13,'Material Comparison'!$S$7:$S$338,"&gt;=2")</f>
        <v>2</v>
      </c>
      <c r="D13" s="23" t="n">
        <f aca="false">IF($C13=0,"—",SUMIFS('Material Comparison'!$AI$7:$AI$338,'Material Comparison'!$B$7:$B$338,$A13))</f>
        <v>1335.56</v>
      </c>
      <c r="E13" s="23" t="n">
        <f aca="false">IF($C13=0,"—",SUMIFS('Material Comparison'!$AJ$7:$AJ$338,'Material Comparison'!$B$7:$B$338,$A13))</f>
        <v>1356.96</v>
      </c>
      <c r="F13" s="23" t="n">
        <f aca="false">IF($C13=0,"—",SUMIFS('Material Comparison'!$AK$7:$AK$338,'Material Comparison'!$B$7:$B$338,$A13))</f>
        <v>1291.23</v>
      </c>
      <c r="G13" s="23" t="n">
        <f aca="false">IF($C13=0,"—",SUMIFS('Material Comparison'!$AL$7:$AL$338,'Material Comparison'!$B$7:$B$338,$A13))</f>
        <v>1538.42</v>
      </c>
      <c r="H13" s="47" t="n">
        <f aca="false">IF($C13=0,"—",MIN(D13:G13))</f>
        <v>1291.23</v>
      </c>
      <c r="I13" s="42" t="str">
        <f aca="false">IF($C13=0,"—",IF(COUNTIF(D13:G13,H13)&gt;1,"Tie",INDEX($D$4:$G$4,MATCH(H13,D13:G13,0))))</f>
        <v>Mountainland</v>
      </c>
      <c r="J13" s="23" t="n">
        <f aca="false">IF($C13=0,"—",MAX(D13:G13)-MIN(D13:G13))</f>
        <v>247.19</v>
      </c>
      <c r="K13" s="91" t="n">
        <f aca="false">IF($C13=0,"—",COUNTIFS('Material Comparison'!$B$7:$B$338,$A13,'Material Comparison'!$S$7:$S$338,"&gt;=2",'Material Comparison'!$AE$7:$AE$338,"&gt;=1",'Material Comparison'!$AE$7:$AE$338,"&lt;=4"))</f>
        <v>2</v>
      </c>
      <c r="L13" s="91" t="n">
        <f aca="false">IF($C13=0,"—",COUNTIFS('Material Comparison'!$B$7:$B$338,$A13,'Material Comparison'!$S$7:$S$338,"&gt;=2",'Material Comparison'!$AF$7:$AF$338,"&gt;=1",'Material Comparison'!$AF$7:$AF$338,"&lt;=4"))</f>
        <v>2</v>
      </c>
      <c r="M13" s="91" t="n">
        <f aca="false">IF($C13=0,"—",COUNTIFS('Material Comparison'!$B$7:$B$338,$A13,'Material Comparison'!$S$7:$S$338,"&gt;=2",'Material Comparison'!$AG$7:$AG$338,"&gt;=1",'Material Comparison'!$AG$7:$AG$338,"&lt;=4"))</f>
        <v>2</v>
      </c>
      <c r="N13" s="91" t="n">
        <f aca="false">IF($C13=0,"—",COUNTIFS('Material Comparison'!$B$7:$B$338,$A13,'Material Comparison'!$S$7:$S$338,"&gt;=2",'Material Comparison'!$AH$7:$AH$338,"&gt;=1",'Material Comparison'!$AH$7:$AH$338,"&lt;=4"))</f>
        <v>2</v>
      </c>
    </row>
    <row r="14" customFormat="false" ht="18" hidden="false" customHeight="true" outlineLevel="0" collapsed="false">
      <c r="A14" s="27" t="s">
        <v>574</v>
      </c>
      <c r="B14" s="35" t="s">
        <v>864</v>
      </c>
      <c r="C14" s="22" t="n">
        <f aca="false">COUNTIFS('Material Comparison'!$B$7:$B$338,$A14,'Material Comparison'!$S$7:$S$338,"&gt;=2")</f>
        <v>2</v>
      </c>
      <c r="D14" s="23" t="n">
        <f aca="false">IF($C14=0,"—",SUMIFS('Material Comparison'!$AI$7:$AI$338,'Material Comparison'!$B$7:$B$338,$A14))</f>
        <v>740.03</v>
      </c>
      <c r="E14" s="23" t="n">
        <f aca="false">IF($C14=0,"—",SUMIFS('Material Comparison'!$AJ$7:$AJ$338,'Material Comparison'!$B$7:$B$338,$A14))</f>
        <v>753.96</v>
      </c>
      <c r="F14" s="23" t="n">
        <f aca="false">IF($C14=0,"—",SUMIFS('Material Comparison'!$AK$7:$AK$338,'Material Comparison'!$B$7:$B$338,$A14))</f>
        <v>727.57</v>
      </c>
      <c r="G14" s="23" t="n">
        <f aca="false">IF($C14=0,"—",SUMIFS('Material Comparison'!$AL$7:$AL$338,'Material Comparison'!$B$7:$B$338,$A14))</f>
        <v>853.21</v>
      </c>
      <c r="H14" s="47" t="n">
        <f aca="false">IF($C14=0,"—",MIN(D14:G14))</f>
        <v>727.57</v>
      </c>
      <c r="I14" s="42" t="str">
        <f aca="false">IF($C14=0,"—",IF(COUNTIF(D14:G14,H14)&gt;1,"Tie",INDEX($D$4:$G$4,MATCH(H14,D14:G14,0))))</f>
        <v>Mountainland</v>
      </c>
      <c r="J14" s="23" t="n">
        <f aca="false">IF($C14=0,"—",MAX(D14:G14)-MIN(D14:G14))</f>
        <v>125.64</v>
      </c>
      <c r="K14" s="91" t="n">
        <f aca="false">IF($C14=0,"—",COUNTIFS('Material Comparison'!$B$7:$B$338,$A14,'Material Comparison'!$S$7:$S$338,"&gt;=2",'Material Comparison'!$AE$7:$AE$338,"&gt;=1",'Material Comparison'!$AE$7:$AE$338,"&lt;=4"))</f>
        <v>2</v>
      </c>
      <c r="L14" s="91" t="n">
        <f aca="false">IF($C14=0,"—",COUNTIFS('Material Comparison'!$B$7:$B$338,$A14,'Material Comparison'!$S$7:$S$338,"&gt;=2",'Material Comparison'!$AF$7:$AF$338,"&gt;=1",'Material Comparison'!$AF$7:$AF$338,"&lt;=4"))</f>
        <v>2</v>
      </c>
      <c r="M14" s="91" t="n">
        <f aca="false">IF($C14=0,"—",COUNTIFS('Material Comparison'!$B$7:$B$338,$A14,'Material Comparison'!$S$7:$S$338,"&gt;=2",'Material Comparison'!$AG$7:$AG$338,"&gt;=1",'Material Comparison'!$AG$7:$AG$338,"&lt;=4"))</f>
        <v>2</v>
      </c>
      <c r="N14" s="91" t="n">
        <f aca="false">IF($C14=0,"—",COUNTIFS('Material Comparison'!$B$7:$B$338,$A14,'Material Comparison'!$S$7:$S$338,"&gt;=2",'Material Comparison'!$AH$7:$AH$338,"&gt;=1",'Material Comparison'!$AH$7:$AH$338,"&lt;=4"))</f>
        <v>2</v>
      </c>
    </row>
    <row r="15" customFormat="false" ht="18" hidden="false" customHeight="true" outlineLevel="0" collapsed="false">
      <c r="A15" s="27" t="s">
        <v>579</v>
      </c>
      <c r="B15" s="35" t="s">
        <v>865</v>
      </c>
      <c r="C15" s="22" t="n">
        <f aca="false">COUNTIFS('Material Comparison'!$B$7:$B$338,$A15,'Material Comparison'!$S$7:$S$338,"&gt;=2")</f>
        <v>5</v>
      </c>
      <c r="D15" s="23" t="n">
        <f aca="false">IF($C15=0,"—",SUMIFS('Material Comparison'!$AI$7:$AI$338,'Material Comparison'!$B$7:$B$338,$A15))</f>
        <v>18983.58</v>
      </c>
      <c r="E15" s="23" t="n">
        <f aca="false">IF($C15=0,"—",SUMIFS('Material Comparison'!$AJ$7:$AJ$338,'Material Comparison'!$B$7:$B$338,$A15))</f>
        <v>19595.45</v>
      </c>
      <c r="F15" s="23" t="n">
        <f aca="false">IF($C15=0,"—",SUMIFS('Material Comparison'!$AK$7:$AK$338,'Material Comparison'!$B$7:$B$338,$A15))</f>
        <v>20609.29</v>
      </c>
      <c r="G15" s="23" t="n">
        <f aca="false">IF($C15=0,"—",SUMIFS('Material Comparison'!$AL$7:$AL$338,'Material Comparison'!$B$7:$B$338,$A15))</f>
        <v>21839.34</v>
      </c>
      <c r="H15" s="47" t="n">
        <f aca="false">IF($C15=0,"—",MIN(D15:G15))</f>
        <v>18983.58</v>
      </c>
      <c r="I15" s="42" t="str">
        <f aca="false">IF($C15=0,"—",IF(COUNTIF(D15:G15,H15)&gt;1,"Tie",INDEX($D$4:$G$4,MATCH(H15,D15:G15,0))))</f>
        <v>Ferguson</v>
      </c>
      <c r="J15" s="23" t="n">
        <f aca="false">IF($C15=0,"—",MAX(D15:G15)-MIN(D15:G15))</f>
        <v>2855.76</v>
      </c>
      <c r="K15" s="91" t="n">
        <f aca="false">IF($C15=0,"—",COUNTIFS('Material Comparison'!$B$7:$B$338,$A15,'Material Comparison'!$S$7:$S$338,"&gt;=2",'Material Comparison'!$AE$7:$AE$338,"&gt;=1",'Material Comparison'!$AE$7:$AE$338,"&lt;=4"))</f>
        <v>5</v>
      </c>
      <c r="L15" s="91" t="n">
        <f aca="false">IF($C15=0,"—",COUNTIFS('Material Comparison'!$B$7:$B$338,$A15,'Material Comparison'!$S$7:$S$338,"&gt;=2",'Material Comparison'!$AF$7:$AF$338,"&gt;=1",'Material Comparison'!$AF$7:$AF$338,"&lt;=4"))</f>
        <v>4</v>
      </c>
      <c r="M15" s="91" t="n">
        <f aca="false">IF($C15=0,"—",COUNTIFS('Material Comparison'!$B$7:$B$338,$A15,'Material Comparison'!$S$7:$S$338,"&gt;=2",'Material Comparison'!$AG$7:$AG$338,"&gt;=1",'Material Comparison'!$AG$7:$AG$338,"&lt;=4"))</f>
        <v>5</v>
      </c>
      <c r="N15" s="91" t="n">
        <f aca="false">IF($C15=0,"—",COUNTIFS('Material Comparison'!$B$7:$B$338,$A15,'Material Comparison'!$S$7:$S$338,"&gt;=2",'Material Comparison'!$AH$7:$AH$338,"&gt;=1",'Material Comparison'!$AH$7:$AH$338,"&lt;=4"))</f>
        <v>5</v>
      </c>
    </row>
    <row r="16" customFormat="false" ht="18" hidden="false" customHeight="true" outlineLevel="0" collapsed="false">
      <c r="A16" s="27" t="s">
        <v>591</v>
      </c>
      <c r="B16" s="35" t="s">
        <v>866</v>
      </c>
      <c r="C16" s="22" t="n">
        <f aca="false">COUNTIFS('Material Comparison'!$B$7:$B$338,$A16,'Material Comparison'!$S$7:$S$338,"&gt;=2")</f>
        <v>5</v>
      </c>
      <c r="D16" s="23" t="n">
        <f aca="false">IF($C16=0,"—",SUMIFS('Material Comparison'!$AI$7:$AI$338,'Material Comparison'!$B$7:$B$338,$A16))</f>
        <v>6718.09</v>
      </c>
      <c r="E16" s="23" t="n">
        <f aca="false">IF($C16=0,"—",SUMIFS('Material Comparison'!$AJ$7:$AJ$338,'Material Comparison'!$B$7:$B$338,$A16))</f>
        <v>7058.82</v>
      </c>
      <c r="F16" s="23" t="n">
        <f aca="false">IF($C16=0,"—",SUMIFS('Material Comparison'!$AK$7:$AK$338,'Material Comparison'!$B$7:$B$338,$A16))</f>
        <v>7328.74</v>
      </c>
      <c r="G16" s="23" t="n">
        <f aca="false">IF($C16=0,"—",SUMIFS('Material Comparison'!$AL$7:$AL$338,'Material Comparison'!$B$7:$B$338,$A16))</f>
        <v>7544.62</v>
      </c>
      <c r="H16" s="47" t="n">
        <f aca="false">IF($C16=0,"—",MIN(D16:G16))</f>
        <v>6718.09</v>
      </c>
      <c r="I16" s="42" t="str">
        <f aca="false">IF($C16=0,"—",IF(COUNTIF(D16:G16,H16)&gt;1,"Tie",INDEX($D$4:$G$4,MATCH(H16,D16:G16,0))))</f>
        <v>Ferguson</v>
      </c>
      <c r="J16" s="23" t="n">
        <f aca="false">IF($C16=0,"—",MAX(D16:G16)-MIN(D16:G16))</f>
        <v>826.53</v>
      </c>
      <c r="K16" s="91" t="n">
        <f aca="false">IF($C16=0,"—",COUNTIFS('Material Comparison'!$B$7:$B$338,$A16,'Material Comparison'!$S$7:$S$338,"&gt;=2",'Material Comparison'!$AE$7:$AE$338,"&gt;=1",'Material Comparison'!$AE$7:$AE$338,"&lt;=4"))</f>
        <v>4</v>
      </c>
      <c r="L16" s="91" t="n">
        <f aca="false">IF($C16=0,"—",COUNTIFS('Material Comparison'!$B$7:$B$338,$A16,'Material Comparison'!$S$7:$S$338,"&gt;=2",'Material Comparison'!$AF$7:$AF$338,"&gt;=1",'Material Comparison'!$AF$7:$AF$338,"&lt;=4"))</f>
        <v>3</v>
      </c>
      <c r="M16" s="91" t="n">
        <f aca="false">IF($C16=0,"—",COUNTIFS('Material Comparison'!$B$7:$B$338,$A16,'Material Comparison'!$S$7:$S$338,"&gt;=2",'Material Comparison'!$AG$7:$AG$338,"&gt;=1",'Material Comparison'!$AG$7:$AG$338,"&lt;=4"))</f>
        <v>4</v>
      </c>
      <c r="N16" s="91" t="n">
        <f aca="false">IF($C16=0,"—",COUNTIFS('Material Comparison'!$B$7:$B$338,$A16,'Material Comparison'!$S$7:$S$338,"&gt;=2",'Material Comparison'!$AH$7:$AH$338,"&gt;=1",'Material Comparison'!$AH$7:$AH$338,"&lt;=4"))</f>
        <v>4</v>
      </c>
    </row>
    <row r="17" customFormat="false" ht="18" hidden="false" customHeight="true" outlineLevel="0" collapsed="false">
      <c r="A17" s="27" t="s">
        <v>604</v>
      </c>
      <c r="B17" s="35" t="s">
        <v>867</v>
      </c>
      <c r="C17" s="22" t="n">
        <f aca="false">COUNTIFS('Material Comparison'!$B$7:$B$338,$A17,'Material Comparison'!$S$7:$S$338,"&gt;=2")</f>
        <v>3</v>
      </c>
      <c r="D17" s="23" t="n">
        <f aca="false">IF($C17=0,"—",SUMIFS('Material Comparison'!$AI$7:$AI$338,'Material Comparison'!$B$7:$B$338,$A17))</f>
        <v>3446.44</v>
      </c>
      <c r="E17" s="23" t="n">
        <f aca="false">IF($C17=0,"—",SUMIFS('Material Comparison'!$AJ$7:$AJ$338,'Material Comparison'!$B$7:$B$338,$A17))</f>
        <v>3805.98</v>
      </c>
      <c r="F17" s="23" t="n">
        <f aca="false">IF($C17=0,"—",SUMIFS('Material Comparison'!$AK$7:$AK$338,'Material Comparison'!$B$7:$B$338,$A17))</f>
        <v>3863.57</v>
      </c>
      <c r="G17" s="23" t="n">
        <f aca="false">IF($C17=0,"—",SUMIFS('Material Comparison'!$AL$7:$AL$338,'Material Comparison'!$B$7:$B$338,$A17))</f>
        <v>4074.18</v>
      </c>
      <c r="H17" s="47" t="n">
        <f aca="false">IF($C17=0,"—",MIN(D17:G17))</f>
        <v>3446.44</v>
      </c>
      <c r="I17" s="42" t="str">
        <f aca="false">IF($C17=0,"—",IF(COUNTIF(D17:G17,H17)&gt;1,"Tie",INDEX($D$4:$G$4,MATCH(H17,D17:G17,0))))</f>
        <v>Ferguson</v>
      </c>
      <c r="J17" s="23" t="n">
        <f aca="false">IF($C17=0,"—",MAX(D17:G17)-MIN(D17:G17))</f>
        <v>627.74</v>
      </c>
      <c r="K17" s="91" t="n">
        <f aca="false">IF($C17=0,"—",COUNTIFS('Material Comparison'!$B$7:$B$338,$A17,'Material Comparison'!$S$7:$S$338,"&gt;=2",'Material Comparison'!$AE$7:$AE$338,"&gt;=1",'Material Comparison'!$AE$7:$AE$338,"&lt;=4"))</f>
        <v>3</v>
      </c>
      <c r="L17" s="91" t="n">
        <f aca="false">IF($C17=0,"—",COUNTIFS('Material Comparison'!$B$7:$B$338,$A17,'Material Comparison'!$S$7:$S$338,"&gt;=2",'Material Comparison'!$AF$7:$AF$338,"&gt;=1",'Material Comparison'!$AF$7:$AF$338,"&lt;=4"))</f>
        <v>3</v>
      </c>
      <c r="M17" s="91" t="n">
        <f aca="false">IF($C17=0,"—",COUNTIFS('Material Comparison'!$B$7:$B$338,$A17,'Material Comparison'!$S$7:$S$338,"&gt;=2",'Material Comparison'!$AG$7:$AG$338,"&gt;=1",'Material Comparison'!$AG$7:$AG$338,"&lt;=4"))</f>
        <v>3</v>
      </c>
      <c r="N17" s="91" t="n">
        <f aca="false">IF($C17=0,"—",COUNTIFS('Material Comparison'!$B$7:$B$338,$A17,'Material Comparison'!$S$7:$S$338,"&gt;=2",'Material Comparison'!$AH$7:$AH$338,"&gt;=1",'Material Comparison'!$AH$7:$AH$338,"&lt;=4"))</f>
        <v>3</v>
      </c>
    </row>
    <row r="18" customFormat="false" ht="18" hidden="false" customHeight="true" outlineLevel="0" collapsed="false">
      <c r="A18" s="27" t="s">
        <v>616</v>
      </c>
      <c r="B18" s="35" t="s">
        <v>868</v>
      </c>
      <c r="C18" s="22" t="n">
        <f aca="false">COUNTIFS('Material Comparison'!$B$7:$B$338,$A18,'Material Comparison'!$S$7:$S$338,"&gt;=2")</f>
        <v>3</v>
      </c>
      <c r="D18" s="23" t="n">
        <f aca="false">IF($C18=0,"—",SUMIFS('Material Comparison'!$AI$7:$AI$338,'Material Comparison'!$B$7:$B$338,$A18))</f>
        <v>25845.76</v>
      </c>
      <c r="E18" s="23" t="n">
        <f aca="false">IF($C18=0,"—",SUMIFS('Material Comparison'!$AJ$7:$AJ$338,'Material Comparison'!$B$7:$B$338,$A18))</f>
        <v>29535.32</v>
      </c>
      <c r="F18" s="23" t="n">
        <f aca="false">IF($C18=0,"—",SUMIFS('Material Comparison'!$AK$7:$AK$338,'Material Comparison'!$B$7:$B$338,$A18))</f>
        <v>27816.02</v>
      </c>
      <c r="G18" s="23" t="n">
        <f aca="false">IF($C18=0,"—",SUMIFS('Material Comparison'!$AL$7:$AL$338,'Material Comparison'!$B$7:$B$338,$A18))</f>
        <v>28646.01</v>
      </c>
      <c r="H18" s="47" t="n">
        <f aca="false">IF($C18=0,"—",MIN(D18:G18))</f>
        <v>25845.76</v>
      </c>
      <c r="I18" s="42" t="str">
        <f aca="false">IF($C18=0,"—",IF(COUNTIF(D18:G18,H18)&gt;1,"Tie",INDEX($D$4:$G$4,MATCH(H18,D18:G18,0))))</f>
        <v>Ferguson</v>
      </c>
      <c r="J18" s="23" t="n">
        <f aca="false">IF($C18=0,"—",MAX(D18:G18)-MIN(D18:G18))</f>
        <v>3689.56</v>
      </c>
      <c r="K18" s="91" t="n">
        <f aca="false">IF($C18=0,"—",COUNTIFS('Material Comparison'!$B$7:$B$338,$A18,'Material Comparison'!$S$7:$S$338,"&gt;=2",'Material Comparison'!$AE$7:$AE$338,"&gt;=1",'Material Comparison'!$AE$7:$AE$338,"&lt;=4"))</f>
        <v>3</v>
      </c>
      <c r="L18" s="91" t="n">
        <f aca="false">IF($C18=0,"—",COUNTIFS('Material Comparison'!$B$7:$B$338,$A18,'Material Comparison'!$S$7:$S$338,"&gt;=2",'Material Comparison'!$AF$7:$AF$338,"&gt;=1",'Material Comparison'!$AF$7:$AF$338,"&lt;=4"))</f>
        <v>3</v>
      </c>
      <c r="M18" s="91" t="n">
        <f aca="false">IF($C18=0,"—",COUNTIFS('Material Comparison'!$B$7:$B$338,$A18,'Material Comparison'!$S$7:$S$338,"&gt;=2",'Material Comparison'!$AG$7:$AG$338,"&gt;=1",'Material Comparison'!$AG$7:$AG$338,"&lt;=4"))</f>
        <v>3</v>
      </c>
      <c r="N18" s="91" t="n">
        <f aca="false">IF($C18=0,"—",COUNTIFS('Material Comparison'!$B$7:$B$338,$A18,'Material Comparison'!$S$7:$S$338,"&gt;=2",'Material Comparison'!$AH$7:$AH$338,"&gt;=1",'Material Comparison'!$AH$7:$AH$338,"&lt;=4"))</f>
        <v>3</v>
      </c>
    </row>
    <row r="19" customFormat="false" ht="18" hidden="false" customHeight="true" outlineLevel="0" collapsed="false">
      <c r="A19" s="27" t="s">
        <v>629</v>
      </c>
      <c r="B19" s="35" t="s">
        <v>869</v>
      </c>
      <c r="C19" s="22" t="n">
        <f aca="false">COUNTIFS('Material Comparison'!$B$7:$B$338,$A19,'Material Comparison'!$S$7:$S$338,"&gt;=2")</f>
        <v>1</v>
      </c>
      <c r="D19" s="23" t="n">
        <f aca="false">IF($C19=0,"—",SUMIFS('Material Comparison'!$AI$7:$AI$338,'Material Comparison'!$B$7:$B$338,$A19))</f>
        <v>9719.49</v>
      </c>
      <c r="E19" s="23" t="n">
        <f aca="false">IF($C19=0,"—",SUMIFS('Material Comparison'!$AJ$7:$AJ$338,'Material Comparison'!$B$7:$B$338,$A19))</f>
        <v>10155.21</v>
      </c>
      <c r="F19" s="23" t="n">
        <f aca="false">IF($C19=0,"—",SUMIFS('Material Comparison'!$AK$7:$AK$338,'Material Comparison'!$B$7:$B$338,$A19))</f>
        <v>11026.1</v>
      </c>
      <c r="G19" s="23" t="n">
        <f aca="false">IF($C19=0,"—",SUMIFS('Material Comparison'!$AL$7:$AL$338,'Material Comparison'!$B$7:$B$338,$A19))</f>
        <v>10636.92</v>
      </c>
      <c r="H19" s="47" t="n">
        <f aca="false">IF($C19=0,"—",MIN(D19:G19))</f>
        <v>9719.49</v>
      </c>
      <c r="I19" s="42" t="str">
        <f aca="false">IF($C19=0,"—",IF(COUNTIF(D19:G19,H19)&gt;1,"Tie",INDEX($D$4:$G$4,MATCH(H19,D19:G19,0))))</f>
        <v>Ferguson</v>
      </c>
      <c r="J19" s="23" t="n">
        <f aca="false">IF($C19=0,"—",MAX(D19:G19)-MIN(D19:G19))</f>
        <v>1306.61</v>
      </c>
      <c r="K19" s="91" t="n">
        <f aca="false">IF($C19=0,"—",COUNTIFS('Material Comparison'!$B$7:$B$338,$A19,'Material Comparison'!$S$7:$S$338,"&gt;=2",'Material Comparison'!$AE$7:$AE$338,"&gt;=1",'Material Comparison'!$AE$7:$AE$338,"&lt;=4"))</f>
        <v>1</v>
      </c>
      <c r="L19" s="91" t="n">
        <f aca="false">IF($C19=0,"—",COUNTIFS('Material Comparison'!$B$7:$B$338,$A19,'Material Comparison'!$S$7:$S$338,"&gt;=2",'Material Comparison'!$AF$7:$AF$338,"&gt;=1",'Material Comparison'!$AF$7:$AF$338,"&lt;=4"))</f>
        <v>1</v>
      </c>
      <c r="M19" s="91" t="n">
        <f aca="false">IF($C19=0,"—",COUNTIFS('Material Comparison'!$B$7:$B$338,$A19,'Material Comparison'!$S$7:$S$338,"&gt;=2",'Material Comparison'!$AG$7:$AG$338,"&gt;=1",'Material Comparison'!$AG$7:$AG$338,"&lt;=4"))</f>
        <v>1</v>
      </c>
      <c r="N19" s="91" t="n">
        <f aca="false">IF($C19=0,"—",COUNTIFS('Material Comparison'!$B$7:$B$338,$A19,'Material Comparison'!$S$7:$S$338,"&gt;=2",'Material Comparison'!$AH$7:$AH$338,"&gt;=1",'Material Comparison'!$AH$7:$AH$338,"&lt;=4"))</f>
        <v>1</v>
      </c>
    </row>
    <row r="20" customFormat="false" ht="18" hidden="false" customHeight="true" outlineLevel="0" collapsed="false">
      <c r="A20" s="27" t="s">
        <v>636</v>
      </c>
      <c r="B20" s="35" t="s">
        <v>870</v>
      </c>
      <c r="C20" s="22" t="n">
        <f aca="false">COUNTIFS('Material Comparison'!$B$7:$B$338,$A20,'Material Comparison'!$S$7:$S$338,"&gt;=2")</f>
        <v>3</v>
      </c>
      <c r="D20" s="23" t="n">
        <f aca="false">IF($C20=0,"—",SUMIFS('Material Comparison'!$AI$7:$AI$338,'Material Comparison'!$B$7:$B$338,$A20))</f>
        <v>587.6</v>
      </c>
      <c r="E20" s="23" t="n">
        <f aca="false">IF($C20=0,"—",SUMIFS('Material Comparison'!$AJ$7:$AJ$338,'Material Comparison'!$B$7:$B$338,$A20))</f>
        <v>587.89</v>
      </c>
      <c r="F20" s="23" t="n">
        <f aca="false">IF($C20=0,"—",SUMIFS('Material Comparison'!$AK$7:$AK$338,'Material Comparison'!$B$7:$B$338,$A20))</f>
        <v>615.31</v>
      </c>
      <c r="G20" s="23" t="n">
        <f aca="false">IF($C20=0,"—",SUMIFS('Material Comparison'!$AL$7:$AL$338,'Material Comparison'!$B$7:$B$338,$A20))</f>
        <v>660.73</v>
      </c>
      <c r="H20" s="47" t="n">
        <f aca="false">IF($C20=0,"—",MIN(D20:G20))</f>
        <v>587.6</v>
      </c>
      <c r="I20" s="42" t="str">
        <f aca="false">IF($C20=0,"—",IF(COUNTIF(D20:G20,H20)&gt;1,"Tie",INDEX($D$4:$G$4,MATCH(H20,D20:G20,0))))</f>
        <v>Ferguson</v>
      </c>
      <c r="J20" s="23" t="n">
        <f aca="false">IF($C20=0,"—",MAX(D20:G20)-MIN(D20:G20))</f>
        <v>73.13</v>
      </c>
      <c r="K20" s="91" t="n">
        <f aca="false">IF($C20=0,"—",COUNTIFS('Material Comparison'!$B$7:$B$338,$A20,'Material Comparison'!$S$7:$S$338,"&gt;=2",'Material Comparison'!$AE$7:$AE$338,"&gt;=1",'Material Comparison'!$AE$7:$AE$338,"&lt;=4"))</f>
        <v>3</v>
      </c>
      <c r="L20" s="91" t="n">
        <f aca="false">IF($C20=0,"—",COUNTIFS('Material Comparison'!$B$7:$B$338,$A20,'Material Comparison'!$S$7:$S$338,"&gt;=2",'Material Comparison'!$AF$7:$AF$338,"&gt;=1",'Material Comparison'!$AF$7:$AF$338,"&lt;=4"))</f>
        <v>2</v>
      </c>
      <c r="M20" s="91" t="n">
        <f aca="false">IF($C20=0,"—",COUNTIFS('Material Comparison'!$B$7:$B$338,$A20,'Material Comparison'!$S$7:$S$338,"&gt;=2",'Material Comparison'!$AG$7:$AG$338,"&gt;=1",'Material Comparison'!$AG$7:$AG$338,"&lt;=4"))</f>
        <v>3</v>
      </c>
      <c r="N20" s="91" t="n">
        <f aca="false">IF($C20=0,"—",COUNTIFS('Material Comparison'!$B$7:$B$338,$A20,'Material Comparison'!$S$7:$S$338,"&gt;=2",'Material Comparison'!$AH$7:$AH$338,"&gt;=1",'Material Comparison'!$AH$7:$AH$338,"&lt;=4"))</f>
        <v>2</v>
      </c>
    </row>
    <row r="21" customFormat="false" ht="18" hidden="false" customHeight="true" outlineLevel="0" collapsed="false">
      <c r="A21" s="27" t="s">
        <v>647</v>
      </c>
      <c r="B21" s="35" t="s">
        <v>871</v>
      </c>
      <c r="C21" s="22" t="n">
        <f aca="false">COUNTIFS('Material Comparison'!$B$7:$B$338,$A21,'Material Comparison'!$S$7:$S$338,"&gt;=2")</f>
        <v>2</v>
      </c>
      <c r="D21" s="23" t="n">
        <f aca="false">IF($C21=0,"—",SUMIFS('Material Comparison'!$AI$7:$AI$338,'Material Comparison'!$B$7:$B$338,$A21))</f>
        <v>1068.24</v>
      </c>
      <c r="E21" s="23" t="n">
        <f aca="false">IF($C21=0,"—",SUMIFS('Material Comparison'!$AJ$7:$AJ$338,'Material Comparison'!$B$7:$B$338,$A21))</f>
        <v>1125.31</v>
      </c>
      <c r="F21" s="23" t="n">
        <f aca="false">IF($C21=0,"—",SUMIFS('Material Comparison'!$AK$7:$AK$338,'Material Comparison'!$B$7:$B$338,$A21))</f>
        <v>969.65</v>
      </c>
      <c r="G21" s="23" t="n">
        <f aca="false">IF($C21=0,"—",SUMIFS('Material Comparison'!$AL$7:$AL$338,'Material Comparison'!$B$7:$B$338,$A21))</f>
        <v>1082.16</v>
      </c>
      <c r="H21" s="47" t="n">
        <f aca="false">IF($C21=0,"—",MIN(D21:G21))</f>
        <v>969.65</v>
      </c>
      <c r="I21" s="42" t="str">
        <f aca="false">IF($C21=0,"—",IF(COUNTIF(D21:G21,H21)&gt;1,"Tie",INDEX($D$4:$G$4,MATCH(H21,D21:G21,0))))</f>
        <v>Mountainland</v>
      </c>
      <c r="J21" s="23" t="n">
        <f aca="false">IF($C21=0,"—",MAX(D21:G21)-MIN(D21:G21))</f>
        <v>155.66</v>
      </c>
      <c r="K21" s="91" t="n">
        <f aca="false">IF($C21=0,"—",COUNTIFS('Material Comparison'!$B$7:$B$338,$A21,'Material Comparison'!$S$7:$S$338,"&gt;=2",'Material Comparison'!$AE$7:$AE$338,"&gt;=1",'Material Comparison'!$AE$7:$AE$338,"&lt;=4"))</f>
        <v>2</v>
      </c>
      <c r="L21" s="91" t="n">
        <f aca="false">IF($C21=0,"—",COUNTIFS('Material Comparison'!$B$7:$B$338,$A21,'Material Comparison'!$S$7:$S$338,"&gt;=2",'Material Comparison'!$AF$7:$AF$338,"&gt;=1",'Material Comparison'!$AF$7:$AF$338,"&lt;=4"))</f>
        <v>2</v>
      </c>
      <c r="M21" s="91" t="n">
        <f aca="false">IF($C21=0,"—",COUNTIFS('Material Comparison'!$B$7:$B$338,$A21,'Material Comparison'!$S$7:$S$338,"&gt;=2",'Material Comparison'!$AG$7:$AG$338,"&gt;=1",'Material Comparison'!$AG$7:$AG$338,"&lt;=4"))</f>
        <v>2</v>
      </c>
      <c r="N21" s="91" t="n">
        <f aca="false">IF($C21=0,"—",COUNTIFS('Material Comparison'!$B$7:$B$338,$A21,'Material Comparison'!$S$7:$S$338,"&gt;=2",'Material Comparison'!$AH$7:$AH$338,"&gt;=1",'Material Comparison'!$AH$7:$AH$338,"&lt;=4"))</f>
        <v>1</v>
      </c>
    </row>
    <row r="22" customFormat="false" ht="18" hidden="false" customHeight="true" outlineLevel="0" collapsed="false">
      <c r="A22" s="27" t="s">
        <v>653</v>
      </c>
      <c r="B22" s="35" t="s">
        <v>872</v>
      </c>
      <c r="C22" s="22" t="n">
        <f aca="false">COUNTIFS('Material Comparison'!$B$7:$B$338,$A22,'Material Comparison'!$S$7:$S$338,"&gt;=2")</f>
        <v>2</v>
      </c>
      <c r="D22" s="23" t="n">
        <f aca="false">IF($C22=0,"—",SUMIFS('Material Comparison'!$AI$7:$AI$338,'Material Comparison'!$B$7:$B$338,$A22))</f>
        <v>3924.64</v>
      </c>
      <c r="E22" s="23" t="n">
        <f aca="false">IF($C22=0,"—",SUMIFS('Material Comparison'!$AJ$7:$AJ$338,'Material Comparison'!$B$7:$B$338,$A22))</f>
        <v>4137.32</v>
      </c>
      <c r="F22" s="23" t="n">
        <f aca="false">IF($C22=0,"—",SUMIFS('Material Comparison'!$AK$7:$AK$338,'Material Comparison'!$B$7:$B$338,$A22))</f>
        <v>4082.5</v>
      </c>
      <c r="G22" s="23" t="n">
        <f aca="false">IF($C22=0,"—",SUMIFS('Material Comparison'!$AL$7:$AL$338,'Material Comparison'!$B$7:$B$338,$A22))</f>
        <v>3947.45</v>
      </c>
      <c r="H22" s="47" t="n">
        <f aca="false">IF($C22=0,"—",MIN(D22:G22))</f>
        <v>3924.64</v>
      </c>
      <c r="I22" s="42" t="str">
        <f aca="false">IF($C22=0,"—",IF(COUNTIF(D22:G22,H22)&gt;1,"Tie",INDEX($D$4:$G$4,MATCH(H22,D22:G22,0))))</f>
        <v>Ferguson</v>
      </c>
      <c r="J22" s="23" t="n">
        <f aca="false">IF($C22=0,"—",MAX(D22:G22)-MIN(D22:G22))</f>
        <v>212.680000000001</v>
      </c>
      <c r="K22" s="91" t="n">
        <f aca="false">IF($C22=0,"—",COUNTIFS('Material Comparison'!$B$7:$B$338,$A22,'Material Comparison'!$S$7:$S$338,"&gt;=2",'Material Comparison'!$AE$7:$AE$338,"&gt;=1",'Material Comparison'!$AE$7:$AE$338,"&lt;=4"))</f>
        <v>2</v>
      </c>
      <c r="L22" s="91" t="n">
        <f aca="false">IF($C22=0,"—",COUNTIFS('Material Comparison'!$B$7:$B$338,$A22,'Material Comparison'!$S$7:$S$338,"&gt;=2",'Material Comparison'!$AF$7:$AF$338,"&gt;=1",'Material Comparison'!$AF$7:$AF$338,"&lt;=4"))</f>
        <v>2</v>
      </c>
      <c r="M22" s="91" t="n">
        <f aca="false">IF($C22=0,"—",COUNTIFS('Material Comparison'!$B$7:$B$338,$A22,'Material Comparison'!$S$7:$S$338,"&gt;=2",'Material Comparison'!$AG$7:$AG$338,"&gt;=1",'Material Comparison'!$AG$7:$AG$338,"&lt;=4"))</f>
        <v>2</v>
      </c>
      <c r="N22" s="91" t="n">
        <f aca="false">IF($C22=0,"—",COUNTIFS('Material Comparison'!$B$7:$B$338,$A22,'Material Comparison'!$S$7:$S$338,"&gt;=2",'Material Comparison'!$AH$7:$AH$338,"&gt;=1",'Material Comparison'!$AH$7:$AH$338,"&lt;=4"))</f>
        <v>1</v>
      </c>
    </row>
    <row r="23" customFormat="false" ht="18" hidden="false" customHeight="true" outlineLevel="0" collapsed="false">
      <c r="A23" s="27" t="s">
        <v>659</v>
      </c>
      <c r="B23" s="35" t="s">
        <v>873</v>
      </c>
      <c r="C23" s="22" t="n">
        <f aca="false">COUNTIFS('Material Comparison'!$B$7:$B$338,$A23,'Material Comparison'!$S$7:$S$338,"&gt;=2")</f>
        <v>2</v>
      </c>
      <c r="D23" s="23" t="n">
        <f aca="false">IF($C23=0,"—",SUMIFS('Material Comparison'!$AI$7:$AI$338,'Material Comparison'!$B$7:$B$338,$A23))</f>
        <v>1391.39</v>
      </c>
      <c r="E23" s="23" t="n">
        <f aca="false">IF($C23=0,"—",SUMIFS('Material Comparison'!$AJ$7:$AJ$338,'Material Comparison'!$B$7:$B$338,$A23))</f>
        <v>1462.94</v>
      </c>
      <c r="F23" s="23" t="n">
        <f aca="false">IF($C23=0,"—",SUMIFS('Material Comparison'!$AK$7:$AK$338,'Material Comparison'!$B$7:$B$338,$A23))</f>
        <v>1485.99</v>
      </c>
      <c r="G23" s="23" t="n">
        <f aca="false">IF($C23=0,"—",SUMIFS('Material Comparison'!$AL$7:$AL$338,'Material Comparison'!$B$7:$B$338,$A23))</f>
        <v>1459.35</v>
      </c>
      <c r="H23" s="47" t="n">
        <f aca="false">IF($C23=0,"—",MIN(D23:G23))</f>
        <v>1391.39</v>
      </c>
      <c r="I23" s="42" t="str">
        <f aca="false">IF($C23=0,"—",IF(COUNTIF(D23:G23,H23)&gt;1,"Tie",INDEX($D$4:$G$4,MATCH(H23,D23:G23,0))))</f>
        <v>Ferguson</v>
      </c>
      <c r="J23" s="23" t="n">
        <f aca="false">IF($C23=0,"—",MAX(D23:G23)-MIN(D23:G23))</f>
        <v>94.5999999999999</v>
      </c>
      <c r="K23" s="91" t="n">
        <f aca="false">IF($C23=0,"—",COUNTIFS('Material Comparison'!$B$7:$B$338,$A23,'Material Comparison'!$S$7:$S$338,"&gt;=2",'Material Comparison'!$AE$7:$AE$338,"&gt;=1",'Material Comparison'!$AE$7:$AE$338,"&lt;=4"))</f>
        <v>2</v>
      </c>
      <c r="L23" s="91" t="n">
        <f aca="false">IF($C23=0,"—",COUNTIFS('Material Comparison'!$B$7:$B$338,$A23,'Material Comparison'!$S$7:$S$338,"&gt;=2",'Material Comparison'!$AF$7:$AF$338,"&gt;=1",'Material Comparison'!$AF$7:$AF$338,"&lt;=4"))</f>
        <v>2</v>
      </c>
      <c r="M23" s="91" t="n">
        <f aca="false">IF($C23=0,"—",COUNTIFS('Material Comparison'!$B$7:$B$338,$A23,'Material Comparison'!$S$7:$S$338,"&gt;=2",'Material Comparison'!$AG$7:$AG$338,"&gt;=1",'Material Comparison'!$AG$7:$AG$338,"&lt;=4"))</f>
        <v>2</v>
      </c>
      <c r="N23" s="91" t="n">
        <f aca="false">IF($C23=0,"—",COUNTIFS('Material Comparison'!$B$7:$B$338,$A23,'Material Comparison'!$S$7:$S$338,"&gt;=2",'Material Comparison'!$AH$7:$AH$338,"&gt;=1",'Material Comparison'!$AH$7:$AH$338,"&lt;=4"))</f>
        <v>1</v>
      </c>
    </row>
    <row r="24" customFormat="false" ht="18" hidden="false" customHeight="true" outlineLevel="0" collapsed="false">
      <c r="A24" s="27" t="s">
        <v>664</v>
      </c>
      <c r="B24" s="35" t="s">
        <v>874</v>
      </c>
      <c r="C24" s="22" t="n">
        <f aca="false">COUNTIFS('Material Comparison'!$B$7:$B$338,$A24,'Material Comparison'!$S$7:$S$338,"&gt;=2")</f>
        <v>2</v>
      </c>
      <c r="D24" s="23" t="n">
        <f aca="false">IF($C24=0,"—",SUMIFS('Material Comparison'!$AI$7:$AI$338,'Material Comparison'!$B$7:$B$338,$A24))</f>
        <v>2689.51</v>
      </c>
      <c r="E24" s="23" t="n">
        <f aca="false">IF($C24=0,"—",SUMIFS('Material Comparison'!$AJ$7:$AJ$338,'Material Comparison'!$B$7:$B$338,$A24))</f>
        <v>2910.55</v>
      </c>
      <c r="F24" s="23" t="n">
        <f aca="false">IF($C24=0,"—",SUMIFS('Material Comparison'!$AK$7:$AK$338,'Material Comparison'!$B$7:$B$338,$A24))</f>
        <v>2864.66</v>
      </c>
      <c r="G24" s="23" t="n">
        <f aca="false">IF($C24=0,"—",SUMIFS('Material Comparison'!$AL$7:$AL$338,'Material Comparison'!$B$7:$B$338,$A24))</f>
        <v>2768.9</v>
      </c>
      <c r="H24" s="47" t="n">
        <f aca="false">IF($C24=0,"—",MIN(D24:G24))</f>
        <v>2689.51</v>
      </c>
      <c r="I24" s="42" t="str">
        <f aca="false">IF($C24=0,"—",IF(COUNTIF(D24:G24,H24)&gt;1,"Tie",INDEX($D$4:$G$4,MATCH(H24,D24:G24,0))))</f>
        <v>Ferguson</v>
      </c>
      <c r="J24" s="23" t="n">
        <f aca="false">IF($C24=0,"—",MAX(D24:G24)-MIN(D24:G24))</f>
        <v>221.04</v>
      </c>
      <c r="K24" s="91" t="n">
        <f aca="false">IF($C24=0,"—",COUNTIFS('Material Comparison'!$B$7:$B$338,$A24,'Material Comparison'!$S$7:$S$338,"&gt;=2",'Material Comparison'!$AE$7:$AE$338,"&gt;=1",'Material Comparison'!$AE$7:$AE$338,"&lt;=4"))</f>
        <v>2</v>
      </c>
      <c r="L24" s="91" t="n">
        <f aca="false">IF($C24=0,"—",COUNTIFS('Material Comparison'!$B$7:$B$338,$A24,'Material Comparison'!$S$7:$S$338,"&gt;=2",'Material Comparison'!$AF$7:$AF$338,"&gt;=1",'Material Comparison'!$AF$7:$AF$338,"&lt;=4"))</f>
        <v>2</v>
      </c>
      <c r="M24" s="91" t="n">
        <f aca="false">IF($C24=0,"—",COUNTIFS('Material Comparison'!$B$7:$B$338,$A24,'Material Comparison'!$S$7:$S$338,"&gt;=2",'Material Comparison'!$AG$7:$AG$338,"&gt;=1",'Material Comparison'!$AG$7:$AG$338,"&lt;=4"))</f>
        <v>2</v>
      </c>
      <c r="N24" s="91" t="n">
        <f aca="false">IF($C24=0,"—",COUNTIFS('Material Comparison'!$B$7:$B$338,$A24,'Material Comparison'!$S$7:$S$338,"&gt;=2",'Material Comparison'!$AH$7:$AH$338,"&gt;=1",'Material Comparison'!$AH$7:$AH$338,"&lt;=4"))</f>
        <v>1</v>
      </c>
    </row>
    <row r="25" customFormat="false" ht="18" hidden="false" customHeight="true" outlineLevel="0" collapsed="false">
      <c r="A25" s="27" t="s">
        <v>671</v>
      </c>
      <c r="B25" s="35" t="s">
        <v>672</v>
      </c>
      <c r="C25" s="22" t="n">
        <f aca="false">COUNTIFS('Material Comparison'!$B$7:$B$338,$A25,'Material Comparison'!$S$7:$S$338,"&gt;=2")</f>
        <v>3</v>
      </c>
      <c r="D25" s="23" t="n">
        <f aca="false">IF($C25=0,"—",SUMIFS('Material Comparison'!$AI$7:$AI$338,'Material Comparison'!$B$7:$B$338,$A25))</f>
        <v>65533.84</v>
      </c>
      <c r="E25" s="23" t="n">
        <f aca="false">IF($C25=0,"—",SUMIFS('Material Comparison'!$AJ$7:$AJ$338,'Material Comparison'!$B$7:$B$338,$A25))</f>
        <v>63393</v>
      </c>
      <c r="F25" s="23" t="n">
        <f aca="false">IF($C25=0,"—",SUMIFS('Material Comparison'!$AK$7:$AK$338,'Material Comparison'!$B$7:$B$338,$A25))</f>
        <v>61851.8823529412</v>
      </c>
      <c r="G25" s="23" t="n">
        <f aca="false">IF($C25=0,"—",SUMIFS('Material Comparison'!$AL$7:$AL$338,'Material Comparison'!$B$7:$B$338,$A25))</f>
        <v>62264.19</v>
      </c>
      <c r="H25" s="47" t="n">
        <f aca="false">IF($C25=0,"—",MIN(D25:G25))</f>
        <v>61851.8823529412</v>
      </c>
      <c r="I25" s="42" t="str">
        <f aca="false">IF($C25=0,"—",IF(COUNTIF(D25:G25,H25)&gt;1,"Tie",INDEX($D$4:$G$4,MATCH(H25,D25:G25,0))))</f>
        <v>Mountainland</v>
      </c>
      <c r="J25" s="23" t="n">
        <f aca="false">IF($C25=0,"—",MAX(D25:G25)-MIN(D25:G25))</f>
        <v>3681.95764705882</v>
      </c>
      <c r="K25" s="91" t="n">
        <f aca="false">IF($C25=0,"—",COUNTIFS('Material Comparison'!$B$7:$B$338,$A25,'Material Comparison'!$S$7:$S$338,"&gt;=2",'Material Comparison'!$AE$7:$AE$338,"&gt;=1",'Material Comparison'!$AE$7:$AE$338,"&lt;=4"))</f>
        <v>3</v>
      </c>
      <c r="L25" s="91" t="n">
        <f aca="false">IF($C25=0,"—",COUNTIFS('Material Comparison'!$B$7:$B$338,$A25,'Material Comparison'!$S$7:$S$338,"&gt;=2",'Material Comparison'!$AF$7:$AF$338,"&gt;=1",'Material Comparison'!$AF$7:$AF$338,"&lt;=4"))</f>
        <v>3</v>
      </c>
      <c r="M25" s="91" t="n">
        <f aca="false">IF($C25=0,"—",COUNTIFS('Material Comparison'!$B$7:$B$338,$A25,'Material Comparison'!$S$7:$S$338,"&gt;=2",'Material Comparison'!$AG$7:$AG$338,"&gt;=1",'Material Comparison'!$AG$7:$AG$338,"&lt;=4"))</f>
        <v>2</v>
      </c>
      <c r="N25" s="91" t="n">
        <f aca="false">IF($C25=0,"—",COUNTIFS('Material Comparison'!$B$7:$B$338,$A25,'Material Comparison'!$S$7:$S$338,"&gt;=2",'Material Comparison'!$AH$7:$AH$338,"&gt;=1",'Material Comparison'!$AH$7:$AH$338,"&lt;=4"))</f>
        <v>2</v>
      </c>
    </row>
    <row r="26" customFormat="false" ht="18" hidden="false" customHeight="true" outlineLevel="0" collapsed="false">
      <c r="A26" s="27" t="s">
        <v>682</v>
      </c>
      <c r="B26" s="35" t="s">
        <v>875</v>
      </c>
      <c r="C26" s="22" t="n">
        <f aca="false">COUNTIFS('Material Comparison'!$B$7:$B$338,$A26,'Material Comparison'!$S$7:$S$338,"&gt;=2")</f>
        <v>18</v>
      </c>
      <c r="D26" s="23" t="n">
        <f aca="false">IF($C26=0,"—",SUMIFS('Material Comparison'!$AI$7:$AI$338,'Material Comparison'!$B$7:$B$338,$A26))</f>
        <v>22522.31</v>
      </c>
      <c r="E26" s="23" t="n">
        <f aca="false">IF($C26=0,"—",SUMIFS('Material Comparison'!$AJ$7:$AJ$338,'Material Comparison'!$B$7:$B$338,$A26))</f>
        <v>18307.8044444444</v>
      </c>
      <c r="F26" s="23" t="n">
        <f aca="false">IF($C26=0,"—",SUMIFS('Material Comparison'!$AK$7:$AK$338,'Material Comparison'!$B$7:$B$338,$A26))</f>
        <v>20020.1611111111</v>
      </c>
      <c r="G26" s="23" t="n">
        <f aca="false">IF($C26=0,"—",SUMIFS('Material Comparison'!$AL$7:$AL$338,'Material Comparison'!$B$7:$B$338,$A26))</f>
        <v>20568.6044444444</v>
      </c>
      <c r="H26" s="47" t="n">
        <f aca="false">IF($C26=0,"—",MIN(D26:G26))</f>
        <v>18307.8044444444</v>
      </c>
      <c r="I26" s="42" t="str">
        <f aca="false">IF($C26=0,"—",IF(COUNTIF(D26:G26,H26)&gt;1,"Tie",INDEX($D$4:$G$4,MATCH(H26,D26:G26,0))))</f>
        <v>HD Fowler</v>
      </c>
      <c r="J26" s="23" t="n">
        <f aca="false">IF($C26=0,"—",MAX(D26:G26)-MIN(D26:G26))</f>
        <v>4214.50555555556</v>
      </c>
      <c r="K26" s="91" t="n">
        <f aca="false">IF($C26=0,"—",COUNTIFS('Material Comparison'!$B$7:$B$338,$A26,'Material Comparison'!$S$7:$S$338,"&gt;=2",'Material Comparison'!$AE$7:$AE$338,"&gt;=1",'Material Comparison'!$AE$7:$AE$338,"&lt;=4"))</f>
        <v>18</v>
      </c>
      <c r="L26" s="91" t="n">
        <f aca="false">IF($C26=0,"—",COUNTIFS('Material Comparison'!$B$7:$B$338,$A26,'Material Comparison'!$S$7:$S$338,"&gt;=2",'Material Comparison'!$AF$7:$AF$338,"&gt;=1",'Material Comparison'!$AF$7:$AF$338,"&lt;=4"))</f>
        <v>16</v>
      </c>
      <c r="M26" s="91" t="n">
        <f aca="false">IF($C26=0,"—",COUNTIFS('Material Comparison'!$B$7:$B$338,$A26,'Material Comparison'!$S$7:$S$338,"&gt;=2",'Material Comparison'!$AG$7:$AG$338,"&gt;=1",'Material Comparison'!$AG$7:$AG$338,"&lt;=4"))</f>
        <v>16</v>
      </c>
      <c r="N26" s="91" t="n">
        <f aca="false">IF($C26=0,"—",COUNTIFS('Material Comparison'!$B$7:$B$338,$A26,'Material Comparison'!$S$7:$S$338,"&gt;=2",'Material Comparison'!$AH$7:$AH$338,"&gt;=1",'Material Comparison'!$AH$7:$AH$338,"&lt;=4"))</f>
        <v>11</v>
      </c>
    </row>
    <row r="27" customFormat="false" ht="18" hidden="false" customHeight="true" outlineLevel="0" collapsed="false">
      <c r="A27" s="27" t="s">
        <v>745</v>
      </c>
      <c r="B27" s="35" t="s">
        <v>876</v>
      </c>
      <c r="C27" s="22" t="n">
        <f aca="false">COUNTIFS('Material Comparison'!$B$7:$B$338,$A27,'Material Comparison'!$S$7:$S$338,"&gt;=2")</f>
        <v>0</v>
      </c>
      <c r="D27" s="23" t="str">
        <f aca="false">IF($C27=0,"—",SUMIFS('Material Comparison'!$AI$7:$AI$338,'Material Comparison'!$B$7:$B$338,$A27))</f>
        <v>—</v>
      </c>
      <c r="E27" s="23" t="str">
        <f aca="false">IF($C27=0,"—",SUMIFS('Material Comparison'!$AJ$7:$AJ$338,'Material Comparison'!$B$7:$B$338,$A27))</f>
        <v>—</v>
      </c>
      <c r="F27" s="23" t="str">
        <f aca="false">IF($C27=0,"—",SUMIFS('Material Comparison'!$AK$7:$AK$338,'Material Comparison'!$B$7:$B$338,$A27))</f>
        <v>—</v>
      </c>
      <c r="G27" s="23" t="str">
        <f aca="false">IF($C27=0,"—",SUMIFS('Material Comparison'!$AL$7:$AL$338,'Material Comparison'!$B$7:$B$338,$A27))</f>
        <v>—</v>
      </c>
      <c r="H27" s="47" t="str">
        <f aca="false">IF($C27=0,"—",MIN(D27:G27))</f>
        <v>—</v>
      </c>
      <c r="I27" s="42" t="str">
        <f aca="false">IF($C27=0,"—",IF(COUNTIF(D27:G27,H27)&gt;1,"Tie",INDEX($D$4:$G$4,MATCH(H27,D27:G27,0))))</f>
        <v>—</v>
      </c>
      <c r="J27" s="23" t="str">
        <f aca="false">IF($C27=0,"—",MAX(D27:G27)-MIN(D27:G27))</f>
        <v>—</v>
      </c>
      <c r="K27" s="91" t="str">
        <f aca="false">IF($C27=0,"—",COUNTIFS('Material Comparison'!$B$7:$B$338,$A27,'Material Comparison'!$S$7:$S$338,"&gt;=2",'Material Comparison'!$AE$7:$AE$338,"&gt;=1",'Material Comparison'!$AE$7:$AE$338,"&lt;=4"))</f>
        <v>—</v>
      </c>
      <c r="L27" s="91" t="str">
        <f aca="false">IF($C27=0,"—",COUNTIFS('Material Comparison'!$B$7:$B$338,$A27,'Material Comparison'!$S$7:$S$338,"&gt;=2",'Material Comparison'!$AF$7:$AF$338,"&gt;=1",'Material Comparison'!$AF$7:$AF$338,"&lt;=4"))</f>
        <v>—</v>
      </c>
      <c r="M27" s="91" t="str">
        <f aca="false">IF($C27=0,"—",COUNTIFS('Material Comparison'!$B$7:$B$338,$A27,'Material Comparison'!$S$7:$S$338,"&gt;=2",'Material Comparison'!$AG$7:$AG$338,"&gt;=1",'Material Comparison'!$AG$7:$AG$338,"&lt;=4"))</f>
        <v>—</v>
      </c>
      <c r="N27" s="91" t="str">
        <f aca="false">IF($C27=0,"—",COUNTIFS('Material Comparison'!$B$7:$B$338,$A27,'Material Comparison'!$S$7:$S$338,"&gt;=2",'Material Comparison'!$AH$7:$AH$338,"&gt;=1",'Material Comparison'!$AH$7:$AH$338,"&lt;=4"))</f>
        <v>—</v>
      </c>
    </row>
    <row r="28" customFormat="false" ht="18" hidden="false" customHeight="true" outlineLevel="0" collapsed="false">
      <c r="A28" s="27" t="s">
        <v>754</v>
      </c>
      <c r="B28" s="35" t="s">
        <v>877</v>
      </c>
      <c r="C28" s="22" t="n">
        <f aca="false">COUNTIFS('Material Comparison'!$B$7:$B$338,$A28,'Material Comparison'!$S$7:$S$338,"&gt;=2")</f>
        <v>9</v>
      </c>
      <c r="D28" s="23" t="n">
        <f aca="false">IF($C28=0,"—",SUMIFS('Material Comparison'!$AI$7:$AI$338,'Material Comparison'!$B$7:$B$338,$A28))</f>
        <v>981.98</v>
      </c>
      <c r="E28" s="23" t="n">
        <f aca="false">IF($C28=0,"—",SUMIFS('Material Comparison'!$AJ$7:$AJ$338,'Material Comparison'!$B$7:$B$338,$A28))</f>
        <v>1001.4</v>
      </c>
      <c r="F28" s="23" t="n">
        <f aca="false">IF($C28=0,"—",SUMIFS('Material Comparison'!$AK$7:$AK$338,'Material Comparison'!$B$7:$B$338,$A28))</f>
        <v>934.44</v>
      </c>
      <c r="G28" s="23" t="n">
        <f aca="false">IF($C28=0,"—",SUMIFS('Material Comparison'!$AL$7:$AL$338,'Material Comparison'!$B$7:$B$338,$A28))</f>
        <v>982.37</v>
      </c>
      <c r="H28" s="47" t="n">
        <f aca="false">IF($C28=0,"—",MIN(D28:G28))</f>
        <v>934.44</v>
      </c>
      <c r="I28" s="42" t="str">
        <f aca="false">IF($C28=0,"—",IF(COUNTIF(D28:G28,H28)&gt;1,"Tie",INDEX($D$4:$G$4,MATCH(H28,D28:G28,0))))</f>
        <v>Mountainland</v>
      </c>
      <c r="J28" s="23" t="n">
        <f aca="false">IF($C28=0,"—",MAX(D28:G28)-MIN(D28:G28))</f>
        <v>66.9599999999999</v>
      </c>
      <c r="K28" s="91" t="n">
        <f aca="false">IF($C28=0,"—",COUNTIFS('Material Comparison'!$B$7:$B$338,$A28,'Material Comparison'!$S$7:$S$338,"&gt;=2",'Material Comparison'!$AE$7:$AE$338,"&gt;=1",'Material Comparison'!$AE$7:$AE$338,"&lt;=4"))</f>
        <v>9</v>
      </c>
      <c r="L28" s="91" t="n">
        <f aca="false">IF($C28=0,"—",COUNTIFS('Material Comparison'!$B$7:$B$338,$A28,'Material Comparison'!$S$7:$S$338,"&gt;=2",'Material Comparison'!$AF$7:$AF$338,"&gt;=1",'Material Comparison'!$AF$7:$AF$338,"&lt;=4"))</f>
        <v>7</v>
      </c>
      <c r="M28" s="91" t="n">
        <f aca="false">IF($C28=0,"—",COUNTIFS('Material Comparison'!$B$7:$B$338,$A28,'Material Comparison'!$S$7:$S$338,"&gt;=2",'Material Comparison'!$AG$7:$AG$338,"&gt;=1",'Material Comparison'!$AG$7:$AG$338,"&lt;=4"))</f>
        <v>8</v>
      </c>
      <c r="N28" s="91" t="n">
        <f aca="false">IF($C28=0,"—",COUNTIFS('Material Comparison'!$B$7:$B$338,$A28,'Material Comparison'!$S$7:$S$338,"&gt;=2",'Material Comparison'!$AH$7:$AH$338,"&gt;=1",'Material Comparison'!$AH$7:$AH$338,"&lt;=4"))</f>
        <v>7</v>
      </c>
    </row>
    <row r="29" customFormat="false" ht="18" hidden="false" customHeight="true" outlineLevel="0" collapsed="false">
      <c r="A29" s="27" t="s">
        <v>782</v>
      </c>
      <c r="B29" s="35" t="s">
        <v>878</v>
      </c>
      <c r="C29" s="22" t="n">
        <f aca="false">COUNTIFS('Material Comparison'!$B$7:$B$338,$A29,'Material Comparison'!$S$7:$S$338,"&gt;=2")</f>
        <v>12</v>
      </c>
      <c r="D29" s="23" t="n">
        <f aca="false">IF($C29=0,"—",SUMIFS('Material Comparison'!$AI$7:$AI$338,'Material Comparison'!$B$7:$B$338,$A29))</f>
        <v>282282.185483871</v>
      </c>
      <c r="E29" s="23" t="n">
        <f aca="false">IF($C29=0,"—",SUMIFS('Material Comparison'!$AJ$7:$AJ$338,'Material Comparison'!$B$7:$B$338,$A29))</f>
        <v>278796.21</v>
      </c>
      <c r="F29" s="23" t="n">
        <f aca="false">IF($C29=0,"—",SUMIFS('Material Comparison'!$AK$7:$AK$338,'Material Comparison'!$B$7:$B$338,$A29))</f>
        <v>285717.463476874</v>
      </c>
      <c r="G29" s="23" t="n">
        <f aca="false">IF($C29=0,"—",SUMIFS('Material Comparison'!$AL$7:$AL$338,'Material Comparison'!$B$7:$B$338,$A29))</f>
        <v>293277.07</v>
      </c>
      <c r="H29" s="47" t="n">
        <f aca="false">IF($C29=0,"—",MIN(D29:G29))</f>
        <v>278796.21</v>
      </c>
      <c r="I29" s="42" t="str">
        <f aca="false">IF($C29=0,"—",IF(COUNTIF(D29:G29,H29)&gt;1,"Tie",INDEX($D$4:$G$4,MATCH(H29,D29:G29,0))))</f>
        <v>HD Fowler</v>
      </c>
      <c r="J29" s="23" t="n">
        <f aca="false">IF($C29=0,"—",MAX(D29:G29)-MIN(D29:G29))</f>
        <v>14480.86</v>
      </c>
      <c r="K29" s="91" t="n">
        <f aca="false">IF($C29=0,"—",COUNTIFS('Material Comparison'!$B$7:$B$338,$A29,'Material Comparison'!$S$7:$S$338,"&gt;=2",'Material Comparison'!$AE$7:$AE$338,"&gt;=1",'Material Comparison'!$AE$7:$AE$338,"&lt;=4"))</f>
        <v>11</v>
      </c>
      <c r="L29" s="91" t="n">
        <f aca="false">IF($C29=0,"—",COUNTIFS('Material Comparison'!$B$7:$B$338,$A29,'Material Comparison'!$S$7:$S$338,"&gt;=2",'Material Comparison'!$AF$7:$AF$338,"&gt;=1",'Material Comparison'!$AF$7:$AF$338,"&lt;=4"))</f>
        <v>9</v>
      </c>
      <c r="M29" s="91" t="n">
        <f aca="false">IF($C29=0,"—",COUNTIFS('Material Comparison'!$B$7:$B$338,$A29,'Material Comparison'!$S$7:$S$338,"&gt;=2",'Material Comparison'!$AG$7:$AG$338,"&gt;=1",'Material Comparison'!$AG$7:$AG$338,"&lt;=4"))</f>
        <v>12</v>
      </c>
      <c r="N29" s="91" t="n">
        <f aca="false">IF($C29=0,"—",COUNTIFS('Material Comparison'!$B$7:$B$338,$A29,'Material Comparison'!$S$7:$S$338,"&gt;=2",'Material Comparison'!$AH$7:$AH$338,"&gt;=1",'Material Comparison'!$AH$7:$AH$338,"&lt;=4"))</f>
        <v>9</v>
      </c>
    </row>
    <row r="30" customFormat="false" ht="18" hidden="false" customHeight="true" outlineLevel="0" collapsed="false">
      <c r="A30" s="27" t="s">
        <v>838</v>
      </c>
      <c r="B30" s="35" t="s">
        <v>879</v>
      </c>
      <c r="C30" s="22" t="n">
        <f aca="false">COUNTIFS('Material Comparison'!$B$7:$B$338,$A30,'Material Comparison'!$S$7:$S$338,"&gt;=2")</f>
        <v>0</v>
      </c>
      <c r="D30" s="23" t="str">
        <f aca="false">IF($C30=0,"—",SUMIFS('Material Comparison'!$AI$7:$AI$338,'Material Comparison'!$B$7:$B$338,$A30))</f>
        <v>—</v>
      </c>
      <c r="E30" s="23" t="str">
        <f aca="false">IF($C30=0,"—",SUMIFS('Material Comparison'!$AJ$7:$AJ$338,'Material Comparison'!$B$7:$B$338,$A30))</f>
        <v>—</v>
      </c>
      <c r="F30" s="23" t="str">
        <f aca="false">IF($C30=0,"—",SUMIFS('Material Comparison'!$AK$7:$AK$338,'Material Comparison'!$B$7:$B$338,$A30))</f>
        <v>—</v>
      </c>
      <c r="G30" s="23" t="str">
        <f aca="false">IF($C30=0,"—",SUMIFS('Material Comparison'!$AL$7:$AL$338,'Material Comparison'!$B$7:$B$338,$A30))</f>
        <v>—</v>
      </c>
      <c r="H30" s="47" t="str">
        <f aca="false">IF($C30=0,"—",MIN(D30:G30))</f>
        <v>—</v>
      </c>
      <c r="I30" s="42" t="str">
        <f aca="false">IF($C30=0,"—",IF(COUNTIF(D30:G30,H30)&gt;1,"Tie",INDEX($D$4:$G$4,MATCH(H30,D30:G30,0))))</f>
        <v>—</v>
      </c>
      <c r="J30" s="23" t="str">
        <f aca="false">IF($C30=0,"—",MAX(D30:G30)-MIN(D30:G30))</f>
        <v>—</v>
      </c>
      <c r="K30" s="91" t="str">
        <f aca="false">IF($C30=0,"—",COUNTIFS('Material Comparison'!$B$7:$B$338,$A30,'Material Comparison'!$S$7:$S$338,"&gt;=2",'Material Comparison'!$AE$7:$AE$338,"&gt;=1",'Material Comparison'!$AE$7:$AE$338,"&lt;=4"))</f>
        <v>—</v>
      </c>
      <c r="L30" s="91" t="str">
        <f aca="false">IF($C30=0,"—",COUNTIFS('Material Comparison'!$B$7:$B$338,$A30,'Material Comparison'!$S$7:$S$338,"&gt;=2",'Material Comparison'!$AF$7:$AF$338,"&gt;=1",'Material Comparison'!$AF$7:$AF$338,"&lt;=4"))</f>
        <v>—</v>
      </c>
      <c r="M30" s="91" t="str">
        <f aca="false">IF($C30=0,"—",COUNTIFS('Material Comparison'!$B$7:$B$338,$A30,'Material Comparison'!$S$7:$S$338,"&gt;=2",'Material Comparison'!$AG$7:$AG$338,"&gt;=1",'Material Comparison'!$AG$7:$AG$338,"&lt;=4"))</f>
        <v>—</v>
      </c>
      <c r="N30" s="91" t="str">
        <f aca="false">IF($C30=0,"—",COUNTIFS('Material Comparison'!$B$7:$B$338,$A30,'Material Comparison'!$S$7:$S$338,"&gt;=2",'Material Comparison'!$AH$7:$AH$338,"&gt;=1",'Material Comparison'!$AH$7:$AH$338,"&lt;=4"))</f>
        <v>—</v>
      </c>
    </row>
    <row r="31" customFormat="false" ht="21.75" hidden="false" customHeight="true" outlineLevel="0" collapsed="false">
      <c r="A31" s="65" t="s">
        <v>880</v>
      </c>
      <c r="B31" s="92" t="s">
        <v>881</v>
      </c>
      <c r="C31" s="93" t="n">
        <f aca="false">SUM(C5:C30)</f>
        <v>177</v>
      </c>
      <c r="D31" s="94" t="n">
        <f aca="false">SUM(D5:D30)</f>
        <v>1329066.03348387</v>
      </c>
      <c r="E31" s="94" t="n">
        <f aca="false">SUM(E5:E30)</f>
        <v>1290937.83670472</v>
      </c>
      <c r="F31" s="94" t="n">
        <f aca="false">SUM(F5:F30)</f>
        <v>1274563.28688368</v>
      </c>
      <c r="G31" s="94" t="n">
        <f aca="false">SUM(G5:G30)</f>
        <v>1293215.58444444</v>
      </c>
      <c r="H31" s="94" t="n">
        <f aca="false">MIN(D31:G31)</f>
        <v>1274563.28688368</v>
      </c>
      <c r="I31" s="95" t="str">
        <f aca="false">INDEX($D$4:$G$4,MATCH(H31,D31:G31,0))</f>
        <v>Mountainland</v>
      </c>
      <c r="J31" s="94" t="n">
        <f aca="false">MAX(D31:G31)-MIN(D31:G31)</f>
        <v>54502.7466001939</v>
      </c>
      <c r="K31" s="95" t="n">
        <f aca="false">SUM(K5:K30)</f>
        <v>155</v>
      </c>
      <c r="L31" s="95" t="n">
        <f aca="false">SUM(L5:L30)</f>
        <v>145</v>
      </c>
      <c r="M31" s="95" t="n">
        <f aca="false">SUM(M5:M30)</f>
        <v>138</v>
      </c>
      <c r="N31" s="95" t="n">
        <f aca="false">SUM(N5:N30)</f>
        <v>132</v>
      </c>
    </row>
    <row r="33" customFormat="false" ht="15" hidden="false" customHeight="false" outlineLevel="0" collapsed="false">
      <c r="A33" s="96" t="s">
        <v>882</v>
      </c>
    </row>
    <row r="34" customFormat="false" ht="15" hidden="false" customHeight="false" outlineLevel="0" collapsed="false">
      <c r="A34" s="96" t="s">
        <v>883</v>
      </c>
    </row>
  </sheetData>
  <conditionalFormatting sqref="D5:G31">
    <cfRule type="expression" priority="2" aboveAverage="0" equalAverage="0" bottom="0" percent="0" rank="0" text="" dxfId="0">
      <formula>AND(ISNUMBER(D5),D5=MIN($D5:$G5))</formula>
    </cfRule>
    <cfRule type="expression" priority="3" aboveAverage="0" equalAverage="0" bottom="0" percent="0" rank="0" text="" dxfId="27">
      <formula>AND(ISNUMBER(D5),D5=MAX($D5:$G5))</formula>
    </cfRule>
    <cfRule type="expression" priority="4" aboveAverage="0" equalAverage="0" bottom="0" percent="0" rank="0" text="" dxfId="28">
      <formula>AND(ISNUMBER(D5),SUMPRODUCT(--($D5:$G5&lt;D5))=1)</formula>
    </cfRule>
    <cfRule type="expression" priority="5" aboveAverage="0" equalAverage="0" bottom="0" percent="0" rank="0" text="" dxfId="29">
      <formula>AND(ISNUMBER(D5),SUMPRODUCT(--($D5:$G5&lt;D5))=2)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9"/>
    <col collapsed="false" customWidth="true" hidden="false" outlineLevel="0" max="4" min="4" style="0" width="14"/>
    <col collapsed="false" customWidth="true" hidden="false" outlineLevel="0" max="5" min="5" style="0" width="70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7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52"/>
    <col collapsed="false" customWidth="true" hidden="false" outlineLevel="0" max="15" min="15" style="0" width="16"/>
    <col collapsed="false" customWidth="true" hidden="false" outlineLevel="0" max="16" min="16" style="0" width="22"/>
  </cols>
  <sheetData>
    <row r="1" customFormat="false" ht="21.75" hidden="false" customHeight="true" outlineLevel="0" collapsed="false">
      <c r="A1" s="97" t="s">
        <v>884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customFormat="false" ht="36" hidden="false" customHeight="true" outlineLevel="0" collapsed="false">
      <c r="A2" s="11" t="s">
        <v>9</v>
      </c>
      <c r="B2" s="11" t="s">
        <v>885</v>
      </c>
      <c r="C2" s="11" t="s">
        <v>67</v>
      </c>
      <c r="D2" s="11" t="s">
        <v>886</v>
      </c>
      <c r="E2" s="11" t="s">
        <v>887</v>
      </c>
      <c r="F2" s="11" t="s">
        <v>888</v>
      </c>
      <c r="G2" s="11" t="s">
        <v>889</v>
      </c>
      <c r="H2" s="11" t="s">
        <v>890</v>
      </c>
      <c r="I2" s="11" t="s">
        <v>891</v>
      </c>
      <c r="J2" s="11" t="s">
        <v>892</v>
      </c>
      <c r="K2" s="11" t="s">
        <v>893</v>
      </c>
      <c r="L2" s="11" t="s">
        <v>894</v>
      </c>
      <c r="M2" s="11" t="s">
        <v>895</v>
      </c>
      <c r="N2" s="11" t="s">
        <v>896</v>
      </c>
      <c r="O2" s="11" t="s">
        <v>897</v>
      </c>
      <c r="P2" s="11" t="s">
        <v>898</v>
      </c>
    </row>
    <row r="3" customFormat="false" ht="15" hidden="false" customHeight="false" outlineLevel="0" collapsed="false">
      <c r="A3" s="98" t="s">
        <v>19</v>
      </c>
      <c r="B3" s="99" t="s">
        <v>899</v>
      </c>
      <c r="C3" s="99" t="s">
        <v>130</v>
      </c>
      <c r="D3" s="98" t="s">
        <v>900</v>
      </c>
      <c r="E3" s="100" t="s">
        <v>901</v>
      </c>
      <c r="F3" s="101" t="n">
        <v>2</v>
      </c>
      <c r="G3" s="101" t="s">
        <v>133</v>
      </c>
      <c r="H3" s="102" t="n">
        <v>519.23</v>
      </c>
      <c r="I3" s="103" t="n">
        <v>1038.46</v>
      </c>
      <c r="J3" s="104" t="s">
        <v>140</v>
      </c>
      <c r="K3" s="104" t="n">
        <v>1</v>
      </c>
      <c r="L3" s="101" t="n">
        <v>2</v>
      </c>
      <c r="M3" s="104" t="s">
        <v>902</v>
      </c>
      <c r="N3" s="98"/>
      <c r="O3" s="105" t="n">
        <f aca="false">IF(M3="Y",I3,IF(ISNUMBER(H3),H3*L3,0))</f>
        <v>1038.46</v>
      </c>
      <c r="P3" s="106" t="str">
        <f aca="false">IF(J3="","",J3&amp;"|"&amp;A3&amp;"|"&amp;K3)</f>
        <v>R004|Ferguson|1</v>
      </c>
    </row>
    <row r="4" customFormat="false" ht="15" hidden="false" customHeight="false" outlineLevel="0" collapsed="false">
      <c r="A4" s="98" t="s">
        <v>19</v>
      </c>
      <c r="B4" s="99" t="s">
        <v>903</v>
      </c>
      <c r="C4" s="99" t="s">
        <v>130</v>
      </c>
      <c r="D4" s="98" t="s">
        <v>900</v>
      </c>
      <c r="E4" s="100" t="s">
        <v>904</v>
      </c>
      <c r="F4" s="101" t="n">
        <v>1</v>
      </c>
      <c r="G4" s="101" t="s">
        <v>133</v>
      </c>
      <c r="H4" s="102" t="n">
        <v>279.93</v>
      </c>
      <c r="I4" s="103" t="n">
        <v>279.93</v>
      </c>
      <c r="J4" s="104" t="s">
        <v>164</v>
      </c>
      <c r="K4" s="104" t="n">
        <v>1</v>
      </c>
      <c r="L4" s="101" t="n">
        <v>1</v>
      </c>
      <c r="M4" s="104" t="s">
        <v>902</v>
      </c>
      <c r="N4" s="98"/>
      <c r="O4" s="105" t="n">
        <f aca="false">IF(M4="Y",I4,IF(ISNUMBER(H4),H4*L4,0))</f>
        <v>279.93</v>
      </c>
      <c r="P4" s="106" t="str">
        <f aca="false">IF(J4="","",J4&amp;"|"&amp;A4&amp;"|"&amp;K4)</f>
        <v>R015|Ferguson|1</v>
      </c>
    </row>
    <row r="5" customFormat="false" ht="15" hidden="false" customHeight="false" outlineLevel="0" collapsed="false">
      <c r="A5" s="98" t="s">
        <v>19</v>
      </c>
      <c r="B5" s="99" t="s">
        <v>905</v>
      </c>
      <c r="C5" s="99" t="s">
        <v>130</v>
      </c>
      <c r="D5" s="98" t="s">
        <v>900</v>
      </c>
      <c r="E5" s="100" t="s">
        <v>906</v>
      </c>
      <c r="F5" s="101" t="n">
        <v>1</v>
      </c>
      <c r="G5" s="101" t="s">
        <v>133</v>
      </c>
      <c r="H5" s="102" t="n">
        <v>1033.09</v>
      </c>
      <c r="I5" s="103" t="n">
        <v>1033.09</v>
      </c>
      <c r="J5" s="104" t="s">
        <v>229</v>
      </c>
      <c r="K5" s="104" t="n">
        <v>1</v>
      </c>
      <c r="L5" s="101" t="n">
        <v>1</v>
      </c>
      <c r="M5" s="104" t="s">
        <v>902</v>
      </c>
      <c r="N5" s="98"/>
      <c r="O5" s="105" t="n">
        <f aca="false">IF(M5="Y",I5,IF(ISNUMBER(H5),H5*L5,0))</f>
        <v>1033.09</v>
      </c>
      <c r="P5" s="106" t="str">
        <f aca="false">IF(J5="","",J5&amp;"|"&amp;A5&amp;"|"&amp;K5)</f>
        <v>R045|Ferguson|1</v>
      </c>
    </row>
    <row r="6" customFormat="false" ht="15" hidden="false" customHeight="false" outlineLevel="0" collapsed="false">
      <c r="A6" s="98" t="s">
        <v>19</v>
      </c>
      <c r="B6" s="99" t="s">
        <v>907</v>
      </c>
      <c r="C6" s="99" t="s">
        <v>130</v>
      </c>
      <c r="D6" s="98" t="s">
        <v>900</v>
      </c>
      <c r="E6" s="100" t="s">
        <v>908</v>
      </c>
      <c r="F6" s="101" t="n">
        <v>1</v>
      </c>
      <c r="G6" s="101" t="s">
        <v>133</v>
      </c>
      <c r="H6" s="102" t="n">
        <v>1572.09</v>
      </c>
      <c r="I6" s="103" t="n">
        <v>1572.09</v>
      </c>
      <c r="J6" s="104" t="s">
        <v>223</v>
      </c>
      <c r="K6" s="104" t="n">
        <v>1</v>
      </c>
      <c r="L6" s="101" t="n">
        <v>1</v>
      </c>
      <c r="M6" s="104" t="s">
        <v>902</v>
      </c>
      <c r="N6" s="98"/>
      <c r="O6" s="105" t="n">
        <f aca="false">IF(M6="Y",I6,IF(ISNUMBER(H6),H6*L6,0))</f>
        <v>1572.09</v>
      </c>
      <c r="P6" s="106" t="str">
        <f aca="false">IF(J6="","",J6&amp;"|"&amp;A6&amp;"|"&amp;K6)</f>
        <v>R042|Ferguson|1</v>
      </c>
    </row>
    <row r="7" customFormat="false" ht="15" hidden="false" customHeight="false" outlineLevel="0" collapsed="false">
      <c r="A7" s="98" t="s">
        <v>19</v>
      </c>
      <c r="B7" s="99" t="s">
        <v>909</v>
      </c>
      <c r="C7" s="99" t="s">
        <v>130</v>
      </c>
      <c r="D7" s="98" t="s">
        <v>900</v>
      </c>
      <c r="E7" s="100" t="s">
        <v>910</v>
      </c>
      <c r="F7" s="101" t="n">
        <v>1</v>
      </c>
      <c r="G7" s="101" t="s">
        <v>133</v>
      </c>
      <c r="H7" s="102" t="n">
        <v>435.11</v>
      </c>
      <c r="I7" s="103" t="n">
        <v>435.11</v>
      </c>
      <c r="J7" s="104" t="s">
        <v>284</v>
      </c>
      <c r="K7" s="104" t="n">
        <v>1</v>
      </c>
      <c r="L7" s="101" t="n">
        <v>1</v>
      </c>
      <c r="M7" s="104" t="s">
        <v>902</v>
      </c>
      <c r="N7" s="98"/>
      <c r="O7" s="105" t="n">
        <f aca="false">IF(M7="Y",I7,IF(ISNUMBER(H7),H7*L7,0))</f>
        <v>435.11</v>
      </c>
      <c r="P7" s="106" t="str">
        <f aca="false">IF(J7="","",J7&amp;"|"&amp;A7&amp;"|"&amp;K7)</f>
        <v>R068|Ferguson|1</v>
      </c>
    </row>
    <row r="8" customFormat="false" ht="15" hidden="false" customHeight="false" outlineLevel="0" collapsed="false">
      <c r="A8" s="98" t="s">
        <v>19</v>
      </c>
      <c r="B8" s="99" t="s">
        <v>911</v>
      </c>
      <c r="C8" s="99" t="s">
        <v>130</v>
      </c>
      <c r="D8" s="98" t="s">
        <v>900</v>
      </c>
      <c r="E8" s="100" t="s">
        <v>912</v>
      </c>
      <c r="F8" s="101" t="n">
        <v>1</v>
      </c>
      <c r="G8" s="101" t="s">
        <v>133</v>
      </c>
      <c r="H8" s="102" t="n">
        <v>1871.76</v>
      </c>
      <c r="I8" s="103" t="n">
        <v>1871.76</v>
      </c>
      <c r="J8" s="104" t="s">
        <v>287</v>
      </c>
      <c r="K8" s="104" t="n">
        <v>1</v>
      </c>
      <c r="L8" s="101" t="n">
        <v>1</v>
      </c>
      <c r="M8" s="104" t="s">
        <v>902</v>
      </c>
      <c r="N8" s="98"/>
      <c r="O8" s="105" t="n">
        <f aca="false">IF(M8="Y",I8,IF(ISNUMBER(H8),H8*L8,0))</f>
        <v>1871.76</v>
      </c>
      <c r="P8" s="106" t="str">
        <f aca="false">IF(J8="","",J8&amp;"|"&amp;A8&amp;"|"&amp;K8)</f>
        <v>R069|Ferguson|1</v>
      </c>
    </row>
    <row r="9" customFormat="false" ht="15" hidden="false" customHeight="false" outlineLevel="0" collapsed="false">
      <c r="A9" s="98" t="s">
        <v>19</v>
      </c>
      <c r="B9" s="99" t="s">
        <v>913</v>
      </c>
      <c r="C9" s="99" t="s">
        <v>130</v>
      </c>
      <c r="D9" s="98" t="s">
        <v>900</v>
      </c>
      <c r="E9" s="100" t="s">
        <v>914</v>
      </c>
      <c r="F9" s="101" t="n">
        <v>1</v>
      </c>
      <c r="G9" s="101" t="s">
        <v>133</v>
      </c>
      <c r="H9" s="102" t="n">
        <v>150.41</v>
      </c>
      <c r="I9" s="103" t="n">
        <v>150.41</v>
      </c>
      <c r="J9" s="104" t="s">
        <v>390</v>
      </c>
      <c r="K9" s="104" t="n">
        <v>1</v>
      </c>
      <c r="L9" s="101" t="n">
        <v>1</v>
      </c>
      <c r="M9" s="104" t="s">
        <v>902</v>
      </c>
      <c r="N9" s="98"/>
      <c r="O9" s="105" t="n">
        <f aca="false">IF(M9="Y",I9,IF(ISNUMBER(H9),H9*L9,0))</f>
        <v>150.41</v>
      </c>
      <c r="P9" s="106" t="str">
        <f aca="false">IF(J9="","",J9&amp;"|"&amp;A9&amp;"|"&amp;K9)</f>
        <v>R110|Ferguson|1</v>
      </c>
    </row>
    <row r="10" customFormat="false" ht="15" hidden="false" customHeight="false" outlineLevel="0" collapsed="false">
      <c r="A10" s="98" t="s">
        <v>19</v>
      </c>
      <c r="B10" s="99" t="s">
        <v>915</v>
      </c>
      <c r="C10" s="99" t="s">
        <v>130</v>
      </c>
      <c r="D10" s="98" t="s">
        <v>900</v>
      </c>
      <c r="E10" s="100" t="s">
        <v>916</v>
      </c>
      <c r="F10" s="101" t="n">
        <v>1</v>
      </c>
      <c r="G10" s="101" t="s">
        <v>133</v>
      </c>
      <c r="H10" s="102" t="n">
        <v>232.95</v>
      </c>
      <c r="I10" s="103" t="n">
        <v>232.95</v>
      </c>
      <c r="J10" s="104" t="s">
        <v>293</v>
      </c>
      <c r="K10" s="104" t="n">
        <v>1</v>
      </c>
      <c r="L10" s="101" t="n">
        <v>1</v>
      </c>
      <c r="M10" s="104" t="s">
        <v>902</v>
      </c>
      <c r="N10" s="98"/>
      <c r="O10" s="105" t="n">
        <f aca="false">IF(M10="Y",I10,IF(ISNUMBER(H10),H10*L10,0))</f>
        <v>232.95</v>
      </c>
      <c r="P10" s="106" t="str">
        <f aca="false">IF(J10="","",J10&amp;"|"&amp;A10&amp;"|"&amp;K10)</f>
        <v>R071|Ferguson|1</v>
      </c>
    </row>
    <row r="11" customFormat="false" ht="15" hidden="false" customHeight="false" outlineLevel="0" collapsed="false">
      <c r="A11" s="98" t="s">
        <v>19</v>
      </c>
      <c r="B11" s="99" t="s">
        <v>917</v>
      </c>
      <c r="C11" s="99" t="s">
        <v>130</v>
      </c>
      <c r="D11" s="98" t="s">
        <v>900</v>
      </c>
      <c r="E11" s="100" t="s">
        <v>918</v>
      </c>
      <c r="F11" s="101" t="n">
        <v>1</v>
      </c>
      <c r="G11" s="101" t="s">
        <v>133</v>
      </c>
      <c r="H11" s="102" t="n">
        <v>276.46</v>
      </c>
      <c r="I11" s="103" t="n">
        <v>276.46</v>
      </c>
      <c r="J11" s="104" t="s">
        <v>297</v>
      </c>
      <c r="K11" s="104" t="n">
        <v>1</v>
      </c>
      <c r="L11" s="101" t="n">
        <v>1</v>
      </c>
      <c r="M11" s="104" t="s">
        <v>902</v>
      </c>
      <c r="N11" s="98"/>
      <c r="O11" s="105" t="n">
        <f aca="false">IF(M11="Y",I11,IF(ISNUMBER(H11),H11*L11,0))</f>
        <v>276.46</v>
      </c>
      <c r="P11" s="106" t="str">
        <f aca="false">IF(J11="","",J11&amp;"|"&amp;A11&amp;"|"&amp;K11)</f>
        <v>R072|Ferguson|1</v>
      </c>
    </row>
    <row r="12" customFormat="false" ht="15" hidden="false" customHeight="false" outlineLevel="0" collapsed="false">
      <c r="A12" s="98" t="s">
        <v>19</v>
      </c>
      <c r="B12" s="99" t="s">
        <v>919</v>
      </c>
      <c r="C12" s="99" t="s">
        <v>130</v>
      </c>
      <c r="D12" s="98" t="s">
        <v>900</v>
      </c>
      <c r="E12" s="100" t="s">
        <v>920</v>
      </c>
      <c r="F12" s="101" t="n">
        <v>4</v>
      </c>
      <c r="G12" s="101" t="s">
        <v>133</v>
      </c>
      <c r="H12" s="102" t="n">
        <v>154.1</v>
      </c>
      <c r="I12" s="103" t="n">
        <v>616.4</v>
      </c>
      <c r="J12" s="104" t="s">
        <v>301</v>
      </c>
      <c r="K12" s="104" t="n">
        <v>1</v>
      </c>
      <c r="L12" s="101" t="n">
        <v>4</v>
      </c>
      <c r="M12" s="104" t="s">
        <v>902</v>
      </c>
      <c r="N12" s="98"/>
      <c r="O12" s="105" t="n">
        <f aca="false">IF(M12="Y",I12,IF(ISNUMBER(H12),H12*L12,0))</f>
        <v>616.4</v>
      </c>
      <c r="P12" s="106" t="str">
        <f aca="false">IF(J12="","",J12&amp;"|"&amp;A12&amp;"|"&amp;K12)</f>
        <v>R074|Ferguson|1</v>
      </c>
    </row>
    <row r="13" customFormat="false" ht="15" hidden="false" customHeight="false" outlineLevel="0" collapsed="false">
      <c r="A13" s="98" t="s">
        <v>19</v>
      </c>
      <c r="B13" s="99" t="s">
        <v>921</v>
      </c>
      <c r="C13" s="99" t="s">
        <v>130</v>
      </c>
      <c r="D13" s="98" t="s">
        <v>900</v>
      </c>
      <c r="E13" s="100" t="s">
        <v>922</v>
      </c>
      <c r="F13" s="101" t="n">
        <v>3</v>
      </c>
      <c r="G13" s="101" t="s">
        <v>133</v>
      </c>
      <c r="H13" s="102" t="n">
        <v>45.87</v>
      </c>
      <c r="I13" s="103" t="n">
        <v>137.61</v>
      </c>
      <c r="J13" s="104" t="s">
        <v>312</v>
      </c>
      <c r="K13" s="104" t="n">
        <v>1</v>
      </c>
      <c r="L13" s="101" t="n">
        <v>3</v>
      </c>
      <c r="M13" s="104" t="s">
        <v>902</v>
      </c>
      <c r="N13" s="98"/>
      <c r="O13" s="105" t="n">
        <f aca="false">IF(M13="Y",I13,IF(ISNUMBER(H13),H13*L13,0))</f>
        <v>137.61</v>
      </c>
      <c r="P13" s="106" t="str">
        <f aca="false">IF(J13="","",J13&amp;"|"&amp;A13&amp;"|"&amp;K13)</f>
        <v>R078|Ferguson|1</v>
      </c>
    </row>
    <row r="14" customFormat="false" ht="15" hidden="false" customHeight="false" outlineLevel="0" collapsed="false">
      <c r="A14" s="98" t="s">
        <v>19</v>
      </c>
      <c r="B14" s="99" t="s">
        <v>923</v>
      </c>
      <c r="C14" s="99" t="s">
        <v>130</v>
      </c>
      <c r="D14" s="98" t="s">
        <v>900</v>
      </c>
      <c r="E14" s="100" t="s">
        <v>924</v>
      </c>
      <c r="F14" s="101" t="n">
        <v>3</v>
      </c>
      <c r="G14" s="101" t="s">
        <v>133</v>
      </c>
      <c r="H14" s="102" t="n">
        <v>25.42</v>
      </c>
      <c r="I14" s="103" t="n">
        <v>76.26</v>
      </c>
      <c r="J14" s="104" t="s">
        <v>312</v>
      </c>
      <c r="K14" s="104" t="n">
        <v>2</v>
      </c>
      <c r="L14" s="101" t="n">
        <v>3</v>
      </c>
      <c r="M14" s="104" t="s">
        <v>902</v>
      </c>
      <c r="N14" s="98"/>
      <c r="O14" s="105" t="n">
        <f aca="false">IF(M14="Y",I14,IF(ISNUMBER(H14),H14*L14,0))</f>
        <v>76.26</v>
      </c>
      <c r="P14" s="106" t="str">
        <f aca="false">IF(J14="","",J14&amp;"|"&amp;A14&amp;"|"&amp;K14)</f>
        <v>R078|Ferguson|2</v>
      </c>
    </row>
    <row r="15" customFormat="false" ht="15" hidden="false" customHeight="false" outlineLevel="0" collapsed="false">
      <c r="A15" s="98" t="s">
        <v>19</v>
      </c>
      <c r="B15" s="99" t="s">
        <v>925</v>
      </c>
      <c r="C15" s="99" t="s">
        <v>130</v>
      </c>
      <c r="D15" s="98" t="s">
        <v>900</v>
      </c>
      <c r="E15" s="100" t="s">
        <v>926</v>
      </c>
      <c r="F15" s="101" t="n">
        <v>1</v>
      </c>
      <c r="G15" s="101" t="s">
        <v>133</v>
      </c>
      <c r="H15" s="102" t="n">
        <v>168.89</v>
      </c>
      <c r="I15" s="103" t="n">
        <v>168.89</v>
      </c>
      <c r="J15" s="104" t="s">
        <v>324</v>
      </c>
      <c r="K15" s="104" t="n">
        <v>1</v>
      </c>
      <c r="L15" s="101" t="n">
        <v>1</v>
      </c>
      <c r="M15" s="104" t="s">
        <v>902</v>
      </c>
      <c r="N15" s="98"/>
      <c r="O15" s="105" t="n">
        <f aca="false">IF(M15="Y",I15,IF(ISNUMBER(H15),H15*L15,0))</f>
        <v>168.89</v>
      </c>
      <c r="P15" s="106" t="str">
        <f aca="false">IF(J15="","",J15&amp;"|"&amp;A15&amp;"|"&amp;K15)</f>
        <v>R083|Ferguson|1</v>
      </c>
    </row>
    <row r="16" customFormat="false" ht="15" hidden="false" customHeight="false" outlineLevel="0" collapsed="false">
      <c r="A16" s="98" t="s">
        <v>19</v>
      </c>
      <c r="B16" s="99" t="s">
        <v>927</v>
      </c>
      <c r="C16" s="99" t="s">
        <v>130</v>
      </c>
      <c r="D16" s="98" t="s">
        <v>900</v>
      </c>
      <c r="E16" s="100" t="s">
        <v>928</v>
      </c>
      <c r="F16" s="101" t="n">
        <v>1</v>
      </c>
      <c r="G16" s="101" t="s">
        <v>133</v>
      </c>
      <c r="H16" s="102" t="n">
        <v>45.56</v>
      </c>
      <c r="I16" s="103" t="n">
        <v>45.56</v>
      </c>
      <c r="J16" s="104" t="s">
        <v>415</v>
      </c>
      <c r="K16" s="104" t="n">
        <v>1</v>
      </c>
      <c r="L16" s="101" t="n">
        <v>1</v>
      </c>
      <c r="M16" s="104" t="s">
        <v>902</v>
      </c>
      <c r="N16" s="98"/>
      <c r="O16" s="105" t="n">
        <f aca="false">IF(M16="Y",I16,IF(ISNUMBER(H16),H16*L16,0))</f>
        <v>45.56</v>
      </c>
      <c r="P16" s="106" t="str">
        <f aca="false">IF(J16="","",J16&amp;"|"&amp;A16&amp;"|"&amp;K16)</f>
        <v>R120|Ferguson|1</v>
      </c>
    </row>
    <row r="17" customFormat="false" ht="15" hidden="false" customHeight="false" outlineLevel="0" collapsed="false">
      <c r="A17" s="98" t="s">
        <v>19</v>
      </c>
      <c r="B17" s="99" t="s">
        <v>929</v>
      </c>
      <c r="C17" s="99" t="s">
        <v>130</v>
      </c>
      <c r="D17" s="98" t="s">
        <v>930</v>
      </c>
      <c r="E17" s="100" t="s">
        <v>931</v>
      </c>
      <c r="F17" s="101" t="n">
        <v>1</v>
      </c>
      <c r="G17" s="101" t="s">
        <v>133</v>
      </c>
      <c r="H17" s="102" t="n">
        <v>3346.08</v>
      </c>
      <c r="I17" s="103" t="n">
        <v>3346.08</v>
      </c>
      <c r="J17" s="104" t="s">
        <v>185</v>
      </c>
      <c r="K17" s="104" t="n">
        <v>1</v>
      </c>
      <c r="L17" s="101" t="n">
        <v>1</v>
      </c>
      <c r="M17" s="104" t="s">
        <v>902</v>
      </c>
      <c r="N17" s="98"/>
      <c r="O17" s="105" t="n">
        <f aca="false">IF(M17="Y",I17,IF(ISNUMBER(H17),H17*L17,0))</f>
        <v>3346.08</v>
      </c>
      <c r="P17" s="106" t="str">
        <f aca="false">IF(J17="","",J17&amp;"|"&amp;A17&amp;"|"&amp;K17)</f>
        <v>R023|Ferguson|1</v>
      </c>
    </row>
    <row r="18" customFormat="false" ht="15" hidden="false" customHeight="false" outlineLevel="0" collapsed="false">
      <c r="A18" s="98" t="s">
        <v>19</v>
      </c>
      <c r="B18" s="99" t="s">
        <v>932</v>
      </c>
      <c r="C18" s="99" t="s">
        <v>130</v>
      </c>
      <c r="D18" s="98" t="s">
        <v>930</v>
      </c>
      <c r="E18" s="100" t="s">
        <v>933</v>
      </c>
      <c r="F18" s="101" t="n">
        <v>1</v>
      </c>
      <c r="G18" s="101" t="s">
        <v>133</v>
      </c>
      <c r="H18" s="102" t="n">
        <v>6622.86</v>
      </c>
      <c r="I18" s="103" t="n">
        <v>6622.86</v>
      </c>
      <c r="J18" s="104" t="s">
        <v>182</v>
      </c>
      <c r="K18" s="104" t="n">
        <v>1</v>
      </c>
      <c r="L18" s="101" t="n">
        <v>1</v>
      </c>
      <c r="M18" s="104" t="s">
        <v>902</v>
      </c>
      <c r="N18" s="98"/>
      <c r="O18" s="105" t="n">
        <f aca="false">IF(M18="Y",I18,IF(ISNUMBER(H18),H18*L18,0))</f>
        <v>6622.86</v>
      </c>
      <c r="P18" s="106" t="str">
        <f aca="false">IF(J18="","",J18&amp;"|"&amp;A18&amp;"|"&amp;K18)</f>
        <v>R022|Ferguson|1</v>
      </c>
    </row>
    <row r="19" customFormat="false" ht="15" hidden="false" customHeight="false" outlineLevel="0" collapsed="false">
      <c r="A19" s="98" t="s">
        <v>19</v>
      </c>
      <c r="B19" s="99" t="s">
        <v>934</v>
      </c>
      <c r="C19" s="99" t="s">
        <v>130</v>
      </c>
      <c r="D19" s="98" t="s">
        <v>930</v>
      </c>
      <c r="E19" s="100" t="s">
        <v>935</v>
      </c>
      <c r="F19" s="101" t="n">
        <v>2</v>
      </c>
      <c r="G19" s="101" t="s">
        <v>133</v>
      </c>
      <c r="H19" s="102" t="n">
        <v>2746.33</v>
      </c>
      <c r="I19" s="103" t="n">
        <v>5492.66</v>
      </c>
      <c r="J19" s="104" t="s">
        <v>195</v>
      </c>
      <c r="K19" s="104" t="n">
        <v>1</v>
      </c>
      <c r="L19" s="101" t="n">
        <v>2</v>
      </c>
      <c r="M19" s="104" t="s">
        <v>902</v>
      </c>
      <c r="N19" s="98"/>
      <c r="O19" s="105" t="n">
        <f aca="false">IF(M19="Y",I19,IF(ISNUMBER(H19),H19*L19,0))</f>
        <v>5492.66</v>
      </c>
      <c r="P19" s="106" t="str">
        <f aca="false">IF(J19="","",J19&amp;"|"&amp;A19&amp;"|"&amp;K19)</f>
        <v>R028|Ferguson|1</v>
      </c>
    </row>
    <row r="20" customFormat="false" ht="15" hidden="false" customHeight="false" outlineLevel="0" collapsed="false">
      <c r="A20" s="98" t="s">
        <v>19</v>
      </c>
      <c r="B20" s="99" t="s">
        <v>936</v>
      </c>
      <c r="C20" s="99" t="s">
        <v>130</v>
      </c>
      <c r="D20" s="98" t="s">
        <v>930</v>
      </c>
      <c r="E20" s="100" t="s">
        <v>937</v>
      </c>
      <c r="F20" s="101" t="n">
        <v>2</v>
      </c>
      <c r="G20" s="101" t="s">
        <v>133</v>
      </c>
      <c r="H20" s="102" t="n">
        <v>1566.1</v>
      </c>
      <c r="I20" s="103" t="n">
        <v>3132.2</v>
      </c>
      <c r="J20" s="104" t="s">
        <v>197</v>
      </c>
      <c r="K20" s="104" t="n">
        <v>1</v>
      </c>
      <c r="L20" s="101" t="n">
        <v>2</v>
      </c>
      <c r="M20" s="104" t="s">
        <v>902</v>
      </c>
      <c r="N20" s="98"/>
      <c r="O20" s="105" t="n">
        <f aca="false">IF(M20="Y",I20,IF(ISNUMBER(H20),H20*L20,0))</f>
        <v>3132.2</v>
      </c>
      <c r="P20" s="106" t="str">
        <f aca="false">IF(J20="","",J20&amp;"|"&amp;A20&amp;"|"&amp;K20)</f>
        <v>R029|Ferguson|1</v>
      </c>
    </row>
    <row r="21" customFormat="false" ht="15" hidden="false" customHeight="false" outlineLevel="0" collapsed="false">
      <c r="A21" s="98" t="s">
        <v>19</v>
      </c>
      <c r="B21" s="99" t="s">
        <v>938</v>
      </c>
      <c r="C21" s="99" t="s">
        <v>130</v>
      </c>
      <c r="D21" s="98" t="s">
        <v>930</v>
      </c>
      <c r="E21" s="100" t="s">
        <v>939</v>
      </c>
      <c r="F21" s="101" t="n">
        <v>2</v>
      </c>
      <c r="G21" s="101" t="s">
        <v>133</v>
      </c>
      <c r="H21" s="102" t="n">
        <v>1007.84</v>
      </c>
      <c r="I21" s="103" t="n">
        <v>2015.68</v>
      </c>
      <c r="J21" s="104" t="s">
        <v>199</v>
      </c>
      <c r="K21" s="104" t="n">
        <v>1</v>
      </c>
      <c r="L21" s="101" t="n">
        <v>2</v>
      </c>
      <c r="M21" s="104" t="s">
        <v>902</v>
      </c>
      <c r="N21" s="98"/>
      <c r="O21" s="105" t="n">
        <f aca="false">IF(M21="Y",I21,IF(ISNUMBER(H21),H21*L21,0))</f>
        <v>2015.68</v>
      </c>
      <c r="P21" s="106" t="str">
        <f aca="false">IF(J21="","",J21&amp;"|"&amp;A21&amp;"|"&amp;K21)</f>
        <v>R030|Ferguson|1</v>
      </c>
    </row>
    <row r="22" customFormat="false" ht="15" hidden="false" customHeight="false" outlineLevel="0" collapsed="false">
      <c r="A22" s="98" t="s">
        <v>19</v>
      </c>
      <c r="B22" s="99" t="s">
        <v>940</v>
      </c>
      <c r="C22" s="99" t="s">
        <v>130</v>
      </c>
      <c r="D22" s="98" t="s">
        <v>930</v>
      </c>
      <c r="E22" s="100" t="s">
        <v>941</v>
      </c>
      <c r="F22" s="101" t="n">
        <v>1</v>
      </c>
      <c r="G22" s="101" t="s">
        <v>133</v>
      </c>
      <c r="H22" s="102" t="n">
        <v>881.22</v>
      </c>
      <c r="I22" s="103" t="n">
        <v>881.22</v>
      </c>
      <c r="J22" s="104" t="s">
        <v>207</v>
      </c>
      <c r="K22" s="104" t="n">
        <v>1</v>
      </c>
      <c r="L22" s="101" t="n">
        <v>1</v>
      </c>
      <c r="M22" s="104" t="s">
        <v>902</v>
      </c>
      <c r="N22" s="98"/>
      <c r="O22" s="105" t="n">
        <f aca="false">IF(M22="Y",I22,IF(ISNUMBER(H22),H22*L22,0))</f>
        <v>881.22</v>
      </c>
      <c r="P22" s="106" t="str">
        <f aca="false">IF(J22="","",J22&amp;"|"&amp;A22&amp;"|"&amp;K22)</f>
        <v>R034|Ferguson|1</v>
      </c>
    </row>
    <row r="23" customFormat="false" ht="15" hidden="false" customHeight="false" outlineLevel="0" collapsed="false">
      <c r="A23" s="98" t="s">
        <v>19</v>
      </c>
      <c r="B23" s="99" t="s">
        <v>942</v>
      </c>
      <c r="C23" s="99" t="s">
        <v>130</v>
      </c>
      <c r="D23" s="98" t="s">
        <v>930</v>
      </c>
      <c r="E23" s="100" t="s">
        <v>943</v>
      </c>
      <c r="F23" s="101" t="n">
        <v>1</v>
      </c>
      <c r="G23" s="101" t="s">
        <v>133</v>
      </c>
      <c r="H23" s="102" t="n">
        <v>37321.6</v>
      </c>
      <c r="I23" s="103" t="n">
        <v>37321.6</v>
      </c>
      <c r="J23" s="104" t="s">
        <v>239</v>
      </c>
      <c r="K23" s="104" t="n">
        <v>1</v>
      </c>
      <c r="L23" s="101" t="n">
        <v>1</v>
      </c>
      <c r="M23" s="104" t="s">
        <v>902</v>
      </c>
      <c r="N23" s="98"/>
      <c r="O23" s="105" t="n">
        <f aca="false">IF(M23="Y",I23,IF(ISNUMBER(H23),H23*L23,0))</f>
        <v>37321.6</v>
      </c>
      <c r="P23" s="106" t="str">
        <f aca="false">IF(J23="","",J23&amp;"|"&amp;A23&amp;"|"&amp;K23)</f>
        <v>R050|Ferguson|1</v>
      </c>
    </row>
    <row r="24" customFormat="false" ht="15" hidden="false" customHeight="false" outlineLevel="0" collapsed="false">
      <c r="A24" s="98" t="s">
        <v>19</v>
      </c>
      <c r="B24" s="99" t="s">
        <v>944</v>
      </c>
      <c r="C24" s="99" t="s">
        <v>130</v>
      </c>
      <c r="D24" s="98" t="s">
        <v>930</v>
      </c>
      <c r="E24" s="100" t="s">
        <v>945</v>
      </c>
      <c r="F24" s="101" t="n">
        <v>2</v>
      </c>
      <c r="G24" s="101" t="s">
        <v>133</v>
      </c>
      <c r="H24" s="102" t="n">
        <v>618.75</v>
      </c>
      <c r="I24" s="103" t="n">
        <v>1237.5</v>
      </c>
      <c r="J24" s="104" t="s">
        <v>243</v>
      </c>
      <c r="K24" s="104" t="n">
        <v>1</v>
      </c>
      <c r="L24" s="101" t="n">
        <v>2</v>
      </c>
      <c r="M24" s="104" t="s">
        <v>902</v>
      </c>
      <c r="N24" s="98"/>
      <c r="O24" s="105" t="n">
        <f aca="false">IF(M24="Y",I24,IF(ISNUMBER(H24),H24*L24,0))</f>
        <v>1237.5</v>
      </c>
      <c r="P24" s="106" t="str">
        <f aca="false">IF(J24="","",J24&amp;"|"&amp;A24&amp;"|"&amp;K24)</f>
        <v>R051|Ferguson|1</v>
      </c>
    </row>
    <row r="25" customFormat="false" ht="15" hidden="false" customHeight="false" outlineLevel="0" collapsed="false">
      <c r="A25" s="98" t="s">
        <v>19</v>
      </c>
      <c r="B25" s="99" t="s">
        <v>946</v>
      </c>
      <c r="C25" s="99" t="s">
        <v>130</v>
      </c>
      <c r="D25" s="98" t="s">
        <v>930</v>
      </c>
      <c r="E25" s="100" t="s">
        <v>947</v>
      </c>
      <c r="F25" s="101" t="n">
        <v>2</v>
      </c>
      <c r="G25" s="101" t="s">
        <v>133</v>
      </c>
      <c r="H25" s="102" t="n">
        <v>1493.17</v>
      </c>
      <c r="I25" s="103" t="n">
        <v>2986.34</v>
      </c>
      <c r="J25" s="104" t="s">
        <v>129</v>
      </c>
      <c r="K25" s="104" t="n">
        <v>1</v>
      </c>
      <c r="L25" s="101" t="n">
        <v>2</v>
      </c>
      <c r="M25" s="104" t="s">
        <v>902</v>
      </c>
      <c r="N25" s="98"/>
      <c r="O25" s="105" t="n">
        <f aca="false">IF(M25="Y",I25,IF(ISNUMBER(H25),H25*L25,0))</f>
        <v>2986.34</v>
      </c>
      <c r="P25" s="106" t="str">
        <f aca="false">IF(J25="","",J25&amp;"|"&amp;A25&amp;"|"&amp;K25)</f>
        <v>R001|Ferguson|1</v>
      </c>
    </row>
    <row r="26" customFormat="false" ht="15" hidden="false" customHeight="false" outlineLevel="0" collapsed="false">
      <c r="A26" s="98" t="s">
        <v>19</v>
      </c>
      <c r="B26" s="99" t="s">
        <v>948</v>
      </c>
      <c r="C26" s="99" t="s">
        <v>130</v>
      </c>
      <c r="D26" s="98" t="s">
        <v>930</v>
      </c>
      <c r="E26" s="100" t="s">
        <v>949</v>
      </c>
      <c r="F26" s="101" t="n">
        <v>2</v>
      </c>
      <c r="G26" s="101" t="s">
        <v>133</v>
      </c>
      <c r="H26" s="102" t="n">
        <v>946.86</v>
      </c>
      <c r="I26" s="103" t="n">
        <v>1893.72</v>
      </c>
      <c r="J26" s="104" t="s">
        <v>134</v>
      </c>
      <c r="K26" s="104" t="n">
        <v>1</v>
      </c>
      <c r="L26" s="101" t="n">
        <v>2</v>
      </c>
      <c r="M26" s="104" t="s">
        <v>902</v>
      </c>
      <c r="N26" s="98"/>
      <c r="O26" s="105" t="n">
        <f aca="false">IF(M26="Y",I26,IF(ISNUMBER(H26),H26*L26,0))</f>
        <v>1893.72</v>
      </c>
      <c r="P26" s="106" t="str">
        <f aca="false">IF(J26="","",J26&amp;"|"&amp;A26&amp;"|"&amp;K26)</f>
        <v>R002|Ferguson|1</v>
      </c>
    </row>
    <row r="27" customFormat="false" ht="15" hidden="false" customHeight="false" outlineLevel="0" collapsed="false">
      <c r="A27" s="98" t="s">
        <v>19</v>
      </c>
      <c r="B27" s="99" t="s">
        <v>950</v>
      </c>
      <c r="C27" s="99" t="s">
        <v>130</v>
      </c>
      <c r="D27" s="98" t="s">
        <v>930</v>
      </c>
      <c r="E27" s="100" t="s">
        <v>951</v>
      </c>
      <c r="F27" s="101" t="n">
        <v>1</v>
      </c>
      <c r="G27" s="101" t="s">
        <v>133</v>
      </c>
      <c r="H27" s="102" t="n">
        <v>522.45</v>
      </c>
      <c r="I27" s="103" t="n">
        <v>522.45</v>
      </c>
      <c r="J27" s="104" t="s">
        <v>140</v>
      </c>
      <c r="K27" s="104" t="n">
        <v>1</v>
      </c>
      <c r="L27" s="101" t="n">
        <v>1</v>
      </c>
      <c r="M27" s="104" t="s">
        <v>902</v>
      </c>
      <c r="N27" s="98"/>
      <c r="O27" s="105" t="n">
        <f aca="false">IF(M27="Y",I27,IF(ISNUMBER(H27),H27*L27,0))</f>
        <v>522.45</v>
      </c>
      <c r="P27" s="106" t="str">
        <f aca="false">IF(J27="","",J27&amp;"|"&amp;A27&amp;"|"&amp;K27)</f>
        <v>R004|Ferguson|1</v>
      </c>
    </row>
    <row r="28" customFormat="false" ht="15" hidden="false" customHeight="false" outlineLevel="0" collapsed="false">
      <c r="A28" s="98" t="s">
        <v>19</v>
      </c>
      <c r="B28" s="99" t="s">
        <v>952</v>
      </c>
      <c r="C28" s="99" t="s">
        <v>130</v>
      </c>
      <c r="D28" s="98" t="s">
        <v>930</v>
      </c>
      <c r="E28" s="100" t="s">
        <v>901</v>
      </c>
      <c r="F28" s="101" t="n">
        <v>2</v>
      </c>
      <c r="G28" s="101" t="s">
        <v>133</v>
      </c>
      <c r="H28" s="102" t="n">
        <v>519.23</v>
      </c>
      <c r="I28" s="103" t="n">
        <v>1038.46</v>
      </c>
      <c r="J28" s="104" t="s">
        <v>140</v>
      </c>
      <c r="K28" s="104" t="n">
        <v>1</v>
      </c>
      <c r="L28" s="101" t="n">
        <v>2</v>
      </c>
      <c r="M28" s="104" t="s">
        <v>902</v>
      </c>
      <c r="N28" s="98"/>
      <c r="O28" s="105" t="n">
        <f aca="false">IF(M28="Y",I28,IF(ISNUMBER(H28),H28*L28,0))</f>
        <v>1038.46</v>
      </c>
      <c r="P28" s="106" t="str">
        <f aca="false">IF(J28="","",J28&amp;"|"&amp;A28&amp;"|"&amp;K28)</f>
        <v>R004|Ferguson|1</v>
      </c>
    </row>
    <row r="29" customFormat="false" ht="15" hidden="false" customHeight="false" outlineLevel="0" collapsed="false">
      <c r="A29" s="98" t="s">
        <v>19</v>
      </c>
      <c r="B29" s="99" t="s">
        <v>953</v>
      </c>
      <c r="C29" s="99" t="s">
        <v>130</v>
      </c>
      <c r="D29" s="98" t="s">
        <v>930</v>
      </c>
      <c r="E29" s="100" t="s">
        <v>954</v>
      </c>
      <c r="F29" s="101" t="n">
        <v>1</v>
      </c>
      <c r="G29" s="101" t="s">
        <v>133</v>
      </c>
      <c r="H29" s="102" t="n">
        <v>1468.02</v>
      </c>
      <c r="I29" s="103" t="n">
        <v>1468.02</v>
      </c>
      <c r="J29" s="104" t="s">
        <v>143</v>
      </c>
      <c r="K29" s="104" t="n">
        <v>1</v>
      </c>
      <c r="L29" s="101" t="n">
        <v>1</v>
      </c>
      <c r="M29" s="104" t="s">
        <v>902</v>
      </c>
      <c r="N29" s="98"/>
      <c r="O29" s="105" t="n">
        <f aca="false">IF(M29="Y",I29,IF(ISNUMBER(H29),H29*L29,0))</f>
        <v>1468.02</v>
      </c>
      <c r="P29" s="106" t="str">
        <f aca="false">IF(J29="","",J29&amp;"|"&amp;A29&amp;"|"&amp;K29)</f>
        <v>R005|Ferguson|1</v>
      </c>
    </row>
    <row r="30" customFormat="false" ht="15" hidden="false" customHeight="false" outlineLevel="0" collapsed="false">
      <c r="A30" s="98" t="s">
        <v>19</v>
      </c>
      <c r="B30" s="99" t="s">
        <v>955</v>
      </c>
      <c r="C30" s="99" t="s">
        <v>130</v>
      </c>
      <c r="D30" s="98" t="s">
        <v>930</v>
      </c>
      <c r="E30" s="100" t="s">
        <v>956</v>
      </c>
      <c r="F30" s="101" t="n">
        <v>1</v>
      </c>
      <c r="G30" s="101" t="s">
        <v>133</v>
      </c>
      <c r="H30" s="102" t="n">
        <v>728.21</v>
      </c>
      <c r="I30" s="103" t="n">
        <v>728.21</v>
      </c>
      <c r="J30" s="104" t="s">
        <v>151</v>
      </c>
      <c r="K30" s="104" t="n">
        <v>1</v>
      </c>
      <c r="L30" s="101" t="n">
        <v>1</v>
      </c>
      <c r="M30" s="104" t="s">
        <v>902</v>
      </c>
      <c r="N30" s="98"/>
      <c r="O30" s="105" t="n">
        <f aca="false">IF(M30="Y",I30,IF(ISNUMBER(H30),H30*L30,0))</f>
        <v>728.21</v>
      </c>
      <c r="P30" s="106" t="str">
        <f aca="false">IF(J30="","",J30&amp;"|"&amp;A30&amp;"|"&amp;K30)</f>
        <v>R009|Ferguson|1</v>
      </c>
    </row>
    <row r="31" customFormat="false" ht="15" hidden="false" customHeight="false" outlineLevel="0" collapsed="false">
      <c r="A31" s="98" t="s">
        <v>19</v>
      </c>
      <c r="B31" s="99" t="s">
        <v>957</v>
      </c>
      <c r="C31" s="99" t="s">
        <v>130</v>
      </c>
      <c r="D31" s="98" t="s">
        <v>930</v>
      </c>
      <c r="E31" s="100" t="s">
        <v>958</v>
      </c>
      <c r="F31" s="101" t="n">
        <v>2</v>
      </c>
      <c r="G31" s="101" t="s">
        <v>133</v>
      </c>
      <c r="H31" s="102" t="n">
        <v>368.94</v>
      </c>
      <c r="I31" s="103" t="n">
        <v>737.88</v>
      </c>
      <c r="J31" s="104" t="s">
        <v>162</v>
      </c>
      <c r="K31" s="104" t="n">
        <v>1</v>
      </c>
      <c r="L31" s="101" t="n">
        <v>2</v>
      </c>
      <c r="M31" s="104" t="s">
        <v>902</v>
      </c>
      <c r="N31" s="98"/>
      <c r="O31" s="105" t="n">
        <f aca="false">IF(M31="Y",I31,IF(ISNUMBER(H31),H31*L31,0))</f>
        <v>737.88</v>
      </c>
      <c r="P31" s="106" t="str">
        <f aca="false">IF(J31="","",J31&amp;"|"&amp;A31&amp;"|"&amp;K31)</f>
        <v>R014|Ferguson|1</v>
      </c>
    </row>
    <row r="32" customFormat="false" ht="15" hidden="false" customHeight="false" outlineLevel="0" collapsed="false">
      <c r="A32" s="98" t="s">
        <v>19</v>
      </c>
      <c r="B32" s="99" t="s">
        <v>959</v>
      </c>
      <c r="C32" s="99" t="s">
        <v>130</v>
      </c>
      <c r="D32" s="98" t="s">
        <v>930</v>
      </c>
      <c r="E32" s="100" t="s">
        <v>960</v>
      </c>
      <c r="F32" s="101" t="n">
        <v>1</v>
      </c>
      <c r="G32" s="101" t="s">
        <v>133</v>
      </c>
      <c r="H32" s="102" t="n">
        <v>636.61</v>
      </c>
      <c r="I32" s="103" t="n">
        <v>636.61</v>
      </c>
      <c r="J32" s="104" t="s">
        <v>154</v>
      </c>
      <c r="K32" s="104" t="n">
        <v>1</v>
      </c>
      <c r="L32" s="101" t="n">
        <v>1</v>
      </c>
      <c r="M32" s="104" t="s">
        <v>902</v>
      </c>
      <c r="N32" s="98"/>
      <c r="O32" s="105" t="n">
        <f aca="false">IF(M32="Y",I32,IF(ISNUMBER(H32),H32*L32,0))</f>
        <v>636.61</v>
      </c>
      <c r="P32" s="106" t="str">
        <f aca="false">IF(J32="","",J32&amp;"|"&amp;A32&amp;"|"&amp;K32)</f>
        <v>R010|Ferguson|1</v>
      </c>
    </row>
    <row r="33" customFormat="false" ht="15" hidden="false" customHeight="false" outlineLevel="0" collapsed="false">
      <c r="A33" s="98" t="s">
        <v>19</v>
      </c>
      <c r="B33" s="99" t="s">
        <v>961</v>
      </c>
      <c r="C33" s="99" t="s">
        <v>130</v>
      </c>
      <c r="D33" s="98" t="s">
        <v>930</v>
      </c>
      <c r="E33" s="100" t="s">
        <v>962</v>
      </c>
      <c r="F33" s="101" t="n">
        <v>1</v>
      </c>
      <c r="G33" s="101" t="s">
        <v>133</v>
      </c>
      <c r="H33" s="102" t="n">
        <v>419.9</v>
      </c>
      <c r="I33" s="103" t="n">
        <v>419.9</v>
      </c>
      <c r="J33" s="104" t="s">
        <v>160</v>
      </c>
      <c r="K33" s="104" t="n">
        <v>1</v>
      </c>
      <c r="L33" s="101" t="n">
        <v>1</v>
      </c>
      <c r="M33" s="104" t="s">
        <v>902</v>
      </c>
      <c r="N33" s="98"/>
      <c r="O33" s="105" t="n">
        <f aca="false">IF(M33="Y",I33,IF(ISNUMBER(H33),H33*L33,0))</f>
        <v>419.9</v>
      </c>
      <c r="P33" s="106" t="str">
        <f aca="false">IF(J33="","",J33&amp;"|"&amp;A33&amp;"|"&amp;K33)</f>
        <v>R013|Ferguson|1</v>
      </c>
    </row>
    <row r="34" customFormat="false" ht="15" hidden="false" customHeight="false" outlineLevel="0" collapsed="false">
      <c r="A34" s="98" t="s">
        <v>19</v>
      </c>
      <c r="B34" s="99" t="s">
        <v>963</v>
      </c>
      <c r="C34" s="99" t="s">
        <v>130</v>
      </c>
      <c r="D34" s="98" t="s">
        <v>930</v>
      </c>
      <c r="E34" s="100" t="s">
        <v>964</v>
      </c>
      <c r="F34" s="101" t="n">
        <v>2</v>
      </c>
      <c r="G34" s="101" t="s">
        <v>133</v>
      </c>
      <c r="H34" s="102" t="n">
        <v>1012</v>
      </c>
      <c r="I34" s="103" t="n">
        <v>2024</v>
      </c>
      <c r="J34" s="104" t="s">
        <v>145</v>
      </c>
      <c r="K34" s="104" t="n">
        <v>1</v>
      </c>
      <c r="L34" s="101" t="n">
        <v>2</v>
      </c>
      <c r="M34" s="104" t="s">
        <v>902</v>
      </c>
      <c r="N34" s="98"/>
      <c r="O34" s="105" t="n">
        <f aca="false">IF(M34="Y",I34,IF(ISNUMBER(H34),H34*L34,0))</f>
        <v>2024</v>
      </c>
      <c r="P34" s="106" t="str">
        <f aca="false">IF(J34="","",J34&amp;"|"&amp;A34&amp;"|"&amp;K34)</f>
        <v>R006|Ferguson|1</v>
      </c>
    </row>
    <row r="35" customFormat="false" ht="15" hidden="false" customHeight="false" outlineLevel="0" collapsed="false">
      <c r="A35" s="98" t="s">
        <v>19</v>
      </c>
      <c r="B35" s="99" t="s">
        <v>965</v>
      </c>
      <c r="C35" s="99" t="s">
        <v>130</v>
      </c>
      <c r="D35" s="98" t="s">
        <v>930</v>
      </c>
      <c r="E35" s="100" t="s">
        <v>966</v>
      </c>
      <c r="F35" s="101" t="n">
        <v>2</v>
      </c>
      <c r="G35" s="101" t="s">
        <v>133</v>
      </c>
      <c r="H35" s="102" t="n">
        <v>870.11</v>
      </c>
      <c r="I35" s="103" t="n">
        <v>1740.22</v>
      </c>
      <c r="J35" s="104" t="s">
        <v>147</v>
      </c>
      <c r="K35" s="104" t="n">
        <v>1</v>
      </c>
      <c r="L35" s="101" t="n">
        <v>2</v>
      </c>
      <c r="M35" s="104" t="s">
        <v>902</v>
      </c>
      <c r="N35" s="98"/>
      <c r="O35" s="105" t="n">
        <f aca="false">IF(M35="Y",I35,IF(ISNUMBER(H35),H35*L35,0))</f>
        <v>1740.22</v>
      </c>
      <c r="P35" s="106" t="str">
        <f aca="false">IF(J35="","",J35&amp;"|"&amp;A35&amp;"|"&amp;K35)</f>
        <v>R007|Ferguson|1</v>
      </c>
    </row>
    <row r="36" customFormat="false" ht="15" hidden="false" customHeight="false" outlineLevel="0" collapsed="false">
      <c r="A36" s="98" t="s">
        <v>19</v>
      </c>
      <c r="B36" s="99" t="s">
        <v>967</v>
      </c>
      <c r="C36" s="99" t="s">
        <v>130</v>
      </c>
      <c r="D36" s="98" t="s">
        <v>930</v>
      </c>
      <c r="E36" s="100" t="s">
        <v>968</v>
      </c>
      <c r="F36" s="101" t="n">
        <v>2</v>
      </c>
      <c r="G36" s="101" t="s">
        <v>133</v>
      </c>
      <c r="H36" s="102" t="n">
        <v>347.01</v>
      </c>
      <c r="I36" s="103" t="n">
        <v>694.02</v>
      </c>
      <c r="J36" s="104" t="s">
        <v>173</v>
      </c>
      <c r="K36" s="104" t="n">
        <v>1</v>
      </c>
      <c r="L36" s="101" t="n">
        <v>2</v>
      </c>
      <c r="M36" s="104" t="s">
        <v>902</v>
      </c>
      <c r="N36" s="98"/>
      <c r="O36" s="105" t="n">
        <f aca="false">IF(M36="Y",I36,IF(ISNUMBER(H36),H36*L36,0))</f>
        <v>694.02</v>
      </c>
      <c r="P36" s="106" t="str">
        <f aca="false">IF(J36="","",J36&amp;"|"&amp;A36&amp;"|"&amp;K36)</f>
        <v>R019|Ferguson|1</v>
      </c>
    </row>
    <row r="37" customFormat="false" ht="15" hidden="false" customHeight="false" outlineLevel="0" collapsed="false">
      <c r="A37" s="98" t="s">
        <v>19</v>
      </c>
      <c r="B37" s="99" t="s">
        <v>969</v>
      </c>
      <c r="C37" s="99" t="s">
        <v>130</v>
      </c>
      <c r="D37" s="98" t="s">
        <v>930</v>
      </c>
      <c r="E37" s="100" t="s">
        <v>970</v>
      </c>
      <c r="F37" s="101" t="n">
        <v>2</v>
      </c>
      <c r="G37" s="101" t="s">
        <v>133</v>
      </c>
      <c r="H37" s="102" t="n">
        <v>446.99</v>
      </c>
      <c r="I37" s="103" t="n">
        <v>893.98</v>
      </c>
      <c r="J37" s="104" t="s">
        <v>149</v>
      </c>
      <c r="K37" s="104" t="n">
        <v>1</v>
      </c>
      <c r="L37" s="101" t="n">
        <v>2</v>
      </c>
      <c r="M37" s="104" t="s">
        <v>902</v>
      </c>
      <c r="N37" s="98"/>
      <c r="O37" s="105" t="n">
        <f aca="false">IF(M37="Y",I37,IF(ISNUMBER(H37),H37*L37,0))</f>
        <v>893.98</v>
      </c>
      <c r="P37" s="106" t="str">
        <f aca="false">IF(J37="","",J37&amp;"|"&amp;A37&amp;"|"&amp;K37)</f>
        <v>R008|Ferguson|1</v>
      </c>
    </row>
    <row r="38" customFormat="false" ht="15" hidden="false" customHeight="false" outlineLevel="0" collapsed="false">
      <c r="A38" s="98" t="s">
        <v>19</v>
      </c>
      <c r="B38" s="99" t="s">
        <v>971</v>
      </c>
      <c r="C38" s="99" t="s">
        <v>130</v>
      </c>
      <c r="D38" s="98" t="s">
        <v>930</v>
      </c>
      <c r="E38" s="100" t="s">
        <v>972</v>
      </c>
      <c r="F38" s="101" t="n">
        <v>1</v>
      </c>
      <c r="G38" s="101" t="s">
        <v>133</v>
      </c>
      <c r="H38" s="102" t="n">
        <v>85.78</v>
      </c>
      <c r="I38" s="103" t="n">
        <v>85.78</v>
      </c>
      <c r="J38" s="104" t="s">
        <v>168</v>
      </c>
      <c r="K38" s="104" t="n">
        <v>1</v>
      </c>
      <c r="L38" s="101" t="n">
        <v>1</v>
      </c>
      <c r="M38" s="104" t="s">
        <v>902</v>
      </c>
      <c r="N38" s="98"/>
      <c r="O38" s="105" t="n">
        <f aca="false">IF(M38="Y",I38,IF(ISNUMBER(H38),H38*L38,0))</f>
        <v>85.78</v>
      </c>
      <c r="P38" s="106" t="str">
        <f aca="false">IF(J38="","",J38&amp;"|"&amp;A38&amp;"|"&amp;K38)</f>
        <v>R017|Ferguson|1</v>
      </c>
    </row>
    <row r="39" customFormat="false" ht="15" hidden="false" customHeight="false" outlineLevel="0" collapsed="false">
      <c r="A39" s="98" t="s">
        <v>19</v>
      </c>
      <c r="B39" s="99" t="s">
        <v>973</v>
      </c>
      <c r="C39" s="99" t="s">
        <v>130</v>
      </c>
      <c r="D39" s="98" t="s">
        <v>930</v>
      </c>
      <c r="E39" s="100" t="s">
        <v>974</v>
      </c>
      <c r="F39" s="101" t="n">
        <v>2</v>
      </c>
      <c r="G39" s="101" t="s">
        <v>133</v>
      </c>
      <c r="H39" s="102" t="n">
        <v>1232.38</v>
      </c>
      <c r="I39" s="103" t="n">
        <v>2464.76</v>
      </c>
      <c r="J39" s="104" t="s">
        <v>260</v>
      </c>
      <c r="K39" s="104" t="n">
        <v>1</v>
      </c>
      <c r="L39" s="101" t="n">
        <v>2</v>
      </c>
      <c r="M39" s="104" t="s">
        <v>902</v>
      </c>
      <c r="N39" s="98"/>
      <c r="O39" s="105" t="n">
        <f aca="false">IF(M39="Y",I39,IF(ISNUMBER(H39),H39*L39,0))</f>
        <v>2464.76</v>
      </c>
      <c r="P39" s="106" t="str">
        <f aca="false">IF(J39="","",J39&amp;"|"&amp;A39&amp;"|"&amp;K39)</f>
        <v>R058|Ferguson|1</v>
      </c>
    </row>
    <row r="40" customFormat="false" ht="15" hidden="false" customHeight="false" outlineLevel="0" collapsed="false">
      <c r="A40" s="98" t="s">
        <v>19</v>
      </c>
      <c r="B40" s="99" t="s">
        <v>975</v>
      </c>
      <c r="C40" s="99" t="s">
        <v>130</v>
      </c>
      <c r="D40" s="98" t="s">
        <v>930</v>
      </c>
      <c r="E40" s="100" t="s">
        <v>976</v>
      </c>
      <c r="F40" s="101" t="n">
        <v>20</v>
      </c>
      <c r="G40" s="101" t="s">
        <v>178</v>
      </c>
      <c r="H40" s="102" t="n">
        <v>40.33</v>
      </c>
      <c r="I40" s="103" t="n">
        <v>806.6</v>
      </c>
      <c r="J40" s="104" t="s">
        <v>175</v>
      </c>
      <c r="K40" s="104" t="n">
        <v>1</v>
      </c>
      <c r="L40" s="101" t="n">
        <v>20</v>
      </c>
      <c r="M40" s="104" t="s">
        <v>902</v>
      </c>
      <c r="N40" s="98"/>
      <c r="O40" s="105" t="n">
        <f aca="false">IF(M40="Y",I40,IF(ISNUMBER(H40),H40*L40,0))</f>
        <v>806.6</v>
      </c>
      <c r="P40" s="106" t="str">
        <f aca="false">IF(J40="","",J40&amp;"|"&amp;A40&amp;"|"&amp;K40)</f>
        <v>R020|Ferguson|1</v>
      </c>
    </row>
    <row r="41" customFormat="false" ht="15" hidden="false" customHeight="false" outlineLevel="0" collapsed="false">
      <c r="A41" s="98" t="s">
        <v>19</v>
      </c>
      <c r="B41" s="99" t="s">
        <v>977</v>
      </c>
      <c r="C41" s="99" t="s">
        <v>130</v>
      </c>
      <c r="D41" s="98" t="s">
        <v>930</v>
      </c>
      <c r="E41" s="100" t="s">
        <v>978</v>
      </c>
      <c r="F41" s="101" t="n">
        <v>80</v>
      </c>
      <c r="G41" s="101" t="s">
        <v>979</v>
      </c>
      <c r="H41" s="102" t="n">
        <v>2097.7</v>
      </c>
      <c r="I41" s="103" t="n">
        <v>1678.16</v>
      </c>
      <c r="J41" s="104" t="s">
        <v>345</v>
      </c>
      <c r="K41" s="104" t="n">
        <v>1</v>
      </c>
      <c r="L41" s="101" t="n">
        <v>80</v>
      </c>
      <c r="M41" s="104" t="s">
        <v>902</v>
      </c>
      <c r="N41" s="98" t="s">
        <v>980</v>
      </c>
      <c r="O41" s="105" t="n">
        <f aca="false">IF(M41="Y",I41,IF(ISNUMBER(H41),H41*L41,0))</f>
        <v>1678.16</v>
      </c>
      <c r="P41" s="106" t="str">
        <f aca="false">IF(J41="","",J41&amp;"|"&amp;A41&amp;"|"&amp;K41)</f>
        <v>R091|Ferguson|1</v>
      </c>
    </row>
    <row r="42" customFormat="false" ht="15" hidden="false" customHeight="false" outlineLevel="0" collapsed="false">
      <c r="A42" s="98" t="s">
        <v>19</v>
      </c>
      <c r="B42" s="99" t="s">
        <v>981</v>
      </c>
      <c r="C42" s="99" t="s">
        <v>130</v>
      </c>
      <c r="D42" s="98" t="s">
        <v>930</v>
      </c>
      <c r="E42" s="100" t="s">
        <v>982</v>
      </c>
      <c r="F42" s="101" t="n">
        <v>40</v>
      </c>
      <c r="G42" s="101" t="s">
        <v>979</v>
      </c>
      <c r="H42" s="102" t="n">
        <v>272.95</v>
      </c>
      <c r="I42" s="103" t="n">
        <v>109.18</v>
      </c>
      <c r="J42" s="104" t="s">
        <v>348</v>
      </c>
      <c r="K42" s="104" t="n">
        <v>1</v>
      </c>
      <c r="L42" s="101" t="n">
        <v>40</v>
      </c>
      <c r="M42" s="104" t="s">
        <v>902</v>
      </c>
      <c r="N42" s="98" t="s">
        <v>980</v>
      </c>
      <c r="O42" s="105" t="n">
        <f aca="false">IF(M42="Y",I42,IF(ISNUMBER(H42),H42*L42,0))</f>
        <v>109.18</v>
      </c>
      <c r="P42" s="106" t="str">
        <f aca="false">IF(J42="","",J42&amp;"|"&amp;A42&amp;"|"&amp;K42)</f>
        <v>R092|Ferguson|1</v>
      </c>
    </row>
    <row r="43" customFormat="false" ht="15" hidden="false" customHeight="false" outlineLevel="0" collapsed="false">
      <c r="A43" s="98" t="s">
        <v>19</v>
      </c>
      <c r="B43" s="99" t="s">
        <v>983</v>
      </c>
      <c r="C43" s="99" t="s">
        <v>130</v>
      </c>
      <c r="D43" s="98" t="s">
        <v>930</v>
      </c>
      <c r="E43" s="100" t="s">
        <v>984</v>
      </c>
      <c r="F43" s="101" t="n">
        <v>80</v>
      </c>
      <c r="G43" s="101" t="s">
        <v>979</v>
      </c>
      <c r="H43" s="102" t="n">
        <v>701.4</v>
      </c>
      <c r="I43" s="103" t="n">
        <v>561.12</v>
      </c>
      <c r="J43" s="104" t="s">
        <v>339</v>
      </c>
      <c r="K43" s="104" t="n">
        <v>1</v>
      </c>
      <c r="L43" s="101" t="n">
        <v>80</v>
      </c>
      <c r="M43" s="104" t="s">
        <v>902</v>
      </c>
      <c r="N43" s="98" t="s">
        <v>980</v>
      </c>
      <c r="O43" s="105" t="n">
        <f aca="false">IF(M43="Y",I43,IF(ISNUMBER(H43),H43*L43,0))</f>
        <v>561.12</v>
      </c>
      <c r="P43" s="106" t="str">
        <f aca="false">IF(J43="","",J43&amp;"|"&amp;A43&amp;"|"&amp;K43)</f>
        <v>R089|Ferguson|1</v>
      </c>
    </row>
    <row r="44" customFormat="false" ht="15" hidden="false" customHeight="false" outlineLevel="0" collapsed="false">
      <c r="A44" s="98" t="s">
        <v>19</v>
      </c>
      <c r="B44" s="99" t="s">
        <v>985</v>
      </c>
      <c r="C44" s="99" t="s">
        <v>130</v>
      </c>
      <c r="D44" s="98" t="s">
        <v>930</v>
      </c>
      <c r="E44" s="100" t="s">
        <v>986</v>
      </c>
      <c r="F44" s="101" t="n">
        <v>20</v>
      </c>
      <c r="G44" s="101" t="s">
        <v>979</v>
      </c>
      <c r="H44" s="102" t="n">
        <v>98.8</v>
      </c>
      <c r="I44" s="103" t="n">
        <v>19.76</v>
      </c>
      <c r="J44" s="104" t="s">
        <v>343</v>
      </c>
      <c r="K44" s="104" t="n">
        <v>1</v>
      </c>
      <c r="L44" s="101" t="n">
        <v>20</v>
      </c>
      <c r="M44" s="104" t="s">
        <v>902</v>
      </c>
      <c r="N44" s="98" t="s">
        <v>980</v>
      </c>
      <c r="O44" s="105" t="n">
        <f aca="false">IF(M44="Y",I44,IF(ISNUMBER(H44),H44*L44,0))</f>
        <v>19.76</v>
      </c>
      <c r="P44" s="106" t="str">
        <f aca="false">IF(J44="","",J44&amp;"|"&amp;A44&amp;"|"&amp;K44)</f>
        <v>R090|Ferguson|1</v>
      </c>
    </row>
    <row r="45" customFormat="false" ht="15" hidden="false" customHeight="false" outlineLevel="0" collapsed="false">
      <c r="A45" s="98" t="s">
        <v>19</v>
      </c>
      <c r="B45" s="99" t="s">
        <v>987</v>
      </c>
      <c r="C45" s="99" t="s">
        <v>130</v>
      </c>
      <c r="D45" s="98" t="s">
        <v>930</v>
      </c>
      <c r="E45" s="100" t="s">
        <v>988</v>
      </c>
      <c r="F45" s="101" t="n">
        <v>3</v>
      </c>
      <c r="G45" s="101" t="s">
        <v>133</v>
      </c>
      <c r="H45" s="102" t="n">
        <v>36.04</v>
      </c>
      <c r="I45" s="103" t="n">
        <v>108.12</v>
      </c>
      <c r="J45" s="104" t="s">
        <v>365</v>
      </c>
      <c r="K45" s="104" t="n">
        <v>1</v>
      </c>
      <c r="L45" s="101" t="n">
        <v>3</v>
      </c>
      <c r="M45" s="104" t="s">
        <v>902</v>
      </c>
      <c r="N45" s="98"/>
      <c r="O45" s="105" t="n">
        <f aca="false">IF(M45="Y",I45,IF(ISNUMBER(H45),H45*L45,0))</f>
        <v>108.12</v>
      </c>
      <c r="P45" s="106" t="str">
        <f aca="false">IF(J45="","",J45&amp;"|"&amp;A45&amp;"|"&amp;K45)</f>
        <v>R099|Ferguson|1</v>
      </c>
    </row>
    <row r="46" customFormat="false" ht="15" hidden="false" customHeight="false" outlineLevel="0" collapsed="false">
      <c r="A46" s="98" t="s">
        <v>19</v>
      </c>
      <c r="B46" s="99" t="s">
        <v>989</v>
      </c>
      <c r="C46" s="99" t="s">
        <v>130</v>
      </c>
      <c r="D46" s="98" t="s">
        <v>930</v>
      </c>
      <c r="E46" s="100" t="s">
        <v>990</v>
      </c>
      <c r="F46" s="101" t="n">
        <v>1</v>
      </c>
      <c r="G46" s="101" t="s">
        <v>133</v>
      </c>
      <c r="H46" s="102" t="n">
        <v>31.68</v>
      </c>
      <c r="I46" s="103" t="n">
        <v>31.68</v>
      </c>
      <c r="J46" s="104" t="s">
        <v>367</v>
      </c>
      <c r="K46" s="104" t="n">
        <v>1</v>
      </c>
      <c r="L46" s="101" t="n">
        <v>1</v>
      </c>
      <c r="M46" s="104" t="s">
        <v>902</v>
      </c>
      <c r="N46" s="98"/>
      <c r="O46" s="105" t="n">
        <f aca="false">IF(M46="Y",I46,IF(ISNUMBER(H46),H46*L46,0))</f>
        <v>31.68</v>
      </c>
      <c r="P46" s="106" t="str">
        <f aca="false">IF(J46="","",J46&amp;"|"&amp;A46&amp;"|"&amp;K46)</f>
        <v>R100|Ferguson|1</v>
      </c>
    </row>
    <row r="47" customFormat="false" ht="15" hidden="false" customHeight="false" outlineLevel="0" collapsed="false">
      <c r="A47" s="98" t="s">
        <v>19</v>
      </c>
      <c r="B47" s="99" t="s">
        <v>991</v>
      </c>
      <c r="C47" s="99" t="s">
        <v>130</v>
      </c>
      <c r="D47" s="98" t="s">
        <v>930</v>
      </c>
      <c r="E47" s="100" t="s">
        <v>992</v>
      </c>
      <c r="F47" s="101" t="n">
        <v>2</v>
      </c>
      <c r="G47" s="101" t="s">
        <v>133</v>
      </c>
      <c r="H47" s="102" t="n">
        <v>17.7</v>
      </c>
      <c r="I47" s="103" t="n">
        <v>35.4</v>
      </c>
      <c r="J47" s="104" t="s">
        <v>354</v>
      </c>
      <c r="K47" s="104" t="n">
        <v>1</v>
      </c>
      <c r="L47" s="101" t="n">
        <v>2</v>
      </c>
      <c r="M47" s="104" t="s">
        <v>902</v>
      </c>
      <c r="N47" s="98"/>
      <c r="O47" s="105" t="n">
        <f aca="false">IF(M47="Y",I47,IF(ISNUMBER(H47),H47*L47,0))</f>
        <v>35.4</v>
      </c>
      <c r="P47" s="106" t="str">
        <f aca="false">IF(J47="","",J47&amp;"|"&amp;A47&amp;"|"&amp;K47)</f>
        <v>R095|Ferguson|1</v>
      </c>
    </row>
    <row r="48" customFormat="false" ht="15" hidden="false" customHeight="false" outlineLevel="0" collapsed="false">
      <c r="A48" s="98" t="s">
        <v>19</v>
      </c>
      <c r="B48" s="99" t="s">
        <v>993</v>
      </c>
      <c r="C48" s="99" t="s">
        <v>130</v>
      </c>
      <c r="D48" s="98" t="s">
        <v>930</v>
      </c>
      <c r="E48" s="100" t="s">
        <v>994</v>
      </c>
      <c r="F48" s="101" t="n">
        <v>2</v>
      </c>
      <c r="G48" s="101" t="s">
        <v>133</v>
      </c>
      <c r="H48" s="102" t="n">
        <v>11.96</v>
      </c>
      <c r="I48" s="103" t="n">
        <v>23.92</v>
      </c>
      <c r="J48" s="104" t="s">
        <v>357</v>
      </c>
      <c r="K48" s="104" t="n">
        <v>1</v>
      </c>
      <c r="L48" s="101" t="n">
        <v>2</v>
      </c>
      <c r="M48" s="104" t="s">
        <v>902</v>
      </c>
      <c r="N48" s="98"/>
      <c r="O48" s="105" t="n">
        <f aca="false">IF(M48="Y",I48,IF(ISNUMBER(H48),H48*L48,0))</f>
        <v>23.92</v>
      </c>
      <c r="P48" s="106" t="str">
        <f aca="false">IF(J48="","",J48&amp;"|"&amp;A48&amp;"|"&amp;K48)</f>
        <v>R096|Ferguson|1</v>
      </c>
    </row>
    <row r="49" customFormat="false" ht="15" hidden="false" customHeight="false" outlineLevel="0" collapsed="false">
      <c r="A49" s="98" t="s">
        <v>19</v>
      </c>
      <c r="B49" s="99" t="s">
        <v>995</v>
      </c>
      <c r="C49" s="99" t="s">
        <v>130</v>
      </c>
      <c r="D49" s="98" t="s">
        <v>930</v>
      </c>
      <c r="E49" s="100" t="s">
        <v>996</v>
      </c>
      <c r="F49" s="101" t="n">
        <v>1</v>
      </c>
      <c r="G49" s="101" t="s">
        <v>133</v>
      </c>
      <c r="H49" s="102" t="n">
        <v>10.73</v>
      </c>
      <c r="I49" s="103" t="n">
        <v>10.73</v>
      </c>
      <c r="J49" s="104" t="s">
        <v>369</v>
      </c>
      <c r="K49" s="104" t="n">
        <v>1</v>
      </c>
      <c r="L49" s="101" t="n">
        <v>1</v>
      </c>
      <c r="M49" s="104" t="s">
        <v>902</v>
      </c>
      <c r="N49" s="98"/>
      <c r="O49" s="105" t="n">
        <f aca="false">IF(M49="Y",I49,IF(ISNUMBER(H49),H49*L49,0))</f>
        <v>10.73</v>
      </c>
      <c r="P49" s="106" t="str">
        <f aca="false">IF(J49="","",J49&amp;"|"&amp;A49&amp;"|"&amp;K49)</f>
        <v>R101|Ferguson|1</v>
      </c>
    </row>
    <row r="50" customFormat="false" ht="15" hidden="false" customHeight="false" outlineLevel="0" collapsed="false">
      <c r="A50" s="98" t="s">
        <v>19</v>
      </c>
      <c r="B50" s="99" t="s">
        <v>997</v>
      </c>
      <c r="C50" s="99" t="s">
        <v>130</v>
      </c>
      <c r="D50" s="98" t="s">
        <v>930</v>
      </c>
      <c r="E50" s="100" t="s">
        <v>998</v>
      </c>
      <c r="F50" s="101" t="n">
        <v>1</v>
      </c>
      <c r="G50" s="101" t="s">
        <v>133</v>
      </c>
      <c r="H50" s="102" t="n">
        <v>4.07</v>
      </c>
      <c r="I50" s="103" t="n">
        <v>4.07</v>
      </c>
      <c r="J50" s="104" t="s">
        <v>382</v>
      </c>
      <c r="K50" s="104" t="n">
        <v>1</v>
      </c>
      <c r="L50" s="101" t="n">
        <v>1</v>
      </c>
      <c r="M50" s="104" t="s">
        <v>902</v>
      </c>
      <c r="N50" s="98"/>
      <c r="O50" s="105" t="n">
        <f aca="false">IF(M50="Y",I50,IF(ISNUMBER(H50),H50*L50,0))</f>
        <v>4.07</v>
      </c>
      <c r="P50" s="106" t="str">
        <f aca="false">IF(J50="","",J50&amp;"|"&amp;A50&amp;"|"&amp;K50)</f>
        <v>R106|Ferguson|1</v>
      </c>
    </row>
    <row r="51" customFormat="false" ht="15" hidden="false" customHeight="false" outlineLevel="0" collapsed="false">
      <c r="A51" s="98" t="s">
        <v>19</v>
      </c>
      <c r="B51" s="99" t="s">
        <v>999</v>
      </c>
      <c r="C51" s="99" t="s">
        <v>130</v>
      </c>
      <c r="D51" s="98" t="s">
        <v>930</v>
      </c>
      <c r="E51" s="100" t="s">
        <v>1000</v>
      </c>
      <c r="F51" s="101" t="n">
        <v>4</v>
      </c>
      <c r="G51" s="101" t="s">
        <v>133</v>
      </c>
      <c r="H51" s="102" t="n">
        <v>10.85</v>
      </c>
      <c r="I51" s="103" t="n">
        <v>43.4</v>
      </c>
      <c r="J51" s="104" t="s">
        <v>374</v>
      </c>
      <c r="K51" s="104" t="n">
        <v>1</v>
      </c>
      <c r="L51" s="101" t="n">
        <v>4</v>
      </c>
      <c r="M51" s="104" t="s">
        <v>902</v>
      </c>
      <c r="N51" s="98"/>
      <c r="O51" s="105" t="n">
        <f aca="false">IF(M51="Y",I51,IF(ISNUMBER(H51),H51*L51,0))</f>
        <v>43.4</v>
      </c>
      <c r="P51" s="106" t="str">
        <f aca="false">IF(J51="","",J51&amp;"|"&amp;A51&amp;"|"&amp;K51)</f>
        <v>R103|Ferguson|1</v>
      </c>
    </row>
    <row r="52" customFormat="false" ht="15" hidden="false" customHeight="false" outlineLevel="0" collapsed="false">
      <c r="A52" s="98" t="s">
        <v>19</v>
      </c>
      <c r="B52" s="99" t="s">
        <v>1001</v>
      </c>
      <c r="C52" s="99" t="s">
        <v>130</v>
      </c>
      <c r="D52" s="98" t="s">
        <v>930</v>
      </c>
      <c r="E52" s="100" t="s">
        <v>1002</v>
      </c>
      <c r="F52" s="101" t="n">
        <v>4</v>
      </c>
      <c r="G52" s="101" t="s">
        <v>133</v>
      </c>
      <c r="H52" s="102" t="n">
        <v>434.52</v>
      </c>
      <c r="I52" s="103" t="n">
        <v>1738.08</v>
      </c>
      <c r="J52" s="104" t="s">
        <v>392</v>
      </c>
      <c r="K52" s="104" t="n">
        <v>1</v>
      </c>
      <c r="L52" s="101" t="n">
        <v>4</v>
      </c>
      <c r="M52" s="104" t="s">
        <v>902</v>
      </c>
      <c r="N52" s="98"/>
      <c r="O52" s="105" t="n">
        <f aca="false">IF(M52="Y",I52,IF(ISNUMBER(H52),H52*L52,0))</f>
        <v>1738.08</v>
      </c>
      <c r="P52" s="106" t="str">
        <f aca="false">IF(J52="","",J52&amp;"|"&amp;A52&amp;"|"&amp;K52)</f>
        <v>R111|Ferguson|1</v>
      </c>
    </row>
    <row r="53" customFormat="false" ht="15" hidden="false" customHeight="false" outlineLevel="0" collapsed="false">
      <c r="A53" s="98" t="s">
        <v>19</v>
      </c>
      <c r="B53" s="99" t="s">
        <v>1003</v>
      </c>
      <c r="C53" s="99" t="s">
        <v>130</v>
      </c>
      <c r="D53" s="98" t="s">
        <v>930</v>
      </c>
      <c r="E53" s="100" t="s">
        <v>1004</v>
      </c>
      <c r="F53" s="101" t="n">
        <v>2</v>
      </c>
      <c r="G53" s="101" t="s">
        <v>133</v>
      </c>
      <c r="H53" s="102" t="n">
        <v>22.1</v>
      </c>
      <c r="I53" s="103" t="n">
        <v>44.2</v>
      </c>
      <c r="J53" s="104" t="s">
        <v>384</v>
      </c>
      <c r="K53" s="104" t="n">
        <v>1</v>
      </c>
      <c r="L53" s="101" t="n">
        <v>2</v>
      </c>
      <c r="M53" s="104" t="s">
        <v>902</v>
      </c>
      <c r="N53" s="98"/>
      <c r="O53" s="105" t="n">
        <f aca="false">IF(M53="Y",I53,IF(ISNUMBER(H53),H53*L53,0))</f>
        <v>44.2</v>
      </c>
      <c r="P53" s="106" t="str">
        <f aca="false">IF(J53="","",J53&amp;"|"&amp;A53&amp;"|"&amp;K53)</f>
        <v>R107|Ferguson|1</v>
      </c>
    </row>
    <row r="54" customFormat="false" ht="15" hidden="false" customHeight="false" outlineLevel="0" collapsed="false">
      <c r="A54" s="98" t="s">
        <v>19</v>
      </c>
      <c r="B54" s="99" t="s">
        <v>1005</v>
      </c>
      <c r="C54" s="99" t="s">
        <v>130</v>
      </c>
      <c r="D54" s="98" t="s">
        <v>930</v>
      </c>
      <c r="E54" s="100" t="s">
        <v>1006</v>
      </c>
      <c r="F54" s="101" t="n">
        <v>2</v>
      </c>
      <c r="G54" s="101" t="s">
        <v>133</v>
      </c>
      <c r="H54" s="102" t="n">
        <v>112.7</v>
      </c>
      <c r="I54" s="103" t="n">
        <v>225.4</v>
      </c>
      <c r="J54" s="104" t="s">
        <v>433</v>
      </c>
      <c r="K54" s="104" t="n">
        <v>1</v>
      </c>
      <c r="L54" s="101" t="n">
        <v>2</v>
      </c>
      <c r="M54" s="104" t="s">
        <v>902</v>
      </c>
      <c r="N54" s="98"/>
      <c r="O54" s="105" t="n">
        <f aca="false">IF(M54="Y",I54,IF(ISNUMBER(H54),H54*L54,0))</f>
        <v>225.4</v>
      </c>
      <c r="P54" s="106" t="str">
        <f aca="false">IF(J54="","",J54&amp;"|"&amp;A54&amp;"|"&amp;K54)</f>
        <v>R128|Ferguson|1</v>
      </c>
    </row>
    <row r="55" customFormat="false" ht="15" hidden="false" customHeight="false" outlineLevel="0" collapsed="false">
      <c r="A55" s="98" t="s">
        <v>19</v>
      </c>
      <c r="B55" s="99" t="s">
        <v>1007</v>
      </c>
      <c r="C55" s="99" t="s">
        <v>130</v>
      </c>
      <c r="D55" s="98" t="s">
        <v>930</v>
      </c>
      <c r="E55" s="100" t="s">
        <v>1008</v>
      </c>
      <c r="F55" s="101" t="n">
        <v>2</v>
      </c>
      <c r="G55" s="101" t="s">
        <v>133</v>
      </c>
      <c r="H55" s="102" t="n">
        <v>60.9</v>
      </c>
      <c r="I55" s="103" t="n">
        <v>121.8</v>
      </c>
      <c r="J55" s="104" t="s">
        <v>435</v>
      </c>
      <c r="K55" s="104" t="n">
        <v>1</v>
      </c>
      <c r="L55" s="101" t="n">
        <v>2</v>
      </c>
      <c r="M55" s="104" t="s">
        <v>902</v>
      </c>
      <c r="N55" s="98"/>
      <c r="O55" s="105" t="n">
        <f aca="false">IF(M55="Y",I55,IF(ISNUMBER(H55),H55*L55,0))</f>
        <v>121.8</v>
      </c>
      <c r="P55" s="106" t="str">
        <f aca="false">IF(J55="","",J55&amp;"|"&amp;A55&amp;"|"&amp;K55)</f>
        <v>R129|Ferguson|1</v>
      </c>
    </row>
    <row r="56" customFormat="false" ht="15" hidden="false" customHeight="false" outlineLevel="0" collapsed="false">
      <c r="A56" s="98" t="s">
        <v>19</v>
      </c>
      <c r="B56" s="99" t="s">
        <v>1009</v>
      </c>
      <c r="C56" s="99" t="s">
        <v>130</v>
      </c>
      <c r="D56" s="98" t="s">
        <v>930</v>
      </c>
      <c r="E56" s="100" t="s">
        <v>1010</v>
      </c>
      <c r="F56" s="101" t="n">
        <v>6</v>
      </c>
      <c r="G56" s="101" t="s">
        <v>133</v>
      </c>
      <c r="H56" s="102" t="n">
        <v>272.2</v>
      </c>
      <c r="I56" s="103" t="n">
        <v>1633.2</v>
      </c>
      <c r="J56" s="104" t="s">
        <v>437</v>
      </c>
      <c r="K56" s="104" t="n">
        <v>1</v>
      </c>
      <c r="L56" s="101" t="n">
        <v>6</v>
      </c>
      <c r="M56" s="104" t="s">
        <v>902</v>
      </c>
      <c r="N56" s="98"/>
      <c r="O56" s="105" t="n">
        <f aca="false">IF(M56="Y",I56,IF(ISNUMBER(H56),H56*L56,0))</f>
        <v>1633.2</v>
      </c>
      <c r="P56" s="106" t="str">
        <f aca="false">IF(J56="","",J56&amp;"|"&amp;A56&amp;"|"&amp;K56)</f>
        <v>R130|Ferguson|1</v>
      </c>
    </row>
    <row r="57" customFormat="false" ht="15" hidden="false" customHeight="false" outlineLevel="0" collapsed="false">
      <c r="A57" s="98" t="s">
        <v>19</v>
      </c>
      <c r="B57" s="99" t="s">
        <v>1011</v>
      </c>
      <c r="C57" s="99" t="s">
        <v>130</v>
      </c>
      <c r="D57" s="98" t="s">
        <v>930</v>
      </c>
      <c r="E57" s="100" t="s">
        <v>1012</v>
      </c>
      <c r="F57" s="101" t="n">
        <v>2</v>
      </c>
      <c r="G57" s="101" t="s">
        <v>133</v>
      </c>
      <c r="H57" s="102" t="n">
        <v>10.44</v>
      </c>
      <c r="I57" s="103" t="n">
        <v>20.88</v>
      </c>
      <c r="J57" s="104" t="s">
        <v>430</v>
      </c>
      <c r="K57" s="104" t="n">
        <v>1</v>
      </c>
      <c r="L57" s="101" t="n">
        <v>2</v>
      </c>
      <c r="M57" s="104" t="s">
        <v>902</v>
      </c>
      <c r="N57" s="98"/>
      <c r="O57" s="105" t="n">
        <f aca="false">IF(M57="Y",I57,IF(ISNUMBER(H57),H57*L57,0))</f>
        <v>20.88</v>
      </c>
      <c r="P57" s="106" t="str">
        <f aca="false">IF(J57="","",J57&amp;"|"&amp;A57&amp;"|"&amp;K57)</f>
        <v>R127|Ferguson|1</v>
      </c>
    </row>
    <row r="58" customFormat="false" ht="15" hidden="false" customHeight="false" outlineLevel="0" collapsed="false">
      <c r="A58" s="98" t="s">
        <v>19</v>
      </c>
      <c r="B58" s="99" t="s">
        <v>1013</v>
      </c>
      <c r="C58" s="99" t="s">
        <v>130</v>
      </c>
      <c r="D58" s="98" t="s">
        <v>930</v>
      </c>
      <c r="E58" s="100" t="s">
        <v>1014</v>
      </c>
      <c r="F58" s="101" t="n">
        <v>2</v>
      </c>
      <c r="G58" s="101" t="s">
        <v>133</v>
      </c>
      <c r="H58" s="102" t="n">
        <v>405.66</v>
      </c>
      <c r="I58" s="103" t="n">
        <v>811.32</v>
      </c>
      <c r="J58" s="104" t="s">
        <v>266</v>
      </c>
      <c r="K58" s="104" t="n">
        <v>1</v>
      </c>
      <c r="L58" s="101" t="n">
        <v>2</v>
      </c>
      <c r="M58" s="104" t="s">
        <v>902</v>
      </c>
      <c r="N58" s="98"/>
      <c r="O58" s="105" t="n">
        <f aca="false">IF(M58="Y",I58,IF(ISNUMBER(H58),H58*L58,0))</f>
        <v>811.32</v>
      </c>
      <c r="P58" s="106" t="str">
        <f aca="false">IF(J58="","",J58&amp;"|"&amp;A58&amp;"|"&amp;K58)</f>
        <v>R060|Ferguson|1</v>
      </c>
    </row>
    <row r="59" customFormat="false" ht="15" hidden="false" customHeight="false" outlineLevel="0" collapsed="false">
      <c r="A59" s="98" t="s">
        <v>19</v>
      </c>
      <c r="B59" s="99" t="s">
        <v>1015</v>
      </c>
      <c r="C59" s="99" t="s">
        <v>130</v>
      </c>
      <c r="D59" s="98" t="s">
        <v>930</v>
      </c>
      <c r="E59" s="100" t="s">
        <v>1016</v>
      </c>
      <c r="F59" s="101" t="n">
        <v>2</v>
      </c>
      <c r="G59" s="101" t="s">
        <v>133</v>
      </c>
      <c r="H59" s="102" t="n">
        <v>59.2</v>
      </c>
      <c r="I59" s="103" t="n">
        <v>118.4</v>
      </c>
      <c r="J59" s="104" t="s">
        <v>418</v>
      </c>
      <c r="K59" s="104" t="n">
        <v>1</v>
      </c>
      <c r="L59" s="101" t="n">
        <v>2</v>
      </c>
      <c r="M59" s="104" t="s">
        <v>902</v>
      </c>
      <c r="N59" s="98"/>
      <c r="O59" s="105" t="n">
        <f aca="false">IF(M59="Y",I59,IF(ISNUMBER(H59),H59*L59,0))</f>
        <v>118.4</v>
      </c>
      <c r="P59" s="106" t="str">
        <f aca="false">IF(J59="","",J59&amp;"|"&amp;A59&amp;"|"&amp;K59)</f>
        <v>R121|Ferguson|1</v>
      </c>
    </row>
    <row r="60" customFormat="false" ht="15" hidden="false" customHeight="false" outlineLevel="0" collapsed="false">
      <c r="A60" s="98" t="s">
        <v>19</v>
      </c>
      <c r="B60" s="99" t="s">
        <v>1017</v>
      </c>
      <c r="C60" s="99" t="s">
        <v>130</v>
      </c>
      <c r="D60" s="98" t="s">
        <v>930</v>
      </c>
      <c r="E60" s="100" t="s">
        <v>1018</v>
      </c>
      <c r="F60" s="101" t="n">
        <v>2</v>
      </c>
      <c r="G60" s="101" t="s">
        <v>133</v>
      </c>
      <c r="H60" s="102" t="n">
        <v>132.26</v>
      </c>
      <c r="I60" s="103" t="n">
        <v>264.52</v>
      </c>
      <c r="J60" s="104" t="s">
        <v>271</v>
      </c>
      <c r="K60" s="104" t="n">
        <v>1</v>
      </c>
      <c r="L60" s="101" t="n">
        <v>2</v>
      </c>
      <c r="M60" s="104" t="s">
        <v>902</v>
      </c>
      <c r="N60" s="98"/>
      <c r="O60" s="105" t="n">
        <f aca="false">IF(M60="Y",I60,IF(ISNUMBER(H60),H60*L60,0))</f>
        <v>264.52</v>
      </c>
      <c r="P60" s="106" t="str">
        <f aca="false">IF(J60="","",J60&amp;"|"&amp;A60&amp;"|"&amp;K60)</f>
        <v>R062|Ferguson|1</v>
      </c>
    </row>
    <row r="61" customFormat="false" ht="15" hidden="false" customHeight="false" outlineLevel="0" collapsed="false">
      <c r="A61" s="98" t="s">
        <v>19</v>
      </c>
      <c r="B61" s="99" t="s">
        <v>1019</v>
      </c>
      <c r="C61" s="99" t="s">
        <v>130</v>
      </c>
      <c r="D61" s="98" t="s">
        <v>930</v>
      </c>
      <c r="E61" s="100" t="s">
        <v>928</v>
      </c>
      <c r="F61" s="101" t="n">
        <v>4</v>
      </c>
      <c r="G61" s="101" t="s">
        <v>133</v>
      </c>
      <c r="H61" s="102" t="n">
        <v>45.56</v>
      </c>
      <c r="I61" s="103" t="n">
        <v>182.24</v>
      </c>
      <c r="J61" s="104" t="s">
        <v>415</v>
      </c>
      <c r="K61" s="104" t="n">
        <v>1</v>
      </c>
      <c r="L61" s="101" t="n">
        <v>4</v>
      </c>
      <c r="M61" s="104" t="s">
        <v>902</v>
      </c>
      <c r="N61" s="98"/>
      <c r="O61" s="105" t="n">
        <f aca="false">IF(M61="Y",I61,IF(ISNUMBER(H61),H61*L61,0))</f>
        <v>182.24</v>
      </c>
      <c r="P61" s="106" t="str">
        <f aca="false">IF(J61="","",J61&amp;"|"&amp;A61&amp;"|"&amp;K61)</f>
        <v>R120|Ferguson|1</v>
      </c>
    </row>
    <row r="62" customFormat="false" ht="15" hidden="false" customHeight="false" outlineLevel="0" collapsed="false">
      <c r="A62" s="98" t="s">
        <v>19</v>
      </c>
      <c r="B62" s="99" t="s">
        <v>1020</v>
      </c>
      <c r="C62" s="99" t="s">
        <v>130</v>
      </c>
      <c r="D62" s="98" t="s">
        <v>930</v>
      </c>
      <c r="E62" s="100" t="s">
        <v>1021</v>
      </c>
      <c r="F62" s="101" t="n">
        <v>2</v>
      </c>
      <c r="G62" s="101" t="s">
        <v>133</v>
      </c>
      <c r="H62" s="102" t="n">
        <v>78.61</v>
      </c>
      <c r="I62" s="103" t="n">
        <v>157.22</v>
      </c>
      <c r="J62" s="104" t="s">
        <v>411</v>
      </c>
      <c r="K62" s="104" t="n">
        <v>1</v>
      </c>
      <c r="L62" s="101" t="n">
        <v>2</v>
      </c>
      <c r="M62" s="104" t="s">
        <v>902</v>
      </c>
      <c r="N62" s="98"/>
      <c r="O62" s="105" t="n">
        <f aca="false">IF(M62="Y",I62,IF(ISNUMBER(H62),H62*L62,0))</f>
        <v>157.22</v>
      </c>
      <c r="P62" s="106" t="str">
        <f aca="false">IF(J62="","",J62&amp;"|"&amp;A62&amp;"|"&amp;K62)</f>
        <v>R118|Ferguson|1</v>
      </c>
    </row>
    <row r="63" customFormat="false" ht="15" hidden="false" customHeight="false" outlineLevel="0" collapsed="false">
      <c r="A63" s="98" t="s">
        <v>19</v>
      </c>
      <c r="B63" s="99" t="s">
        <v>1022</v>
      </c>
      <c r="C63" s="99" t="s">
        <v>130</v>
      </c>
      <c r="D63" s="98" t="s">
        <v>930</v>
      </c>
      <c r="E63" s="100" t="s">
        <v>1023</v>
      </c>
      <c r="F63" s="101" t="n">
        <v>2</v>
      </c>
      <c r="G63" s="101" t="s">
        <v>133</v>
      </c>
      <c r="H63" s="102" t="n">
        <v>24.25</v>
      </c>
      <c r="I63" s="103" t="n">
        <v>48.5</v>
      </c>
      <c r="J63" s="104" t="s">
        <v>406</v>
      </c>
      <c r="K63" s="104" t="n">
        <v>1</v>
      </c>
      <c r="L63" s="101" t="n">
        <v>2</v>
      </c>
      <c r="M63" s="104" t="s">
        <v>902</v>
      </c>
      <c r="N63" s="98"/>
      <c r="O63" s="105" t="n">
        <f aca="false">IF(M63="Y",I63,IF(ISNUMBER(H63),H63*L63,0))</f>
        <v>48.5</v>
      </c>
      <c r="P63" s="106" t="str">
        <f aca="false">IF(J63="","",J63&amp;"|"&amp;A63&amp;"|"&amp;K63)</f>
        <v>R116|Ferguson|1</v>
      </c>
    </row>
    <row r="64" customFormat="false" ht="15" hidden="false" customHeight="false" outlineLevel="0" collapsed="false">
      <c r="A64" s="98" t="s">
        <v>19</v>
      </c>
      <c r="B64" s="99" t="s">
        <v>1024</v>
      </c>
      <c r="C64" s="99" t="s">
        <v>130</v>
      </c>
      <c r="D64" s="98" t="s">
        <v>930</v>
      </c>
      <c r="E64" s="100" t="s">
        <v>1025</v>
      </c>
      <c r="F64" s="101" t="n">
        <v>4</v>
      </c>
      <c r="G64" s="101" t="s">
        <v>133</v>
      </c>
      <c r="H64" s="102" t="n">
        <v>36.06</v>
      </c>
      <c r="I64" s="103" t="n">
        <v>144.24</v>
      </c>
      <c r="J64" s="104" t="s">
        <v>401</v>
      </c>
      <c r="K64" s="104" t="n">
        <v>1</v>
      </c>
      <c r="L64" s="101" t="n">
        <v>4</v>
      </c>
      <c r="M64" s="104" t="s">
        <v>902</v>
      </c>
      <c r="N64" s="98"/>
      <c r="O64" s="105" t="n">
        <f aca="false">IF(M64="Y",I64,IF(ISNUMBER(H64),H64*L64,0))</f>
        <v>144.24</v>
      </c>
      <c r="P64" s="106" t="str">
        <f aca="false">IF(J64="","",J64&amp;"|"&amp;A64&amp;"|"&amp;K64)</f>
        <v>R114|Ferguson|1</v>
      </c>
    </row>
    <row r="65" customFormat="false" ht="15" hidden="false" customHeight="false" outlineLevel="0" collapsed="false">
      <c r="A65" s="98" t="s">
        <v>19</v>
      </c>
      <c r="B65" s="99" t="s">
        <v>1026</v>
      </c>
      <c r="C65" s="99" t="s">
        <v>130</v>
      </c>
      <c r="D65" s="98" t="s">
        <v>930</v>
      </c>
      <c r="E65" s="100" t="s">
        <v>1027</v>
      </c>
      <c r="F65" s="101" t="n">
        <v>2</v>
      </c>
      <c r="G65" s="101" t="s">
        <v>133</v>
      </c>
      <c r="H65" s="102" t="n">
        <v>44.4</v>
      </c>
      <c r="I65" s="103" t="n">
        <v>88.8</v>
      </c>
      <c r="J65" s="104" t="s">
        <v>398</v>
      </c>
      <c r="K65" s="104" t="n">
        <v>1</v>
      </c>
      <c r="L65" s="101" t="n">
        <v>2</v>
      </c>
      <c r="M65" s="104" t="s">
        <v>902</v>
      </c>
      <c r="N65" s="98"/>
      <c r="O65" s="105" t="n">
        <f aca="false">IF(M65="Y",I65,IF(ISNUMBER(H65),H65*L65,0))</f>
        <v>88.8</v>
      </c>
      <c r="P65" s="106" t="str">
        <f aca="false">IF(J65="","",J65&amp;"|"&amp;A65&amp;"|"&amp;K65)</f>
        <v>R113|Ferguson|1</v>
      </c>
    </row>
    <row r="66" customFormat="false" ht="15" hidden="false" customHeight="false" outlineLevel="0" collapsed="false">
      <c r="A66" s="98" t="s">
        <v>19</v>
      </c>
      <c r="B66" s="99" t="s">
        <v>1028</v>
      </c>
      <c r="C66" s="99" t="s">
        <v>130</v>
      </c>
      <c r="D66" s="98" t="s">
        <v>930</v>
      </c>
      <c r="E66" s="100" t="s">
        <v>920</v>
      </c>
      <c r="F66" s="101" t="n">
        <v>5</v>
      </c>
      <c r="G66" s="101" t="s">
        <v>133</v>
      </c>
      <c r="H66" s="102" t="n">
        <v>154.1</v>
      </c>
      <c r="I66" s="103" t="n">
        <v>770.5</v>
      </c>
      <c r="J66" s="104" t="s">
        <v>301</v>
      </c>
      <c r="K66" s="104" t="n">
        <v>1</v>
      </c>
      <c r="L66" s="101" t="n">
        <v>5</v>
      </c>
      <c r="M66" s="104" t="s">
        <v>902</v>
      </c>
      <c r="N66" s="98"/>
      <c r="O66" s="105" t="n">
        <f aca="false">IF(M66="Y",I66,IF(ISNUMBER(H66),H66*L66,0))</f>
        <v>770.5</v>
      </c>
      <c r="P66" s="106" t="str">
        <f aca="false">IF(J66="","",J66&amp;"|"&amp;A66&amp;"|"&amp;K66)</f>
        <v>R074|Ferguson|1</v>
      </c>
    </row>
    <row r="67" customFormat="false" ht="15" hidden="false" customHeight="false" outlineLevel="0" collapsed="false">
      <c r="A67" s="98" t="s">
        <v>19</v>
      </c>
      <c r="B67" s="99" t="s">
        <v>1029</v>
      </c>
      <c r="C67" s="99" t="s">
        <v>130</v>
      </c>
      <c r="D67" s="98" t="s">
        <v>930</v>
      </c>
      <c r="E67" s="100" t="s">
        <v>1030</v>
      </c>
      <c r="F67" s="101" t="n">
        <v>2</v>
      </c>
      <c r="G67" s="101" t="s">
        <v>133</v>
      </c>
      <c r="H67" s="102" t="n">
        <v>169.74</v>
      </c>
      <c r="I67" s="103" t="n">
        <v>339.48</v>
      </c>
      <c r="J67" s="104" t="s">
        <v>299</v>
      </c>
      <c r="K67" s="104" t="n">
        <v>1</v>
      </c>
      <c r="L67" s="101" t="n">
        <v>2</v>
      </c>
      <c r="M67" s="104" t="s">
        <v>902</v>
      </c>
      <c r="N67" s="98"/>
      <c r="O67" s="105" t="n">
        <f aca="false">IF(M67="Y",I67,IF(ISNUMBER(H67),H67*L67,0))</f>
        <v>339.48</v>
      </c>
      <c r="P67" s="106" t="str">
        <f aca="false">IF(J67="","",J67&amp;"|"&amp;A67&amp;"|"&amp;K67)</f>
        <v>R073|Ferguson|1</v>
      </c>
    </row>
    <row r="68" customFormat="false" ht="15" hidden="false" customHeight="false" outlineLevel="0" collapsed="false">
      <c r="A68" s="98" t="s">
        <v>19</v>
      </c>
      <c r="B68" s="99" t="s">
        <v>1031</v>
      </c>
      <c r="C68" s="99" t="s">
        <v>130</v>
      </c>
      <c r="D68" s="98" t="s">
        <v>930</v>
      </c>
      <c r="E68" s="100" t="s">
        <v>1032</v>
      </c>
      <c r="F68" s="101" t="n">
        <v>2</v>
      </c>
      <c r="G68" s="101" t="s">
        <v>133</v>
      </c>
      <c r="H68" s="102" t="n">
        <v>57.6</v>
      </c>
      <c r="I68" s="103" t="n">
        <v>115.2</v>
      </c>
      <c r="J68" s="104" t="s">
        <v>303</v>
      </c>
      <c r="K68" s="104" t="n">
        <v>1</v>
      </c>
      <c r="L68" s="101" t="n">
        <v>2</v>
      </c>
      <c r="M68" s="104" t="s">
        <v>902</v>
      </c>
      <c r="N68" s="98"/>
      <c r="O68" s="105" t="n">
        <f aca="false">IF(M68="Y",I68,IF(ISNUMBER(H68),H68*L68,0))</f>
        <v>115.2</v>
      </c>
      <c r="P68" s="106" t="str">
        <f aca="false">IF(J68="","",J68&amp;"|"&amp;A68&amp;"|"&amp;K68)</f>
        <v>R075|Ferguson|1</v>
      </c>
    </row>
    <row r="69" customFormat="false" ht="15" hidden="false" customHeight="false" outlineLevel="0" collapsed="false">
      <c r="A69" s="98" t="s">
        <v>19</v>
      </c>
      <c r="B69" s="99" t="s">
        <v>1033</v>
      </c>
      <c r="C69" s="99" t="s">
        <v>130</v>
      </c>
      <c r="D69" s="98" t="s">
        <v>930</v>
      </c>
      <c r="E69" s="100" t="s">
        <v>1034</v>
      </c>
      <c r="F69" s="101" t="n">
        <v>6</v>
      </c>
      <c r="G69" s="101" t="s">
        <v>133</v>
      </c>
      <c r="H69" s="102" t="n">
        <v>86.81</v>
      </c>
      <c r="I69" s="103" t="n">
        <v>520.86</v>
      </c>
      <c r="J69" s="104" t="s">
        <v>307</v>
      </c>
      <c r="K69" s="104" t="n">
        <v>1</v>
      </c>
      <c r="L69" s="101" t="n">
        <v>6</v>
      </c>
      <c r="M69" s="104" t="s">
        <v>902</v>
      </c>
      <c r="N69" s="98"/>
      <c r="O69" s="105" t="n">
        <f aca="false">IF(M69="Y",I69,IF(ISNUMBER(H69),H69*L69,0))</f>
        <v>520.86</v>
      </c>
      <c r="P69" s="106" t="str">
        <f aca="false">IF(J69="","",J69&amp;"|"&amp;A69&amp;"|"&amp;K69)</f>
        <v>R077|Ferguson|1</v>
      </c>
    </row>
    <row r="70" customFormat="false" ht="15" hidden="false" customHeight="false" outlineLevel="0" collapsed="false">
      <c r="A70" s="98" t="s">
        <v>19</v>
      </c>
      <c r="B70" s="99" t="s">
        <v>1035</v>
      </c>
      <c r="C70" s="99" t="s">
        <v>130</v>
      </c>
      <c r="D70" s="98" t="s">
        <v>930</v>
      </c>
      <c r="E70" s="100" t="s">
        <v>1036</v>
      </c>
      <c r="F70" s="101" t="n">
        <v>6</v>
      </c>
      <c r="G70" s="101" t="s">
        <v>133</v>
      </c>
      <c r="H70" s="102" t="n">
        <v>51.34</v>
      </c>
      <c r="I70" s="103" t="n">
        <v>308.04</v>
      </c>
      <c r="J70" s="104" t="s">
        <v>307</v>
      </c>
      <c r="K70" s="104" t="n">
        <v>2</v>
      </c>
      <c r="L70" s="101" t="n">
        <v>6</v>
      </c>
      <c r="M70" s="104" t="s">
        <v>902</v>
      </c>
      <c r="N70" s="98"/>
      <c r="O70" s="105" t="n">
        <f aca="false">IF(M70="Y",I70,IF(ISNUMBER(H70),H70*L70,0))</f>
        <v>308.04</v>
      </c>
      <c r="P70" s="106" t="str">
        <f aca="false">IF(J70="","",J70&amp;"|"&amp;A70&amp;"|"&amp;K70)</f>
        <v>R077|Ferguson|2</v>
      </c>
    </row>
    <row r="71" customFormat="false" ht="15" hidden="false" customHeight="false" outlineLevel="0" collapsed="false">
      <c r="A71" s="98" t="s">
        <v>19</v>
      </c>
      <c r="B71" s="99" t="s">
        <v>1037</v>
      </c>
      <c r="C71" s="99" t="s">
        <v>130</v>
      </c>
      <c r="D71" s="98" t="s">
        <v>930</v>
      </c>
      <c r="E71" s="100" t="s">
        <v>924</v>
      </c>
      <c r="F71" s="101" t="n">
        <v>5</v>
      </c>
      <c r="G71" s="101" t="s">
        <v>133</v>
      </c>
      <c r="H71" s="102" t="n">
        <v>25.42</v>
      </c>
      <c r="I71" s="103" t="n">
        <v>127.1</v>
      </c>
      <c r="J71" s="104" t="s">
        <v>312</v>
      </c>
      <c r="K71" s="104" t="n">
        <v>2</v>
      </c>
      <c r="L71" s="101" t="n">
        <v>5</v>
      </c>
      <c r="M71" s="104" t="s">
        <v>902</v>
      </c>
      <c r="N71" s="98"/>
      <c r="O71" s="105" t="n">
        <f aca="false">IF(M71="Y",I71,IF(ISNUMBER(H71),H71*L71,0))</f>
        <v>127.1</v>
      </c>
      <c r="P71" s="106" t="str">
        <f aca="false">IF(J71="","",J71&amp;"|"&amp;A71&amp;"|"&amp;K71)</f>
        <v>R078|Ferguson|2</v>
      </c>
    </row>
    <row r="72" customFormat="false" ht="15" hidden="false" customHeight="false" outlineLevel="0" collapsed="false">
      <c r="A72" s="98" t="s">
        <v>19</v>
      </c>
      <c r="B72" s="99" t="s">
        <v>1038</v>
      </c>
      <c r="C72" s="99" t="s">
        <v>130</v>
      </c>
      <c r="D72" s="98" t="s">
        <v>930</v>
      </c>
      <c r="E72" s="100" t="s">
        <v>922</v>
      </c>
      <c r="F72" s="101" t="n">
        <v>3</v>
      </c>
      <c r="G72" s="101" t="s">
        <v>133</v>
      </c>
      <c r="H72" s="102" t="n">
        <v>45.87</v>
      </c>
      <c r="I72" s="103" t="n">
        <v>137.61</v>
      </c>
      <c r="J72" s="104" t="s">
        <v>312</v>
      </c>
      <c r="K72" s="104" t="n">
        <v>1</v>
      </c>
      <c r="L72" s="101" t="n">
        <v>3</v>
      </c>
      <c r="M72" s="104" t="s">
        <v>902</v>
      </c>
      <c r="N72" s="98"/>
      <c r="O72" s="105" t="n">
        <f aca="false">IF(M72="Y",I72,IF(ISNUMBER(H72),H72*L72,0))</f>
        <v>137.61</v>
      </c>
      <c r="P72" s="106" t="str">
        <f aca="false">IF(J72="","",J72&amp;"|"&amp;A72&amp;"|"&amp;K72)</f>
        <v>R078|Ferguson|1</v>
      </c>
    </row>
    <row r="73" customFormat="false" ht="15" hidden="false" customHeight="false" outlineLevel="0" collapsed="false">
      <c r="A73" s="98" t="s">
        <v>19</v>
      </c>
      <c r="B73" s="99" t="s">
        <v>1039</v>
      </c>
      <c r="C73" s="99" t="s">
        <v>130</v>
      </c>
      <c r="D73" s="98" t="s">
        <v>930</v>
      </c>
      <c r="E73" s="100" t="s">
        <v>1040</v>
      </c>
      <c r="F73" s="101" t="n">
        <v>14</v>
      </c>
      <c r="G73" s="101" t="s">
        <v>133</v>
      </c>
      <c r="H73" s="102" t="n">
        <v>23.02</v>
      </c>
      <c r="I73" s="103" t="n">
        <v>322.28</v>
      </c>
      <c r="J73" s="104" t="s">
        <v>315</v>
      </c>
      <c r="K73" s="104" t="n">
        <v>2</v>
      </c>
      <c r="L73" s="101" t="n">
        <v>14</v>
      </c>
      <c r="M73" s="104" t="s">
        <v>902</v>
      </c>
      <c r="N73" s="98"/>
      <c r="O73" s="105" t="n">
        <f aca="false">IF(M73="Y",I73,IF(ISNUMBER(H73),H73*L73,0))</f>
        <v>322.28</v>
      </c>
      <c r="P73" s="106" t="str">
        <f aca="false">IF(J73="","",J73&amp;"|"&amp;A73&amp;"|"&amp;K73)</f>
        <v>R079|Ferguson|2</v>
      </c>
    </row>
    <row r="74" customFormat="false" ht="15" hidden="false" customHeight="false" outlineLevel="0" collapsed="false">
      <c r="A74" s="98" t="s">
        <v>19</v>
      </c>
      <c r="B74" s="99" t="s">
        <v>1041</v>
      </c>
      <c r="C74" s="99" t="s">
        <v>130</v>
      </c>
      <c r="D74" s="98" t="s">
        <v>930</v>
      </c>
      <c r="E74" s="100" t="s">
        <v>1042</v>
      </c>
      <c r="F74" s="101" t="n">
        <v>14</v>
      </c>
      <c r="G74" s="101" t="s">
        <v>133</v>
      </c>
      <c r="H74" s="102" t="n">
        <v>42.72</v>
      </c>
      <c r="I74" s="103" t="n">
        <v>598.08</v>
      </c>
      <c r="J74" s="104" t="s">
        <v>315</v>
      </c>
      <c r="K74" s="104" t="n">
        <v>1</v>
      </c>
      <c r="L74" s="101" t="n">
        <v>14</v>
      </c>
      <c r="M74" s="104" t="s">
        <v>902</v>
      </c>
      <c r="N74" s="98"/>
      <c r="O74" s="105" t="n">
        <f aca="false">IF(M74="Y",I74,IF(ISNUMBER(H74),H74*L74,0))</f>
        <v>598.08</v>
      </c>
      <c r="P74" s="106" t="str">
        <f aca="false">IF(J74="","",J74&amp;"|"&amp;A74&amp;"|"&amp;K74)</f>
        <v>R079|Ferguson|1</v>
      </c>
    </row>
    <row r="75" customFormat="false" ht="15" hidden="false" customHeight="false" outlineLevel="0" collapsed="false">
      <c r="A75" s="98" t="s">
        <v>19</v>
      </c>
      <c r="B75" s="99" t="s">
        <v>1043</v>
      </c>
      <c r="C75" s="99" t="s">
        <v>130</v>
      </c>
      <c r="D75" s="98" t="s">
        <v>930</v>
      </c>
      <c r="E75" s="100" t="s">
        <v>1044</v>
      </c>
      <c r="F75" s="101" t="n">
        <v>7</v>
      </c>
      <c r="G75" s="101" t="s">
        <v>133</v>
      </c>
      <c r="H75" s="102" t="n">
        <v>19.8</v>
      </c>
      <c r="I75" s="103" t="n">
        <v>138.6</v>
      </c>
      <c r="J75" s="104" t="s">
        <v>317</v>
      </c>
      <c r="K75" s="104" t="n">
        <v>2</v>
      </c>
      <c r="L75" s="101" t="n">
        <v>7</v>
      </c>
      <c r="M75" s="104" t="s">
        <v>902</v>
      </c>
      <c r="N75" s="98"/>
      <c r="O75" s="105" t="n">
        <f aca="false">IF(M75="Y",I75,IF(ISNUMBER(H75),H75*L75,0))</f>
        <v>138.6</v>
      </c>
      <c r="P75" s="106" t="str">
        <f aca="false">IF(J75="","",J75&amp;"|"&amp;A75&amp;"|"&amp;K75)</f>
        <v>R080|Ferguson|2</v>
      </c>
    </row>
    <row r="76" customFormat="false" ht="15" hidden="false" customHeight="false" outlineLevel="0" collapsed="false">
      <c r="A76" s="98" t="s">
        <v>19</v>
      </c>
      <c r="B76" s="99" t="s">
        <v>1045</v>
      </c>
      <c r="C76" s="99" t="s">
        <v>130</v>
      </c>
      <c r="D76" s="98" t="s">
        <v>930</v>
      </c>
      <c r="E76" s="100" t="s">
        <v>1046</v>
      </c>
      <c r="F76" s="101" t="n">
        <v>7</v>
      </c>
      <c r="G76" s="101" t="s">
        <v>133</v>
      </c>
      <c r="H76" s="102" t="n">
        <v>19.41</v>
      </c>
      <c r="I76" s="103" t="n">
        <v>135.87</v>
      </c>
      <c r="J76" s="104" t="s">
        <v>317</v>
      </c>
      <c r="K76" s="104" t="n">
        <v>1</v>
      </c>
      <c r="L76" s="101" t="n">
        <v>7</v>
      </c>
      <c r="M76" s="104" t="s">
        <v>902</v>
      </c>
      <c r="N76" s="98"/>
      <c r="O76" s="105" t="n">
        <f aca="false">IF(M76="Y",I76,IF(ISNUMBER(H76),H76*L76,0))</f>
        <v>135.87</v>
      </c>
      <c r="P76" s="106" t="str">
        <f aca="false">IF(J76="","",J76&amp;"|"&amp;A76&amp;"|"&amp;K76)</f>
        <v>R080|Ferguson|1</v>
      </c>
    </row>
    <row r="77" customFormat="false" ht="15" hidden="false" customHeight="false" outlineLevel="0" collapsed="false">
      <c r="A77" s="98" t="s">
        <v>19</v>
      </c>
      <c r="B77" s="99" t="s">
        <v>1047</v>
      </c>
      <c r="C77" s="99" t="s">
        <v>130</v>
      </c>
      <c r="D77" s="98" t="s">
        <v>930</v>
      </c>
      <c r="E77" s="100" t="s">
        <v>1048</v>
      </c>
      <c r="F77" s="101" t="n">
        <v>2</v>
      </c>
      <c r="G77" s="101" t="s">
        <v>133</v>
      </c>
      <c r="H77" s="102" t="n">
        <v>34.57</v>
      </c>
      <c r="I77" s="103" t="n">
        <v>69.14</v>
      </c>
      <c r="J77" s="104" t="s">
        <v>320</v>
      </c>
      <c r="K77" s="104" t="n">
        <v>1</v>
      </c>
      <c r="L77" s="101" t="n">
        <v>2</v>
      </c>
      <c r="M77" s="104" t="s">
        <v>902</v>
      </c>
      <c r="N77" s="98"/>
      <c r="O77" s="105" t="n">
        <f aca="false">IF(M77="Y",I77,IF(ISNUMBER(H77),H77*L77,0))</f>
        <v>69.14</v>
      </c>
      <c r="P77" s="106" t="str">
        <f aca="false">IF(J77="","",J77&amp;"|"&amp;A77&amp;"|"&amp;K77)</f>
        <v>R081|Ferguson|1</v>
      </c>
    </row>
    <row r="78" customFormat="false" ht="15" hidden="false" customHeight="false" outlineLevel="0" collapsed="false">
      <c r="A78" s="98" t="s">
        <v>19</v>
      </c>
      <c r="B78" s="99" t="s">
        <v>1049</v>
      </c>
      <c r="C78" s="99" t="s">
        <v>130</v>
      </c>
      <c r="D78" s="98" t="s">
        <v>1050</v>
      </c>
      <c r="E78" s="100" t="s">
        <v>1051</v>
      </c>
      <c r="F78" s="101" t="n">
        <v>1</v>
      </c>
      <c r="G78" s="101" t="s">
        <v>133</v>
      </c>
      <c r="H78" s="102" t="n">
        <v>19472.57</v>
      </c>
      <c r="I78" s="103" t="n">
        <v>19472.57</v>
      </c>
      <c r="J78" s="104" t="s">
        <v>245</v>
      </c>
      <c r="K78" s="104" t="n">
        <v>1</v>
      </c>
      <c r="L78" s="101" t="n">
        <v>1</v>
      </c>
      <c r="M78" s="104" t="s">
        <v>902</v>
      </c>
      <c r="N78" s="98"/>
      <c r="O78" s="105" t="n">
        <f aca="false">IF(M78="Y",I78,IF(ISNUMBER(H78),H78*L78,0))</f>
        <v>19472.57</v>
      </c>
      <c r="P78" s="106" t="str">
        <f aca="false">IF(J78="","",J78&amp;"|"&amp;A78&amp;"|"&amp;K78)</f>
        <v>R052|Ferguson|1</v>
      </c>
    </row>
    <row r="79" customFormat="false" ht="15" hidden="false" customHeight="false" outlineLevel="0" collapsed="false">
      <c r="A79" s="98" t="s">
        <v>19</v>
      </c>
      <c r="B79" s="99" t="s">
        <v>1052</v>
      </c>
      <c r="C79" s="99" t="s">
        <v>130</v>
      </c>
      <c r="D79" s="98" t="s">
        <v>1050</v>
      </c>
      <c r="E79" s="100" t="s">
        <v>904</v>
      </c>
      <c r="F79" s="101" t="n">
        <v>1</v>
      </c>
      <c r="G79" s="101" t="s">
        <v>133</v>
      </c>
      <c r="H79" s="102" t="n">
        <v>279.93</v>
      </c>
      <c r="I79" s="103" t="n">
        <v>279.93</v>
      </c>
      <c r="J79" s="104" t="s">
        <v>164</v>
      </c>
      <c r="K79" s="104" t="n">
        <v>1</v>
      </c>
      <c r="L79" s="101" t="n">
        <v>1</v>
      </c>
      <c r="M79" s="104" t="s">
        <v>902</v>
      </c>
      <c r="N79" s="98"/>
      <c r="O79" s="105" t="n">
        <f aca="false">IF(M79="Y",I79,IF(ISNUMBER(H79),H79*L79,0))</f>
        <v>279.93</v>
      </c>
      <c r="P79" s="106" t="str">
        <f aca="false">IF(J79="","",J79&amp;"|"&amp;A79&amp;"|"&amp;K79)</f>
        <v>R015|Ferguson|1</v>
      </c>
    </row>
    <row r="80" customFormat="false" ht="15" hidden="false" customHeight="false" outlineLevel="0" collapsed="false">
      <c r="A80" s="98" t="s">
        <v>19</v>
      </c>
      <c r="B80" s="99" t="s">
        <v>1053</v>
      </c>
      <c r="C80" s="99" t="s">
        <v>130</v>
      </c>
      <c r="D80" s="98" t="s">
        <v>1050</v>
      </c>
      <c r="E80" s="100" t="s">
        <v>1054</v>
      </c>
      <c r="F80" s="101" t="n">
        <v>1</v>
      </c>
      <c r="G80" s="101" t="s">
        <v>133</v>
      </c>
      <c r="H80" s="102" t="n">
        <v>1167.83</v>
      </c>
      <c r="I80" s="103" t="n">
        <v>1167.83</v>
      </c>
      <c r="J80" s="104" t="s">
        <v>227</v>
      </c>
      <c r="K80" s="104" t="n">
        <v>1</v>
      </c>
      <c r="L80" s="101" t="n">
        <v>1</v>
      </c>
      <c r="M80" s="104" t="s">
        <v>902</v>
      </c>
      <c r="N80" s="98"/>
      <c r="O80" s="105" t="n">
        <f aca="false">IF(M80="Y",I80,IF(ISNUMBER(H80),H80*L80,0))</f>
        <v>1167.83</v>
      </c>
      <c r="P80" s="106" t="str">
        <f aca="false">IF(J80="","",J80&amp;"|"&amp;A80&amp;"|"&amp;K80)</f>
        <v>R044|Ferguson|1</v>
      </c>
    </row>
    <row r="81" customFormat="false" ht="15" hidden="false" customHeight="false" outlineLevel="0" collapsed="false">
      <c r="A81" s="98" t="s">
        <v>19</v>
      </c>
      <c r="B81" s="99" t="s">
        <v>1055</v>
      </c>
      <c r="C81" s="99" t="s">
        <v>130</v>
      </c>
      <c r="D81" s="98" t="s">
        <v>1050</v>
      </c>
      <c r="E81" s="100" t="s">
        <v>1056</v>
      </c>
      <c r="F81" s="101" t="n">
        <v>1</v>
      </c>
      <c r="G81" s="101" t="s">
        <v>133</v>
      </c>
      <c r="H81" s="102" t="n">
        <v>1706.83</v>
      </c>
      <c r="I81" s="103" t="n">
        <v>1706.83</v>
      </c>
      <c r="J81" s="104" t="s">
        <v>217</v>
      </c>
      <c r="K81" s="104" t="n">
        <v>1</v>
      </c>
      <c r="L81" s="101" t="n">
        <v>1</v>
      </c>
      <c r="M81" s="104" t="s">
        <v>902</v>
      </c>
      <c r="N81" s="98"/>
      <c r="O81" s="105" t="n">
        <f aca="false">IF(M81="Y",I81,IF(ISNUMBER(H81),H81*L81,0))</f>
        <v>1706.83</v>
      </c>
      <c r="P81" s="106" t="str">
        <f aca="false">IF(J81="","",J81&amp;"|"&amp;A81&amp;"|"&amp;K81)</f>
        <v>R039|Ferguson|1</v>
      </c>
    </row>
    <row r="82" customFormat="false" ht="15" hidden="false" customHeight="false" outlineLevel="0" collapsed="false">
      <c r="A82" s="98" t="s">
        <v>19</v>
      </c>
      <c r="B82" s="99" t="s">
        <v>1057</v>
      </c>
      <c r="C82" s="99" t="s">
        <v>130</v>
      </c>
      <c r="D82" s="98" t="s">
        <v>1050</v>
      </c>
      <c r="E82" s="100" t="s">
        <v>958</v>
      </c>
      <c r="F82" s="101" t="n">
        <v>1</v>
      </c>
      <c r="G82" s="101" t="s">
        <v>133</v>
      </c>
      <c r="H82" s="102" t="n">
        <v>368.94</v>
      </c>
      <c r="I82" s="103" t="n">
        <v>368.94</v>
      </c>
      <c r="J82" s="104" t="s">
        <v>162</v>
      </c>
      <c r="K82" s="104" t="n">
        <v>1</v>
      </c>
      <c r="L82" s="101" t="n">
        <v>1</v>
      </c>
      <c r="M82" s="104" t="s">
        <v>902</v>
      </c>
      <c r="N82" s="98"/>
      <c r="O82" s="105" t="n">
        <f aca="false">IF(M82="Y",I82,IF(ISNUMBER(H82),H82*L82,0))</f>
        <v>368.94</v>
      </c>
      <c r="P82" s="106" t="str">
        <f aca="false">IF(J82="","",J82&amp;"|"&amp;A82&amp;"|"&amp;K82)</f>
        <v>R014|Ferguson|1</v>
      </c>
    </row>
    <row r="83" customFormat="false" ht="15" hidden="false" customHeight="false" outlineLevel="0" collapsed="false">
      <c r="A83" s="98" t="s">
        <v>19</v>
      </c>
      <c r="B83" s="99" t="s">
        <v>1058</v>
      </c>
      <c r="C83" s="99" t="s">
        <v>130</v>
      </c>
      <c r="D83" s="98" t="s">
        <v>1050</v>
      </c>
      <c r="E83" s="100" t="s">
        <v>920</v>
      </c>
      <c r="F83" s="101" t="n">
        <v>4</v>
      </c>
      <c r="G83" s="101" t="s">
        <v>133</v>
      </c>
      <c r="H83" s="102" t="n">
        <v>154.1</v>
      </c>
      <c r="I83" s="103" t="n">
        <v>616.4</v>
      </c>
      <c r="J83" s="104" t="s">
        <v>301</v>
      </c>
      <c r="K83" s="104" t="n">
        <v>1</v>
      </c>
      <c r="L83" s="101" t="n">
        <v>4</v>
      </c>
      <c r="M83" s="104" t="s">
        <v>902</v>
      </c>
      <c r="N83" s="98"/>
      <c r="O83" s="105" t="n">
        <f aca="false">IF(M83="Y",I83,IF(ISNUMBER(H83),H83*L83,0))</f>
        <v>616.4</v>
      </c>
      <c r="P83" s="106" t="str">
        <f aca="false">IF(J83="","",J83&amp;"|"&amp;A83&amp;"|"&amp;K83)</f>
        <v>R074|Ferguson|1</v>
      </c>
    </row>
    <row r="84" customFormat="false" ht="15" hidden="false" customHeight="false" outlineLevel="0" collapsed="false">
      <c r="A84" s="98" t="s">
        <v>19</v>
      </c>
      <c r="B84" s="99" t="s">
        <v>1059</v>
      </c>
      <c r="C84" s="99" t="s">
        <v>130</v>
      </c>
      <c r="D84" s="98" t="s">
        <v>1050</v>
      </c>
      <c r="E84" s="100" t="s">
        <v>922</v>
      </c>
      <c r="F84" s="101" t="n">
        <v>2</v>
      </c>
      <c r="G84" s="101" t="s">
        <v>133</v>
      </c>
      <c r="H84" s="102" t="n">
        <v>45.87</v>
      </c>
      <c r="I84" s="103" t="n">
        <v>91.74</v>
      </c>
      <c r="J84" s="104" t="s">
        <v>312</v>
      </c>
      <c r="K84" s="104" t="n">
        <v>1</v>
      </c>
      <c r="L84" s="101" t="n">
        <v>2</v>
      </c>
      <c r="M84" s="104" t="s">
        <v>902</v>
      </c>
      <c r="N84" s="98"/>
      <c r="O84" s="105" t="n">
        <f aca="false">IF(M84="Y",I84,IF(ISNUMBER(H84),H84*L84,0))</f>
        <v>91.74</v>
      </c>
      <c r="P84" s="106" t="str">
        <f aca="false">IF(J84="","",J84&amp;"|"&amp;A84&amp;"|"&amp;K84)</f>
        <v>R078|Ferguson|1</v>
      </c>
    </row>
    <row r="85" customFormat="false" ht="15" hidden="false" customHeight="false" outlineLevel="0" collapsed="false">
      <c r="A85" s="98" t="s">
        <v>19</v>
      </c>
      <c r="B85" s="99" t="s">
        <v>1060</v>
      </c>
      <c r="C85" s="99" t="s">
        <v>457</v>
      </c>
      <c r="D85" s="98"/>
      <c r="E85" s="100" t="s">
        <v>1061</v>
      </c>
      <c r="F85" s="101" t="n">
        <v>560</v>
      </c>
      <c r="G85" s="101" t="s">
        <v>178</v>
      </c>
      <c r="H85" s="102" t="n">
        <v>8.06</v>
      </c>
      <c r="I85" s="103" t="n">
        <v>4513.6</v>
      </c>
      <c r="J85" s="104" t="s">
        <v>456</v>
      </c>
      <c r="K85" s="104" t="n">
        <v>1</v>
      </c>
      <c r="L85" s="101" t="n">
        <v>560</v>
      </c>
      <c r="M85" s="104" t="s">
        <v>902</v>
      </c>
      <c r="N85" s="98"/>
      <c r="O85" s="105" t="n">
        <f aca="false">IF(M85="Y",I85,IF(ISNUMBER(H85),H85*L85,0))</f>
        <v>4513.6</v>
      </c>
      <c r="P85" s="106" t="str">
        <f aca="false">IF(J85="","",J85&amp;"|"&amp;A85&amp;"|"&amp;K85)</f>
        <v>R139|Ferguson|1</v>
      </c>
    </row>
    <row r="86" customFormat="false" ht="15" hidden="false" customHeight="false" outlineLevel="0" collapsed="false">
      <c r="A86" s="98" t="s">
        <v>19</v>
      </c>
      <c r="B86" s="99" t="s">
        <v>1062</v>
      </c>
      <c r="C86" s="99" t="s">
        <v>457</v>
      </c>
      <c r="D86" s="98"/>
      <c r="E86" s="100" t="s">
        <v>1063</v>
      </c>
      <c r="F86" s="101" t="n">
        <v>1000</v>
      </c>
      <c r="G86" s="101" t="s">
        <v>1064</v>
      </c>
      <c r="H86" s="102" t="n">
        <v>372.39</v>
      </c>
      <c r="I86" s="103" t="n">
        <v>372.39</v>
      </c>
      <c r="J86" s="104" t="s">
        <v>459</v>
      </c>
      <c r="K86" s="104" t="n">
        <v>1</v>
      </c>
      <c r="L86" s="101" t="n">
        <v>1000</v>
      </c>
      <c r="M86" s="104" t="s">
        <v>902</v>
      </c>
      <c r="N86" s="98" t="s">
        <v>1065</v>
      </c>
      <c r="O86" s="105" t="n">
        <f aca="false">IF(M86="Y",I86,IF(ISNUMBER(H86),H86*L86,0))</f>
        <v>372.39</v>
      </c>
      <c r="P86" s="106" t="str">
        <f aca="false">IF(J86="","",J86&amp;"|"&amp;A86&amp;"|"&amp;K86)</f>
        <v>R140|Ferguson|1</v>
      </c>
    </row>
    <row r="87" customFormat="false" ht="15" hidden="false" customHeight="false" outlineLevel="0" collapsed="false">
      <c r="A87" s="98" t="s">
        <v>19</v>
      </c>
      <c r="B87" s="99" t="s">
        <v>1066</v>
      </c>
      <c r="C87" s="99" t="s">
        <v>457</v>
      </c>
      <c r="D87" s="98"/>
      <c r="E87" s="100" t="s">
        <v>1067</v>
      </c>
      <c r="F87" s="101" t="n">
        <v>1</v>
      </c>
      <c r="G87" s="101" t="s">
        <v>133</v>
      </c>
      <c r="H87" s="102" t="n">
        <v>39.71</v>
      </c>
      <c r="I87" s="103" t="n">
        <v>39.71</v>
      </c>
      <c r="J87" s="104" t="s">
        <v>463</v>
      </c>
      <c r="K87" s="104" t="n">
        <v>1</v>
      </c>
      <c r="L87" s="101" t="n">
        <v>1</v>
      </c>
      <c r="M87" s="104" t="s">
        <v>902</v>
      </c>
      <c r="N87" s="98"/>
      <c r="O87" s="105" t="n">
        <f aca="false">IF(M87="Y",I87,IF(ISNUMBER(H87),H87*L87,0))</f>
        <v>39.71</v>
      </c>
      <c r="P87" s="106" t="str">
        <f aca="false">IF(J87="","",J87&amp;"|"&amp;A87&amp;"|"&amp;K87)</f>
        <v>R141|Ferguson|1</v>
      </c>
    </row>
    <row r="88" customFormat="false" ht="15" hidden="false" customHeight="false" outlineLevel="0" collapsed="false">
      <c r="A88" s="98" t="s">
        <v>19</v>
      </c>
      <c r="B88" s="99" t="s">
        <v>1068</v>
      </c>
      <c r="C88" s="99" t="s">
        <v>481</v>
      </c>
      <c r="D88" s="98"/>
      <c r="E88" s="100" t="s">
        <v>1069</v>
      </c>
      <c r="F88" s="101" t="n">
        <v>3000</v>
      </c>
      <c r="G88" s="101" t="s">
        <v>178</v>
      </c>
      <c r="H88" s="102" t="n">
        <v>35.9</v>
      </c>
      <c r="I88" s="103" t="n">
        <v>107700</v>
      </c>
      <c r="J88" s="104" t="s">
        <v>480</v>
      </c>
      <c r="K88" s="104" t="n">
        <v>1</v>
      </c>
      <c r="L88" s="101" t="n">
        <v>3000</v>
      </c>
      <c r="M88" s="104" t="s">
        <v>902</v>
      </c>
      <c r="N88" s="98"/>
      <c r="O88" s="105" t="n">
        <f aca="false">IF(M88="Y",I88,IF(ISNUMBER(H88),H88*L88,0))</f>
        <v>107700</v>
      </c>
      <c r="P88" s="106" t="str">
        <f aca="false">IF(J88="","",J88&amp;"|"&amp;A88&amp;"|"&amp;K88)</f>
        <v>R147|Ferguson|1</v>
      </c>
    </row>
    <row r="89" customFormat="false" ht="15" hidden="false" customHeight="false" outlineLevel="0" collapsed="false">
      <c r="A89" s="98" t="s">
        <v>19</v>
      </c>
      <c r="B89" s="99" t="s">
        <v>1070</v>
      </c>
      <c r="C89" s="99" t="s">
        <v>481</v>
      </c>
      <c r="D89" s="98"/>
      <c r="E89" s="100" t="s">
        <v>1063</v>
      </c>
      <c r="F89" s="101" t="n">
        <v>3500</v>
      </c>
      <c r="G89" s="101" t="s">
        <v>1064</v>
      </c>
      <c r="H89" s="102" t="n">
        <v>372.39</v>
      </c>
      <c r="I89" s="103" t="n">
        <v>1303.36</v>
      </c>
      <c r="J89" s="104" t="s">
        <v>484</v>
      </c>
      <c r="K89" s="104" t="n">
        <v>1</v>
      </c>
      <c r="L89" s="101" t="n">
        <v>3500</v>
      </c>
      <c r="M89" s="104" t="s">
        <v>902</v>
      </c>
      <c r="N89" s="98" t="s">
        <v>1065</v>
      </c>
      <c r="O89" s="105" t="n">
        <f aca="false">IF(M89="Y",I89,IF(ISNUMBER(H89),H89*L89,0))</f>
        <v>1303.36</v>
      </c>
      <c r="P89" s="106" t="str">
        <f aca="false">IF(J89="","",J89&amp;"|"&amp;A89&amp;"|"&amp;K89)</f>
        <v>R148|Ferguson|1</v>
      </c>
    </row>
    <row r="90" customFormat="false" ht="15" hidden="false" customHeight="false" outlineLevel="0" collapsed="false">
      <c r="A90" s="98" t="s">
        <v>19</v>
      </c>
      <c r="B90" s="99" t="s">
        <v>1071</v>
      </c>
      <c r="C90" s="99" t="s">
        <v>481</v>
      </c>
      <c r="D90" s="98"/>
      <c r="E90" s="100" t="s">
        <v>1067</v>
      </c>
      <c r="F90" s="101" t="n">
        <v>4</v>
      </c>
      <c r="G90" s="101" t="s">
        <v>133</v>
      </c>
      <c r="H90" s="102" t="n">
        <v>39.71</v>
      </c>
      <c r="I90" s="103" t="n">
        <v>158.84</v>
      </c>
      <c r="J90" s="104" t="s">
        <v>485</v>
      </c>
      <c r="K90" s="104" t="n">
        <v>1</v>
      </c>
      <c r="L90" s="101" t="n">
        <v>4</v>
      </c>
      <c r="M90" s="104" t="s">
        <v>902</v>
      </c>
      <c r="N90" s="98"/>
      <c r="O90" s="105" t="n">
        <f aca="false">IF(M90="Y",I90,IF(ISNUMBER(H90),H90*L90,0))</f>
        <v>158.84</v>
      </c>
      <c r="P90" s="106" t="str">
        <f aca="false">IF(J90="","",J90&amp;"|"&amp;A90&amp;"|"&amp;K90)</f>
        <v>R149|Ferguson|1</v>
      </c>
    </row>
    <row r="91" customFormat="false" ht="15" hidden="false" customHeight="false" outlineLevel="0" collapsed="false">
      <c r="A91" s="98" t="s">
        <v>19</v>
      </c>
      <c r="B91" s="99" t="s">
        <v>1072</v>
      </c>
      <c r="C91" s="99" t="s">
        <v>498</v>
      </c>
      <c r="D91" s="98"/>
      <c r="E91" s="100" t="s">
        <v>1073</v>
      </c>
      <c r="F91" s="101" t="n">
        <v>12500</v>
      </c>
      <c r="G91" s="101" t="s">
        <v>178</v>
      </c>
      <c r="H91" s="102" t="n">
        <v>28.64</v>
      </c>
      <c r="I91" s="103" t="n">
        <v>358000</v>
      </c>
      <c r="J91" s="104" t="s">
        <v>497</v>
      </c>
      <c r="K91" s="104" t="n">
        <v>1</v>
      </c>
      <c r="L91" s="101" t="n">
        <v>12500</v>
      </c>
      <c r="M91" s="104" t="s">
        <v>902</v>
      </c>
      <c r="N91" s="98"/>
      <c r="O91" s="105" t="n">
        <f aca="false">IF(M91="Y",I91,IF(ISNUMBER(H91),H91*L91,0))</f>
        <v>358000</v>
      </c>
      <c r="P91" s="106" t="str">
        <f aca="false">IF(J91="","",J91&amp;"|"&amp;A91&amp;"|"&amp;K91)</f>
        <v>R156|Ferguson|1</v>
      </c>
    </row>
    <row r="92" customFormat="false" ht="15" hidden="false" customHeight="false" outlineLevel="0" collapsed="false">
      <c r="A92" s="98" t="s">
        <v>19</v>
      </c>
      <c r="B92" s="99" t="s">
        <v>1074</v>
      </c>
      <c r="C92" s="99" t="s">
        <v>498</v>
      </c>
      <c r="D92" s="98"/>
      <c r="E92" s="100" t="s">
        <v>1063</v>
      </c>
      <c r="F92" s="101" t="n">
        <v>13000</v>
      </c>
      <c r="G92" s="101" t="s">
        <v>1064</v>
      </c>
      <c r="H92" s="102" t="n">
        <v>372.39</v>
      </c>
      <c r="I92" s="103" t="n">
        <v>4841.07</v>
      </c>
      <c r="J92" s="104" t="s">
        <v>500</v>
      </c>
      <c r="K92" s="104" t="n">
        <v>1</v>
      </c>
      <c r="L92" s="101" t="n">
        <v>13000</v>
      </c>
      <c r="M92" s="104" t="s">
        <v>902</v>
      </c>
      <c r="N92" s="98" t="s">
        <v>1065</v>
      </c>
      <c r="O92" s="105" t="n">
        <f aca="false">IF(M92="Y",I92,IF(ISNUMBER(H92),H92*L92,0))</f>
        <v>4841.07</v>
      </c>
      <c r="P92" s="106" t="str">
        <f aca="false">IF(J92="","",J92&amp;"|"&amp;A92&amp;"|"&amp;K92)</f>
        <v>R157|Ferguson|1</v>
      </c>
    </row>
    <row r="93" customFormat="false" ht="15" hidden="false" customHeight="false" outlineLevel="0" collapsed="false">
      <c r="A93" s="98" t="s">
        <v>19</v>
      </c>
      <c r="B93" s="99" t="s">
        <v>1075</v>
      </c>
      <c r="C93" s="99" t="s">
        <v>498</v>
      </c>
      <c r="D93" s="98"/>
      <c r="E93" s="100" t="s">
        <v>1067</v>
      </c>
      <c r="F93" s="101" t="n">
        <v>13</v>
      </c>
      <c r="G93" s="101" t="s">
        <v>133</v>
      </c>
      <c r="H93" s="102" t="n">
        <v>39.71</v>
      </c>
      <c r="I93" s="103" t="n">
        <v>516.23</v>
      </c>
      <c r="J93" s="104" t="s">
        <v>501</v>
      </c>
      <c r="K93" s="104" t="n">
        <v>1</v>
      </c>
      <c r="L93" s="101" t="n">
        <v>13</v>
      </c>
      <c r="M93" s="104" t="s">
        <v>902</v>
      </c>
      <c r="N93" s="98"/>
      <c r="O93" s="105" t="n">
        <f aca="false">IF(M93="Y",I93,IF(ISNUMBER(H93),H93*L93,0))</f>
        <v>516.23</v>
      </c>
      <c r="P93" s="106" t="str">
        <f aca="false">IF(J93="","",J93&amp;"|"&amp;A93&amp;"|"&amp;K93)</f>
        <v>R158|Ferguson|1</v>
      </c>
    </row>
    <row r="94" customFormat="false" ht="15" hidden="false" customHeight="false" outlineLevel="0" collapsed="false">
      <c r="A94" s="98" t="s">
        <v>19</v>
      </c>
      <c r="B94" s="99" t="s">
        <v>1076</v>
      </c>
      <c r="C94" s="99" t="s">
        <v>511</v>
      </c>
      <c r="D94" s="98"/>
      <c r="E94" s="100" t="s">
        <v>1077</v>
      </c>
      <c r="F94" s="101" t="n">
        <v>16</v>
      </c>
      <c r="G94" s="101" t="s">
        <v>133</v>
      </c>
      <c r="H94" s="102" t="n">
        <v>1238.16</v>
      </c>
      <c r="I94" s="103" t="n">
        <v>19810.56</v>
      </c>
      <c r="J94" s="104" t="s">
        <v>510</v>
      </c>
      <c r="K94" s="104" t="n">
        <v>1</v>
      </c>
      <c r="L94" s="101" t="n">
        <v>16</v>
      </c>
      <c r="M94" s="104" t="s">
        <v>902</v>
      </c>
      <c r="N94" s="98"/>
      <c r="O94" s="105" t="n">
        <f aca="false">IF(M94="Y",I94,IF(ISNUMBER(H94),H94*L94,0))</f>
        <v>19810.56</v>
      </c>
      <c r="P94" s="106" t="str">
        <f aca="false">IF(J94="","",J94&amp;"|"&amp;A94&amp;"|"&amp;K94)</f>
        <v>R164|Ferguson|1</v>
      </c>
    </row>
    <row r="95" customFormat="false" ht="15" hidden="false" customHeight="false" outlineLevel="0" collapsed="false">
      <c r="A95" s="98" t="s">
        <v>19</v>
      </c>
      <c r="B95" s="99" t="s">
        <v>1078</v>
      </c>
      <c r="C95" s="99" t="s">
        <v>511</v>
      </c>
      <c r="D95" s="98"/>
      <c r="E95" s="100" t="s">
        <v>1079</v>
      </c>
      <c r="F95" s="101" t="n">
        <v>16</v>
      </c>
      <c r="G95" s="101" t="s">
        <v>133</v>
      </c>
      <c r="H95" s="102" t="n">
        <v>69</v>
      </c>
      <c r="I95" s="103" t="n">
        <v>1104</v>
      </c>
      <c r="J95" s="104" t="s">
        <v>516</v>
      </c>
      <c r="K95" s="104" t="n">
        <v>1</v>
      </c>
      <c r="L95" s="101" t="n">
        <v>16</v>
      </c>
      <c r="M95" s="104" t="s">
        <v>902</v>
      </c>
      <c r="N95" s="98"/>
      <c r="O95" s="105" t="n">
        <f aca="false">IF(M95="Y",I95,IF(ISNUMBER(H95),H95*L95,0))</f>
        <v>1104</v>
      </c>
      <c r="P95" s="106" t="str">
        <f aca="false">IF(J95="","",J95&amp;"|"&amp;A95&amp;"|"&amp;K95)</f>
        <v>R166|Ferguson|1</v>
      </c>
    </row>
    <row r="96" customFormat="false" ht="15" hidden="false" customHeight="false" outlineLevel="0" collapsed="false">
      <c r="A96" s="98" t="s">
        <v>19</v>
      </c>
      <c r="B96" s="99" t="s">
        <v>1080</v>
      </c>
      <c r="C96" s="99" t="s">
        <v>511</v>
      </c>
      <c r="D96" s="98"/>
      <c r="E96" s="100" t="s">
        <v>1081</v>
      </c>
      <c r="F96" s="101" t="n">
        <v>16</v>
      </c>
      <c r="G96" s="101" t="s">
        <v>133</v>
      </c>
      <c r="H96" s="102" t="n">
        <v>13.7</v>
      </c>
      <c r="I96" s="103" t="n">
        <v>219.2</v>
      </c>
      <c r="J96" s="104" t="s">
        <v>518</v>
      </c>
      <c r="K96" s="104" t="n">
        <v>2</v>
      </c>
      <c r="L96" s="101" t="n">
        <v>16</v>
      </c>
      <c r="M96" s="104" t="s">
        <v>902</v>
      </c>
      <c r="N96" s="98"/>
      <c r="O96" s="105" t="n">
        <f aca="false">IF(M96="Y",I96,IF(ISNUMBER(H96),H96*L96,0))</f>
        <v>219.2</v>
      </c>
      <c r="P96" s="106" t="str">
        <f aca="false">IF(J96="","",J96&amp;"|"&amp;A96&amp;"|"&amp;K96)</f>
        <v>R167|Ferguson|2</v>
      </c>
    </row>
    <row r="97" customFormat="false" ht="15" hidden="false" customHeight="false" outlineLevel="0" collapsed="false">
      <c r="A97" s="98" t="s">
        <v>19</v>
      </c>
      <c r="B97" s="99" t="s">
        <v>1082</v>
      </c>
      <c r="C97" s="99" t="s">
        <v>511</v>
      </c>
      <c r="D97" s="98"/>
      <c r="E97" s="100" t="s">
        <v>1083</v>
      </c>
      <c r="F97" s="101" t="n">
        <v>16</v>
      </c>
      <c r="G97" s="101" t="s">
        <v>133</v>
      </c>
      <c r="H97" s="102" t="n">
        <v>18.64</v>
      </c>
      <c r="I97" s="103" t="n">
        <v>298.24</v>
      </c>
      <c r="J97" s="104" t="s">
        <v>518</v>
      </c>
      <c r="K97" s="104" t="n">
        <v>1</v>
      </c>
      <c r="L97" s="101" t="n">
        <v>16</v>
      </c>
      <c r="M97" s="104" t="s">
        <v>902</v>
      </c>
      <c r="N97" s="98"/>
      <c r="O97" s="105" t="n">
        <f aca="false">IF(M97="Y",I97,IF(ISNUMBER(H97),H97*L97,0))</f>
        <v>298.24</v>
      </c>
      <c r="P97" s="106" t="str">
        <f aca="false">IF(J97="","",J97&amp;"|"&amp;A97&amp;"|"&amp;K97)</f>
        <v>R167|Ferguson|1</v>
      </c>
    </row>
    <row r="98" customFormat="false" ht="15" hidden="false" customHeight="false" outlineLevel="0" collapsed="false">
      <c r="A98" s="98" t="s">
        <v>19</v>
      </c>
      <c r="B98" s="99" t="s">
        <v>1084</v>
      </c>
      <c r="C98" s="99" t="s">
        <v>511</v>
      </c>
      <c r="D98" s="98"/>
      <c r="E98" s="100" t="s">
        <v>1085</v>
      </c>
      <c r="F98" s="101" t="n">
        <v>16</v>
      </c>
      <c r="G98" s="101" t="s">
        <v>133</v>
      </c>
      <c r="H98" s="102" t="n">
        <v>85.95</v>
      </c>
      <c r="I98" s="103" t="n">
        <v>1375.2</v>
      </c>
      <c r="J98" s="104" t="s">
        <v>465</v>
      </c>
      <c r="K98" s="104" t="n">
        <v>1</v>
      </c>
      <c r="L98" s="101" t="n">
        <v>16</v>
      </c>
      <c r="M98" s="104" t="s">
        <v>902</v>
      </c>
      <c r="N98" s="98"/>
      <c r="O98" s="105" t="n">
        <f aca="false">IF(M98="Y",I98,IF(ISNUMBER(H98),H98*L98,0))</f>
        <v>1375.2</v>
      </c>
      <c r="P98" s="106" t="str">
        <f aca="false">IF(J98="","",J98&amp;"|"&amp;A98&amp;"|"&amp;K98)</f>
        <v>R142|Ferguson|1</v>
      </c>
    </row>
    <row r="99" customFormat="false" ht="15" hidden="false" customHeight="false" outlineLevel="0" collapsed="false">
      <c r="A99" s="98" t="s">
        <v>19</v>
      </c>
      <c r="B99" s="99" t="s">
        <v>1086</v>
      </c>
      <c r="C99" s="99" t="s">
        <v>511</v>
      </c>
      <c r="D99" s="98"/>
      <c r="E99" s="100" t="s">
        <v>1087</v>
      </c>
      <c r="F99" s="101" t="n">
        <v>16</v>
      </c>
      <c r="G99" s="101" t="s">
        <v>133</v>
      </c>
      <c r="H99" s="102" t="n">
        <v>50</v>
      </c>
      <c r="I99" s="103" t="n">
        <v>800</v>
      </c>
      <c r="J99" s="104" t="s">
        <v>513</v>
      </c>
      <c r="K99" s="104" t="n">
        <v>2</v>
      </c>
      <c r="L99" s="101" t="n">
        <v>16</v>
      </c>
      <c r="M99" s="104" t="s">
        <v>902</v>
      </c>
      <c r="N99" s="98"/>
      <c r="O99" s="105" t="n">
        <f aca="false">IF(M99="Y",I99,IF(ISNUMBER(H99),H99*L99,0))</f>
        <v>800</v>
      </c>
      <c r="P99" s="106" t="str">
        <f aca="false">IF(J99="","",J99&amp;"|"&amp;A99&amp;"|"&amp;K99)</f>
        <v>R165|Ferguson|2</v>
      </c>
    </row>
    <row r="100" customFormat="false" ht="15" hidden="false" customHeight="false" outlineLevel="0" collapsed="false">
      <c r="A100" s="98" t="s">
        <v>19</v>
      </c>
      <c r="B100" s="99" t="s">
        <v>1088</v>
      </c>
      <c r="C100" s="99" t="s">
        <v>511</v>
      </c>
      <c r="D100" s="98"/>
      <c r="E100" s="100" t="s">
        <v>1089</v>
      </c>
      <c r="F100" s="101" t="n">
        <v>16</v>
      </c>
      <c r="G100" s="101" t="s">
        <v>133</v>
      </c>
      <c r="H100" s="102" t="n">
        <v>90.04</v>
      </c>
      <c r="I100" s="103" t="n">
        <v>1440.64</v>
      </c>
      <c r="J100" s="104" t="s">
        <v>513</v>
      </c>
      <c r="K100" s="104" t="n">
        <v>1</v>
      </c>
      <c r="L100" s="101" t="n">
        <v>16</v>
      </c>
      <c r="M100" s="104" t="s">
        <v>902</v>
      </c>
      <c r="N100" s="98"/>
      <c r="O100" s="105" t="n">
        <f aca="false">IF(M100="Y",I100,IF(ISNUMBER(H100),H100*L100,0))</f>
        <v>1440.64</v>
      </c>
      <c r="P100" s="106" t="str">
        <f aca="false">IF(J100="","",J100&amp;"|"&amp;A100&amp;"|"&amp;K100)</f>
        <v>R165|Ferguson|1</v>
      </c>
    </row>
    <row r="101" customFormat="false" ht="15" hidden="false" customHeight="false" outlineLevel="0" collapsed="false">
      <c r="A101" s="98" t="s">
        <v>19</v>
      </c>
      <c r="B101" s="99" t="s">
        <v>1090</v>
      </c>
      <c r="C101" s="99" t="s">
        <v>511</v>
      </c>
      <c r="D101" s="98"/>
      <c r="E101" s="100" t="s">
        <v>1091</v>
      </c>
      <c r="F101" s="101" t="n">
        <v>16</v>
      </c>
      <c r="G101" s="101" t="s">
        <v>133</v>
      </c>
      <c r="H101" s="102" t="n">
        <v>25.01</v>
      </c>
      <c r="I101" s="103" t="n">
        <v>400.16</v>
      </c>
      <c r="J101" s="104" t="s">
        <v>513</v>
      </c>
      <c r="K101" s="104" t="n">
        <v>3</v>
      </c>
      <c r="L101" s="101" t="n">
        <v>16</v>
      </c>
      <c r="M101" s="104" t="s">
        <v>902</v>
      </c>
      <c r="N101" s="98"/>
      <c r="O101" s="105" t="n">
        <f aca="false">IF(M101="Y",I101,IF(ISNUMBER(H101),H101*L101,0))</f>
        <v>400.16</v>
      </c>
      <c r="P101" s="106" t="str">
        <f aca="false">IF(J101="","",J101&amp;"|"&amp;A101&amp;"|"&amp;K101)</f>
        <v>R165|Ferguson|3</v>
      </c>
    </row>
    <row r="102" customFormat="false" ht="15" hidden="false" customHeight="false" outlineLevel="0" collapsed="false">
      <c r="A102" s="98" t="s">
        <v>19</v>
      </c>
      <c r="B102" s="99" t="s">
        <v>1092</v>
      </c>
      <c r="C102" s="99" t="s">
        <v>523</v>
      </c>
      <c r="D102" s="98"/>
      <c r="E102" s="100" t="s">
        <v>1093</v>
      </c>
      <c r="F102" s="101" t="n">
        <v>4</v>
      </c>
      <c r="G102" s="101" t="s">
        <v>133</v>
      </c>
      <c r="H102" s="102" t="n">
        <v>1971.97</v>
      </c>
      <c r="I102" s="103" t="n">
        <v>7887.88</v>
      </c>
      <c r="J102" s="104" t="s">
        <v>522</v>
      </c>
      <c r="K102" s="104" t="n">
        <v>1</v>
      </c>
      <c r="L102" s="101" t="n">
        <v>4</v>
      </c>
      <c r="M102" s="104" t="s">
        <v>902</v>
      </c>
      <c r="N102" s="98"/>
      <c r="O102" s="105" t="n">
        <f aca="false">IF(M102="Y",I102,IF(ISNUMBER(H102),H102*L102,0))</f>
        <v>7887.88</v>
      </c>
      <c r="P102" s="106" t="str">
        <f aca="false">IF(J102="","",J102&amp;"|"&amp;A102&amp;"|"&amp;K102)</f>
        <v>R168|Ferguson|1</v>
      </c>
    </row>
    <row r="103" customFormat="false" ht="15" hidden="false" customHeight="false" outlineLevel="0" collapsed="false">
      <c r="A103" s="98" t="s">
        <v>19</v>
      </c>
      <c r="B103" s="99" t="s">
        <v>1094</v>
      </c>
      <c r="C103" s="99" t="s">
        <v>523</v>
      </c>
      <c r="D103" s="98"/>
      <c r="E103" s="100" t="s">
        <v>1095</v>
      </c>
      <c r="F103" s="101" t="n">
        <v>4</v>
      </c>
      <c r="G103" s="101" t="s">
        <v>133</v>
      </c>
      <c r="H103" s="102" t="n">
        <v>92.92</v>
      </c>
      <c r="I103" s="103" t="n">
        <v>371.68</v>
      </c>
      <c r="J103" s="104" t="s">
        <v>526</v>
      </c>
      <c r="K103" s="104" t="n">
        <v>1</v>
      </c>
      <c r="L103" s="101" t="n">
        <v>4</v>
      </c>
      <c r="M103" s="104" t="s">
        <v>902</v>
      </c>
      <c r="N103" s="98"/>
      <c r="O103" s="105" t="n">
        <f aca="false">IF(M103="Y",I103,IF(ISNUMBER(H103),H103*L103,0))</f>
        <v>371.68</v>
      </c>
      <c r="P103" s="106" t="str">
        <f aca="false">IF(J103="","",J103&amp;"|"&amp;A103&amp;"|"&amp;K103)</f>
        <v>R170|Ferguson|1</v>
      </c>
    </row>
    <row r="104" customFormat="false" ht="15" hidden="false" customHeight="false" outlineLevel="0" collapsed="false">
      <c r="A104" s="98" t="s">
        <v>19</v>
      </c>
      <c r="B104" s="99" t="s">
        <v>1096</v>
      </c>
      <c r="C104" s="99" t="s">
        <v>523</v>
      </c>
      <c r="D104" s="98"/>
      <c r="E104" s="100" t="s">
        <v>1044</v>
      </c>
      <c r="F104" s="101" t="n">
        <v>4</v>
      </c>
      <c r="G104" s="101" t="s">
        <v>133</v>
      </c>
      <c r="H104" s="102" t="n">
        <v>19.8</v>
      </c>
      <c r="I104" s="103" t="n">
        <v>79.2</v>
      </c>
      <c r="J104" s="104" t="s">
        <v>530</v>
      </c>
      <c r="K104" s="104" t="n">
        <v>2</v>
      </c>
      <c r="L104" s="101" t="n">
        <v>4</v>
      </c>
      <c r="M104" s="104" t="s">
        <v>902</v>
      </c>
      <c r="N104" s="98"/>
      <c r="O104" s="105" t="n">
        <f aca="false">IF(M104="Y",I104,IF(ISNUMBER(H104),H104*L104,0))</f>
        <v>79.2</v>
      </c>
      <c r="P104" s="106" t="str">
        <f aca="false">IF(J104="","",J104&amp;"|"&amp;A104&amp;"|"&amp;K104)</f>
        <v>R172|Ferguson|2</v>
      </c>
    </row>
    <row r="105" customFormat="false" ht="15" hidden="false" customHeight="false" outlineLevel="0" collapsed="false">
      <c r="A105" s="98" t="s">
        <v>19</v>
      </c>
      <c r="B105" s="99" t="s">
        <v>1097</v>
      </c>
      <c r="C105" s="99" t="s">
        <v>523</v>
      </c>
      <c r="D105" s="98"/>
      <c r="E105" s="100" t="s">
        <v>1046</v>
      </c>
      <c r="F105" s="101" t="n">
        <v>4</v>
      </c>
      <c r="G105" s="101" t="s">
        <v>133</v>
      </c>
      <c r="H105" s="102" t="n">
        <v>19.41</v>
      </c>
      <c r="I105" s="103" t="n">
        <v>77.64</v>
      </c>
      <c r="J105" s="104" t="s">
        <v>530</v>
      </c>
      <c r="K105" s="104" t="n">
        <v>1</v>
      </c>
      <c r="L105" s="101" t="n">
        <v>4</v>
      </c>
      <c r="M105" s="104" t="s">
        <v>902</v>
      </c>
      <c r="N105" s="98"/>
      <c r="O105" s="105" t="n">
        <f aca="false">IF(M105="Y",I105,IF(ISNUMBER(H105),H105*L105,0))</f>
        <v>77.64</v>
      </c>
      <c r="P105" s="106" t="str">
        <f aca="false">IF(J105="","",J105&amp;"|"&amp;A105&amp;"|"&amp;K105)</f>
        <v>R172|Ferguson|1</v>
      </c>
    </row>
    <row r="106" customFormat="false" ht="15" hidden="false" customHeight="false" outlineLevel="0" collapsed="false">
      <c r="A106" s="98" t="s">
        <v>19</v>
      </c>
      <c r="B106" s="99" t="s">
        <v>1098</v>
      </c>
      <c r="C106" s="99" t="s">
        <v>523</v>
      </c>
      <c r="D106" s="98"/>
      <c r="E106" s="100" t="s">
        <v>1087</v>
      </c>
      <c r="F106" s="101" t="n">
        <v>4</v>
      </c>
      <c r="G106" s="101" t="s">
        <v>133</v>
      </c>
      <c r="H106" s="102" t="n">
        <v>50</v>
      </c>
      <c r="I106" s="103" t="n">
        <v>200</v>
      </c>
      <c r="J106" s="104" t="s">
        <v>525</v>
      </c>
      <c r="K106" s="104" t="n">
        <v>2</v>
      </c>
      <c r="L106" s="101" t="n">
        <v>4</v>
      </c>
      <c r="M106" s="104" t="s">
        <v>902</v>
      </c>
      <c r="N106" s="98"/>
      <c r="O106" s="105" t="n">
        <f aca="false">IF(M106="Y",I106,IF(ISNUMBER(H106),H106*L106,0))</f>
        <v>200</v>
      </c>
      <c r="P106" s="106" t="str">
        <f aca="false">IF(J106="","",J106&amp;"|"&amp;A106&amp;"|"&amp;K106)</f>
        <v>R169|Ferguson|2</v>
      </c>
    </row>
    <row r="107" customFormat="false" ht="15" hidden="false" customHeight="false" outlineLevel="0" collapsed="false">
      <c r="A107" s="98" t="s">
        <v>19</v>
      </c>
      <c r="B107" s="99" t="s">
        <v>1099</v>
      </c>
      <c r="C107" s="99" t="s">
        <v>523</v>
      </c>
      <c r="D107" s="98"/>
      <c r="E107" s="100" t="s">
        <v>1089</v>
      </c>
      <c r="F107" s="101" t="n">
        <v>4</v>
      </c>
      <c r="G107" s="101" t="s">
        <v>133</v>
      </c>
      <c r="H107" s="102" t="n">
        <v>90.04</v>
      </c>
      <c r="I107" s="103" t="n">
        <v>360.16</v>
      </c>
      <c r="J107" s="104" t="s">
        <v>525</v>
      </c>
      <c r="K107" s="104" t="n">
        <v>1</v>
      </c>
      <c r="L107" s="101" t="n">
        <v>4</v>
      </c>
      <c r="M107" s="104" t="s">
        <v>902</v>
      </c>
      <c r="N107" s="98"/>
      <c r="O107" s="105" t="n">
        <f aca="false">IF(M107="Y",I107,IF(ISNUMBER(H107),H107*L107,0))</f>
        <v>360.16</v>
      </c>
      <c r="P107" s="106" t="str">
        <f aca="false">IF(J107="","",J107&amp;"|"&amp;A107&amp;"|"&amp;K107)</f>
        <v>R169|Ferguson|1</v>
      </c>
    </row>
    <row r="108" customFormat="false" ht="15" hidden="false" customHeight="false" outlineLevel="0" collapsed="false">
      <c r="A108" s="98" t="s">
        <v>19</v>
      </c>
      <c r="B108" s="99" t="s">
        <v>1100</v>
      </c>
      <c r="C108" s="99" t="s">
        <v>523</v>
      </c>
      <c r="D108" s="98"/>
      <c r="E108" s="100" t="s">
        <v>1091</v>
      </c>
      <c r="F108" s="101" t="n">
        <v>4</v>
      </c>
      <c r="G108" s="101" t="s">
        <v>133</v>
      </c>
      <c r="H108" s="102" t="n">
        <v>25.01</v>
      </c>
      <c r="I108" s="103" t="n">
        <v>100.04</v>
      </c>
      <c r="J108" s="104" t="s">
        <v>525</v>
      </c>
      <c r="K108" s="104" t="n">
        <v>3</v>
      </c>
      <c r="L108" s="101" t="n">
        <v>4</v>
      </c>
      <c r="M108" s="104" t="s">
        <v>902</v>
      </c>
      <c r="N108" s="98"/>
      <c r="O108" s="105" t="n">
        <f aca="false">IF(M108="Y",I108,IF(ISNUMBER(H108),H108*L108,0))</f>
        <v>100.04</v>
      </c>
      <c r="P108" s="106" t="str">
        <f aca="false">IF(J108="","",J108&amp;"|"&amp;A108&amp;"|"&amp;K108)</f>
        <v>R169|Ferguson|3</v>
      </c>
    </row>
    <row r="109" customFormat="false" ht="15" hidden="false" customHeight="false" outlineLevel="0" collapsed="false">
      <c r="A109" s="98" t="s">
        <v>19</v>
      </c>
      <c r="B109" s="99" t="s">
        <v>1101</v>
      </c>
      <c r="C109" s="99" t="s">
        <v>540</v>
      </c>
      <c r="D109" s="98"/>
      <c r="E109" s="100" t="s">
        <v>1102</v>
      </c>
      <c r="F109" s="101" t="n">
        <v>16</v>
      </c>
      <c r="G109" s="101" t="s">
        <v>133</v>
      </c>
      <c r="H109" s="102" t="n">
        <v>3889.27</v>
      </c>
      <c r="I109" s="103" t="n">
        <v>62228.32</v>
      </c>
      <c r="J109" s="104" t="s">
        <v>539</v>
      </c>
      <c r="K109" s="104" t="n">
        <v>1</v>
      </c>
      <c r="L109" s="101" t="n">
        <v>16</v>
      </c>
      <c r="M109" s="104" t="s">
        <v>902</v>
      </c>
      <c r="N109" s="98"/>
      <c r="O109" s="105" t="n">
        <f aca="false">IF(M109="Y",I109,IF(ISNUMBER(H109),H109*L109,0))</f>
        <v>62228.32</v>
      </c>
      <c r="P109" s="106" t="str">
        <f aca="false">IF(J109="","",J109&amp;"|"&amp;A109&amp;"|"&amp;K109)</f>
        <v>R176|Ferguson|1</v>
      </c>
    </row>
    <row r="110" customFormat="false" ht="15" hidden="false" customHeight="false" outlineLevel="0" collapsed="false">
      <c r="A110" s="98" t="s">
        <v>19</v>
      </c>
      <c r="B110" s="99" t="s">
        <v>1103</v>
      </c>
      <c r="C110" s="99" t="s">
        <v>540</v>
      </c>
      <c r="D110" s="98"/>
      <c r="E110" s="100" t="s">
        <v>1030</v>
      </c>
      <c r="F110" s="101" t="n">
        <v>16</v>
      </c>
      <c r="G110" s="101" t="s">
        <v>133</v>
      </c>
      <c r="H110" s="102" t="n">
        <v>169.74</v>
      </c>
      <c r="I110" s="103" t="n">
        <v>2715.84</v>
      </c>
      <c r="J110" s="104" t="s">
        <v>542</v>
      </c>
      <c r="K110" s="104" t="n">
        <v>1</v>
      </c>
      <c r="L110" s="101" t="n">
        <v>16</v>
      </c>
      <c r="M110" s="104" t="s">
        <v>902</v>
      </c>
      <c r="N110" s="98"/>
      <c r="O110" s="105" t="n">
        <f aca="false">IF(M110="Y",I110,IF(ISNUMBER(H110),H110*L110,0))</f>
        <v>2715.84</v>
      </c>
      <c r="P110" s="106" t="str">
        <f aca="false">IF(J110="","",J110&amp;"|"&amp;A110&amp;"|"&amp;K110)</f>
        <v>R178|Ferguson|1</v>
      </c>
    </row>
    <row r="111" customFormat="false" ht="15" hidden="false" customHeight="false" outlineLevel="0" collapsed="false">
      <c r="A111" s="98" t="s">
        <v>19</v>
      </c>
      <c r="B111" s="99" t="s">
        <v>1104</v>
      </c>
      <c r="C111" s="99" t="s">
        <v>540</v>
      </c>
      <c r="D111" s="98"/>
      <c r="E111" s="100" t="s">
        <v>924</v>
      </c>
      <c r="F111" s="101" t="n">
        <v>16</v>
      </c>
      <c r="G111" s="101" t="s">
        <v>133</v>
      </c>
      <c r="H111" s="102" t="n">
        <v>25.42</v>
      </c>
      <c r="I111" s="103" t="n">
        <v>406.72</v>
      </c>
      <c r="J111" s="104" t="s">
        <v>544</v>
      </c>
      <c r="K111" s="104" t="n">
        <v>2</v>
      </c>
      <c r="L111" s="101" t="n">
        <v>16</v>
      </c>
      <c r="M111" s="104" t="s">
        <v>902</v>
      </c>
      <c r="N111" s="98"/>
      <c r="O111" s="105" t="n">
        <f aca="false">IF(M111="Y",I111,IF(ISNUMBER(H111),H111*L111,0))</f>
        <v>406.72</v>
      </c>
      <c r="P111" s="106" t="str">
        <f aca="false">IF(J111="","",J111&amp;"|"&amp;A111&amp;"|"&amp;K111)</f>
        <v>R180|Ferguson|2</v>
      </c>
    </row>
    <row r="112" customFormat="false" ht="15" hidden="false" customHeight="false" outlineLevel="0" collapsed="false">
      <c r="A112" s="98" t="s">
        <v>19</v>
      </c>
      <c r="B112" s="99" t="s">
        <v>1105</v>
      </c>
      <c r="C112" s="99" t="s">
        <v>540</v>
      </c>
      <c r="D112" s="98"/>
      <c r="E112" s="100" t="s">
        <v>922</v>
      </c>
      <c r="F112" s="101" t="n">
        <v>16</v>
      </c>
      <c r="G112" s="101" t="s">
        <v>133</v>
      </c>
      <c r="H112" s="102" t="n">
        <v>45.87</v>
      </c>
      <c r="I112" s="103" t="n">
        <v>733.92</v>
      </c>
      <c r="J112" s="104" t="s">
        <v>544</v>
      </c>
      <c r="K112" s="104" t="n">
        <v>1</v>
      </c>
      <c r="L112" s="101" t="n">
        <v>16</v>
      </c>
      <c r="M112" s="104" t="s">
        <v>902</v>
      </c>
      <c r="N112" s="98"/>
      <c r="O112" s="105" t="n">
        <f aca="false">IF(M112="Y",I112,IF(ISNUMBER(H112),H112*L112,0))</f>
        <v>733.92</v>
      </c>
      <c r="P112" s="106" t="str">
        <f aca="false">IF(J112="","",J112&amp;"|"&amp;A112&amp;"|"&amp;K112)</f>
        <v>R180|Ferguson|1</v>
      </c>
    </row>
    <row r="113" customFormat="false" ht="15" hidden="false" customHeight="false" outlineLevel="0" collapsed="false">
      <c r="A113" s="98" t="s">
        <v>19</v>
      </c>
      <c r="B113" s="99" t="s">
        <v>1106</v>
      </c>
      <c r="C113" s="99" t="s">
        <v>540</v>
      </c>
      <c r="D113" s="98"/>
      <c r="E113" s="100" t="s">
        <v>1107</v>
      </c>
      <c r="F113" s="101" t="n">
        <v>154</v>
      </c>
      <c r="G113" s="101" t="s">
        <v>133</v>
      </c>
      <c r="H113" s="102" t="n">
        <v>259.37</v>
      </c>
      <c r="I113" s="103" t="n">
        <v>39942.98</v>
      </c>
      <c r="J113" s="104" t="s">
        <v>502</v>
      </c>
      <c r="K113" s="104" t="n">
        <v>1</v>
      </c>
      <c r="L113" s="101" t="n">
        <v>154</v>
      </c>
      <c r="M113" s="104" t="s">
        <v>902</v>
      </c>
      <c r="N113" s="98"/>
      <c r="O113" s="105" t="n">
        <f aca="false">IF(M113="Y",I113,IF(ISNUMBER(H113),H113*L113,0))</f>
        <v>39942.98</v>
      </c>
      <c r="P113" s="106" t="str">
        <f aca="false">IF(J113="","",J113&amp;"|"&amp;A113&amp;"|"&amp;K113)</f>
        <v>R159|Ferguson|1</v>
      </c>
    </row>
    <row r="114" customFormat="false" ht="15" hidden="false" customHeight="false" outlineLevel="0" collapsed="false">
      <c r="A114" s="98" t="s">
        <v>19</v>
      </c>
      <c r="B114" s="99" t="s">
        <v>1108</v>
      </c>
      <c r="C114" s="99" t="s">
        <v>540</v>
      </c>
      <c r="D114" s="98"/>
      <c r="E114" s="100" t="s">
        <v>1087</v>
      </c>
      <c r="F114" s="101" t="n">
        <v>16</v>
      </c>
      <c r="G114" s="101" t="s">
        <v>133</v>
      </c>
      <c r="H114" s="102" t="n">
        <v>50</v>
      </c>
      <c r="I114" s="103" t="n">
        <v>800</v>
      </c>
      <c r="J114" s="104" t="s">
        <v>541</v>
      </c>
      <c r="K114" s="104" t="n">
        <v>2</v>
      </c>
      <c r="L114" s="101" t="n">
        <v>16</v>
      </c>
      <c r="M114" s="104" t="s">
        <v>902</v>
      </c>
      <c r="N114" s="98"/>
      <c r="O114" s="105" t="n">
        <f aca="false">IF(M114="Y",I114,IF(ISNUMBER(H114),H114*L114,0))</f>
        <v>800</v>
      </c>
      <c r="P114" s="106" t="str">
        <f aca="false">IF(J114="","",J114&amp;"|"&amp;A114&amp;"|"&amp;K114)</f>
        <v>R177|Ferguson|2</v>
      </c>
    </row>
    <row r="115" customFormat="false" ht="15" hidden="false" customHeight="false" outlineLevel="0" collapsed="false">
      <c r="A115" s="98" t="s">
        <v>19</v>
      </c>
      <c r="B115" s="99" t="s">
        <v>1109</v>
      </c>
      <c r="C115" s="99" t="s">
        <v>540</v>
      </c>
      <c r="D115" s="98"/>
      <c r="E115" s="100" t="s">
        <v>1089</v>
      </c>
      <c r="F115" s="101" t="n">
        <v>16</v>
      </c>
      <c r="G115" s="101" t="s">
        <v>133</v>
      </c>
      <c r="H115" s="102" t="n">
        <v>90.04</v>
      </c>
      <c r="I115" s="103" t="n">
        <v>1440.64</v>
      </c>
      <c r="J115" s="104" t="s">
        <v>541</v>
      </c>
      <c r="K115" s="104" t="n">
        <v>1</v>
      </c>
      <c r="L115" s="101" t="n">
        <v>16</v>
      </c>
      <c r="M115" s="104" t="s">
        <v>902</v>
      </c>
      <c r="N115" s="98"/>
      <c r="O115" s="105" t="n">
        <f aca="false">IF(M115="Y",I115,IF(ISNUMBER(H115),H115*L115,0))</f>
        <v>1440.64</v>
      </c>
      <c r="P115" s="106" t="str">
        <f aca="false">IF(J115="","",J115&amp;"|"&amp;A115&amp;"|"&amp;K115)</f>
        <v>R177|Ferguson|1</v>
      </c>
    </row>
    <row r="116" customFormat="false" ht="15" hidden="false" customHeight="false" outlineLevel="0" collapsed="false">
      <c r="A116" s="98" t="s">
        <v>19</v>
      </c>
      <c r="B116" s="99" t="s">
        <v>1110</v>
      </c>
      <c r="C116" s="99" t="s">
        <v>540</v>
      </c>
      <c r="D116" s="98"/>
      <c r="E116" s="100" t="s">
        <v>1091</v>
      </c>
      <c r="F116" s="101" t="n">
        <v>16</v>
      </c>
      <c r="G116" s="101" t="s">
        <v>133</v>
      </c>
      <c r="H116" s="102" t="n">
        <v>25.01</v>
      </c>
      <c r="I116" s="103" t="n">
        <v>400.16</v>
      </c>
      <c r="J116" s="104" t="s">
        <v>541</v>
      </c>
      <c r="K116" s="104" t="n">
        <v>3</v>
      </c>
      <c r="L116" s="101" t="n">
        <v>16</v>
      </c>
      <c r="M116" s="104" t="s">
        <v>902</v>
      </c>
      <c r="N116" s="98"/>
      <c r="O116" s="105" t="n">
        <f aca="false">IF(M116="Y",I116,IF(ISNUMBER(H116),H116*L116,0))</f>
        <v>400.16</v>
      </c>
      <c r="P116" s="106" t="str">
        <f aca="false">IF(J116="","",J116&amp;"|"&amp;A116&amp;"|"&amp;K116)</f>
        <v>R177|Ferguson|3</v>
      </c>
    </row>
    <row r="117" customFormat="false" ht="15" hidden="false" customHeight="false" outlineLevel="0" collapsed="false">
      <c r="A117" s="98" t="s">
        <v>19</v>
      </c>
      <c r="B117" s="99" t="s">
        <v>1111</v>
      </c>
      <c r="C117" s="99" t="s">
        <v>552</v>
      </c>
      <c r="D117" s="98"/>
      <c r="E117" s="100" t="s">
        <v>1112</v>
      </c>
      <c r="F117" s="101" t="n">
        <v>12</v>
      </c>
      <c r="G117" s="101" t="s">
        <v>133</v>
      </c>
      <c r="H117" s="102" t="n">
        <v>5586.2</v>
      </c>
      <c r="I117" s="103" t="n">
        <v>67034.4</v>
      </c>
      <c r="J117" s="104" t="s">
        <v>551</v>
      </c>
      <c r="K117" s="104" t="n">
        <v>1</v>
      </c>
      <c r="L117" s="101" t="n">
        <v>12</v>
      </c>
      <c r="M117" s="104" t="s">
        <v>902</v>
      </c>
      <c r="N117" s="98"/>
      <c r="O117" s="105" t="n">
        <f aca="false">IF(M117="Y",I117,IF(ISNUMBER(H117),H117*L117,0))</f>
        <v>67034.4</v>
      </c>
      <c r="P117" s="106" t="str">
        <f aca="false">IF(J117="","",J117&amp;"|"&amp;A117&amp;"|"&amp;K117)</f>
        <v>R183|Ferguson|1</v>
      </c>
    </row>
    <row r="118" customFormat="false" ht="15" hidden="false" customHeight="false" outlineLevel="0" collapsed="false">
      <c r="A118" s="98" t="s">
        <v>19</v>
      </c>
      <c r="B118" s="99" t="s">
        <v>1113</v>
      </c>
      <c r="C118" s="99" t="s">
        <v>552</v>
      </c>
      <c r="D118" s="98"/>
      <c r="E118" s="100" t="s">
        <v>1114</v>
      </c>
      <c r="F118" s="101" t="n">
        <v>12</v>
      </c>
      <c r="G118" s="101" t="s">
        <v>133</v>
      </c>
      <c r="H118" s="102" t="n">
        <v>350.06</v>
      </c>
      <c r="I118" s="103" t="n">
        <v>4200.72</v>
      </c>
      <c r="J118" s="104" t="s">
        <v>556</v>
      </c>
      <c r="K118" s="104" t="n">
        <v>1</v>
      </c>
      <c r="L118" s="101" t="n">
        <v>12</v>
      </c>
      <c r="M118" s="104" t="s">
        <v>902</v>
      </c>
      <c r="N118" s="98"/>
      <c r="O118" s="105" t="n">
        <f aca="false">IF(M118="Y",I118,IF(ISNUMBER(H118),H118*L118,0))</f>
        <v>4200.72</v>
      </c>
      <c r="P118" s="106" t="str">
        <f aca="false">IF(J118="","",J118&amp;"|"&amp;A118&amp;"|"&amp;K118)</f>
        <v>R185|Ferguson|1</v>
      </c>
    </row>
    <row r="119" customFormat="false" ht="15" hidden="false" customHeight="false" outlineLevel="0" collapsed="false">
      <c r="A119" s="98" t="s">
        <v>19</v>
      </c>
      <c r="B119" s="99" t="s">
        <v>1115</v>
      </c>
      <c r="C119" s="99" t="s">
        <v>552</v>
      </c>
      <c r="D119" s="98"/>
      <c r="E119" s="100" t="s">
        <v>1036</v>
      </c>
      <c r="F119" s="101" t="n">
        <v>12</v>
      </c>
      <c r="G119" s="101" t="s">
        <v>133</v>
      </c>
      <c r="H119" s="102" t="n">
        <v>51.34</v>
      </c>
      <c r="I119" s="103" t="n">
        <v>616.08</v>
      </c>
      <c r="J119" s="104" t="s">
        <v>558</v>
      </c>
      <c r="K119" s="104" t="n">
        <v>2</v>
      </c>
      <c r="L119" s="101" t="n">
        <v>12</v>
      </c>
      <c r="M119" s="104" t="s">
        <v>902</v>
      </c>
      <c r="N119" s="98"/>
      <c r="O119" s="105" t="n">
        <f aca="false">IF(M119="Y",I119,IF(ISNUMBER(H119),H119*L119,0))</f>
        <v>616.08</v>
      </c>
      <c r="P119" s="106" t="str">
        <f aca="false">IF(J119="","",J119&amp;"|"&amp;A119&amp;"|"&amp;K119)</f>
        <v>R187|Ferguson|2</v>
      </c>
    </row>
    <row r="120" customFormat="false" ht="15" hidden="false" customHeight="false" outlineLevel="0" collapsed="false">
      <c r="A120" s="98" t="s">
        <v>19</v>
      </c>
      <c r="B120" s="99" t="s">
        <v>1116</v>
      </c>
      <c r="C120" s="99" t="s">
        <v>552</v>
      </c>
      <c r="D120" s="98"/>
      <c r="E120" s="100" t="s">
        <v>1034</v>
      </c>
      <c r="F120" s="101" t="n">
        <v>12</v>
      </c>
      <c r="G120" s="101" t="s">
        <v>133</v>
      </c>
      <c r="H120" s="102" t="n">
        <v>86.81</v>
      </c>
      <c r="I120" s="103" t="n">
        <v>1041.72</v>
      </c>
      <c r="J120" s="104" t="s">
        <v>558</v>
      </c>
      <c r="K120" s="104" t="n">
        <v>1</v>
      </c>
      <c r="L120" s="101" t="n">
        <v>12</v>
      </c>
      <c r="M120" s="104" t="s">
        <v>902</v>
      </c>
      <c r="N120" s="98"/>
      <c r="O120" s="105" t="n">
        <f aca="false">IF(M120="Y",I120,IF(ISNUMBER(H120),H120*L120,0))</f>
        <v>1041.72</v>
      </c>
      <c r="P120" s="106" t="str">
        <f aca="false">IF(J120="","",J120&amp;"|"&amp;A120&amp;"|"&amp;K120)</f>
        <v>R187|Ferguson|1</v>
      </c>
    </row>
    <row r="121" customFormat="false" ht="15" hidden="false" customHeight="false" outlineLevel="0" collapsed="false">
      <c r="A121" s="98" t="s">
        <v>19</v>
      </c>
      <c r="B121" s="99" t="s">
        <v>1117</v>
      </c>
      <c r="C121" s="99" t="s">
        <v>552</v>
      </c>
      <c r="D121" s="98"/>
      <c r="E121" s="100" t="s">
        <v>1118</v>
      </c>
      <c r="F121" s="101" t="n">
        <v>89</v>
      </c>
      <c r="G121" s="101" t="s">
        <v>133</v>
      </c>
      <c r="H121" s="102" t="n">
        <v>677.79</v>
      </c>
      <c r="I121" s="103" t="n">
        <v>60323.31</v>
      </c>
      <c r="J121" s="104" t="s">
        <v>486</v>
      </c>
      <c r="K121" s="104" t="n">
        <v>1</v>
      </c>
      <c r="L121" s="101" t="n">
        <v>89</v>
      </c>
      <c r="M121" s="104" t="s">
        <v>902</v>
      </c>
      <c r="N121" s="98"/>
      <c r="O121" s="105" t="n">
        <f aca="false">IF(M121="Y",I121,IF(ISNUMBER(H121),H121*L121,0))</f>
        <v>60323.31</v>
      </c>
      <c r="P121" s="106" t="str">
        <f aca="false">IF(J121="","",J121&amp;"|"&amp;A121&amp;"|"&amp;K121)</f>
        <v>R150|Ferguson|1</v>
      </c>
    </row>
    <row r="122" customFormat="false" ht="15" hidden="false" customHeight="false" outlineLevel="0" collapsed="false">
      <c r="A122" s="98" t="s">
        <v>19</v>
      </c>
      <c r="B122" s="99" t="s">
        <v>1119</v>
      </c>
      <c r="C122" s="99" t="s">
        <v>552</v>
      </c>
      <c r="D122" s="98"/>
      <c r="E122" s="100" t="s">
        <v>1089</v>
      </c>
      <c r="F122" s="101" t="n">
        <v>12</v>
      </c>
      <c r="G122" s="101" t="s">
        <v>133</v>
      </c>
      <c r="H122" s="102" t="n">
        <v>90.04</v>
      </c>
      <c r="I122" s="103" t="n">
        <v>1080.48</v>
      </c>
      <c r="J122" s="104" t="s">
        <v>555</v>
      </c>
      <c r="K122" s="104" t="n">
        <v>1</v>
      </c>
      <c r="L122" s="101" t="n">
        <v>12</v>
      </c>
      <c r="M122" s="104" t="s">
        <v>902</v>
      </c>
      <c r="N122" s="98"/>
      <c r="O122" s="105" t="n">
        <f aca="false">IF(M122="Y",I122,IF(ISNUMBER(H122),H122*L122,0))</f>
        <v>1080.48</v>
      </c>
      <c r="P122" s="106" t="str">
        <f aca="false">IF(J122="","",J122&amp;"|"&amp;A122&amp;"|"&amp;K122)</f>
        <v>R184|Ferguson|1</v>
      </c>
    </row>
    <row r="123" customFormat="false" ht="15" hidden="false" customHeight="false" outlineLevel="0" collapsed="false">
      <c r="A123" s="98" t="s">
        <v>19</v>
      </c>
      <c r="B123" s="99" t="s">
        <v>1120</v>
      </c>
      <c r="C123" s="99" t="s">
        <v>552</v>
      </c>
      <c r="D123" s="98"/>
      <c r="E123" s="100" t="s">
        <v>1087</v>
      </c>
      <c r="F123" s="101" t="n">
        <v>12</v>
      </c>
      <c r="G123" s="101" t="s">
        <v>133</v>
      </c>
      <c r="H123" s="102" t="n">
        <v>50</v>
      </c>
      <c r="I123" s="103" t="n">
        <v>600</v>
      </c>
      <c r="J123" s="104" t="s">
        <v>555</v>
      </c>
      <c r="K123" s="104" t="n">
        <v>2</v>
      </c>
      <c r="L123" s="101" t="n">
        <v>12</v>
      </c>
      <c r="M123" s="104" t="s">
        <v>902</v>
      </c>
      <c r="N123" s="98"/>
      <c r="O123" s="105" t="n">
        <f aca="false">IF(M123="Y",I123,IF(ISNUMBER(H123),H123*L123,0))</f>
        <v>600</v>
      </c>
      <c r="P123" s="106" t="str">
        <f aca="false">IF(J123="","",J123&amp;"|"&amp;A123&amp;"|"&amp;K123)</f>
        <v>R184|Ferguson|2</v>
      </c>
    </row>
    <row r="124" customFormat="false" ht="15" hidden="false" customHeight="false" outlineLevel="0" collapsed="false">
      <c r="A124" s="98" t="s">
        <v>19</v>
      </c>
      <c r="B124" s="99" t="s">
        <v>1121</v>
      </c>
      <c r="C124" s="99" t="s">
        <v>552</v>
      </c>
      <c r="D124" s="98"/>
      <c r="E124" s="100" t="s">
        <v>1091</v>
      </c>
      <c r="F124" s="101" t="n">
        <v>12</v>
      </c>
      <c r="G124" s="101" t="s">
        <v>133</v>
      </c>
      <c r="H124" s="102" t="n">
        <v>25.01</v>
      </c>
      <c r="I124" s="103" t="n">
        <v>300.12</v>
      </c>
      <c r="J124" s="104" t="s">
        <v>555</v>
      </c>
      <c r="K124" s="104" t="n">
        <v>3</v>
      </c>
      <c r="L124" s="101" t="n">
        <v>12</v>
      </c>
      <c r="M124" s="104" t="s">
        <v>902</v>
      </c>
      <c r="N124" s="98"/>
      <c r="O124" s="105" t="n">
        <f aca="false">IF(M124="Y",I124,IF(ISNUMBER(H124),H124*L124,0))</f>
        <v>300.12</v>
      </c>
      <c r="P124" s="106" t="str">
        <f aca="false">IF(J124="","",J124&amp;"|"&amp;A124&amp;"|"&amp;K124)</f>
        <v>R184|Ferguson|3</v>
      </c>
    </row>
    <row r="125" customFormat="false" ht="15" hidden="false" customHeight="false" outlineLevel="0" collapsed="false">
      <c r="A125" s="98" t="s">
        <v>19</v>
      </c>
      <c r="B125" s="99" t="s">
        <v>1122</v>
      </c>
      <c r="C125" s="99" t="s">
        <v>569</v>
      </c>
      <c r="D125" s="98"/>
      <c r="E125" s="100" t="s">
        <v>1123</v>
      </c>
      <c r="F125" s="101" t="n">
        <v>2</v>
      </c>
      <c r="G125" s="101" t="s">
        <v>133</v>
      </c>
      <c r="H125" s="102" t="n">
        <v>328.3</v>
      </c>
      <c r="I125" s="103" t="n">
        <v>656.6</v>
      </c>
      <c r="J125" s="104" t="s">
        <v>568</v>
      </c>
      <c r="K125" s="104" t="n">
        <v>1</v>
      </c>
      <c r="L125" s="101" t="n">
        <v>2</v>
      </c>
      <c r="M125" s="104" t="s">
        <v>902</v>
      </c>
      <c r="N125" s="98"/>
      <c r="O125" s="105" t="n">
        <f aca="false">IF(M125="Y",I125,IF(ISNUMBER(H125),H125*L125,0))</f>
        <v>656.6</v>
      </c>
      <c r="P125" s="106" t="str">
        <f aca="false">IF(J125="","",J125&amp;"|"&amp;A125&amp;"|"&amp;K125)</f>
        <v>R191|Ferguson|1</v>
      </c>
    </row>
    <row r="126" customFormat="false" ht="15" hidden="false" customHeight="false" outlineLevel="0" collapsed="false">
      <c r="A126" s="98" t="s">
        <v>19</v>
      </c>
      <c r="B126" s="99" t="s">
        <v>1124</v>
      </c>
      <c r="C126" s="99" t="s">
        <v>569</v>
      </c>
      <c r="D126" s="98"/>
      <c r="E126" s="100" t="s">
        <v>1030</v>
      </c>
      <c r="F126" s="101" t="n">
        <v>4</v>
      </c>
      <c r="G126" s="101" t="s">
        <v>133</v>
      </c>
      <c r="H126" s="102" t="n">
        <v>169.74</v>
      </c>
      <c r="I126" s="103" t="n">
        <v>678.96</v>
      </c>
      <c r="J126" s="104" t="s">
        <v>571</v>
      </c>
      <c r="K126" s="104" t="n">
        <v>1</v>
      </c>
      <c r="L126" s="101" t="n">
        <v>4</v>
      </c>
      <c r="M126" s="104" t="s">
        <v>902</v>
      </c>
      <c r="N126" s="98"/>
      <c r="O126" s="105" t="n">
        <f aca="false">IF(M126="Y",I126,IF(ISNUMBER(H126),H126*L126,0))</f>
        <v>678.96</v>
      </c>
      <c r="P126" s="106" t="str">
        <f aca="false">IF(J126="","",J126&amp;"|"&amp;A126&amp;"|"&amp;K126)</f>
        <v>R192|Ferguson|1</v>
      </c>
    </row>
    <row r="127" customFormat="false" ht="15" hidden="false" customHeight="false" outlineLevel="0" collapsed="false">
      <c r="A127" s="98" t="s">
        <v>19</v>
      </c>
      <c r="B127" s="99" t="s">
        <v>1125</v>
      </c>
      <c r="C127" s="99" t="s">
        <v>574</v>
      </c>
      <c r="D127" s="98"/>
      <c r="E127" s="100" t="s">
        <v>1126</v>
      </c>
      <c r="F127" s="101" t="n">
        <v>1</v>
      </c>
      <c r="G127" s="101" t="s">
        <v>133</v>
      </c>
      <c r="H127" s="102" t="n">
        <v>400.55</v>
      </c>
      <c r="I127" s="103" t="n">
        <v>400.55</v>
      </c>
      <c r="J127" s="104" t="s">
        <v>573</v>
      </c>
      <c r="K127" s="104" t="n">
        <v>1</v>
      </c>
      <c r="L127" s="101" t="n">
        <v>1</v>
      </c>
      <c r="M127" s="104" t="s">
        <v>902</v>
      </c>
      <c r="N127" s="98"/>
      <c r="O127" s="105" t="n">
        <f aca="false">IF(M127="Y",I127,IF(ISNUMBER(H127),H127*L127,0))</f>
        <v>400.55</v>
      </c>
      <c r="P127" s="106" t="str">
        <f aca="false">IF(J127="","",J127&amp;"|"&amp;A127&amp;"|"&amp;K127)</f>
        <v>R193|Ferguson|1</v>
      </c>
    </row>
    <row r="128" customFormat="false" ht="15" hidden="false" customHeight="false" outlineLevel="0" collapsed="false">
      <c r="A128" s="98" t="s">
        <v>19</v>
      </c>
      <c r="B128" s="99" t="s">
        <v>1127</v>
      </c>
      <c r="C128" s="99" t="s">
        <v>574</v>
      </c>
      <c r="D128" s="98"/>
      <c r="E128" s="100" t="s">
        <v>1030</v>
      </c>
      <c r="F128" s="101" t="n">
        <v>2</v>
      </c>
      <c r="G128" s="101" t="s">
        <v>133</v>
      </c>
      <c r="H128" s="102" t="n">
        <v>169.74</v>
      </c>
      <c r="I128" s="103" t="n">
        <v>339.48</v>
      </c>
      <c r="J128" s="104" t="s">
        <v>576</v>
      </c>
      <c r="K128" s="104" t="n">
        <v>1</v>
      </c>
      <c r="L128" s="101" t="n">
        <v>2</v>
      </c>
      <c r="M128" s="104" t="s">
        <v>902</v>
      </c>
      <c r="N128" s="98"/>
      <c r="O128" s="105" t="n">
        <f aca="false">IF(M128="Y",I128,IF(ISNUMBER(H128),H128*L128,0))</f>
        <v>339.48</v>
      </c>
      <c r="P128" s="106" t="str">
        <f aca="false">IF(J128="","",J128&amp;"|"&amp;A128&amp;"|"&amp;K128)</f>
        <v>R194|Ferguson|1</v>
      </c>
    </row>
    <row r="129" customFormat="false" ht="15" hidden="false" customHeight="false" outlineLevel="0" collapsed="false">
      <c r="A129" s="98" t="s">
        <v>19</v>
      </c>
      <c r="B129" s="99" t="s">
        <v>1128</v>
      </c>
      <c r="C129" s="99" t="s">
        <v>579</v>
      </c>
      <c r="D129" s="98"/>
      <c r="E129" s="100" t="s">
        <v>1129</v>
      </c>
      <c r="F129" s="101" t="n">
        <v>11</v>
      </c>
      <c r="G129" s="101" t="s">
        <v>133</v>
      </c>
      <c r="H129" s="102" t="n">
        <v>1159.71</v>
      </c>
      <c r="I129" s="103" t="n">
        <v>12756.81</v>
      </c>
      <c r="J129" s="104" t="s">
        <v>578</v>
      </c>
      <c r="K129" s="104" t="n">
        <v>1</v>
      </c>
      <c r="L129" s="101" t="n">
        <v>11</v>
      </c>
      <c r="M129" s="104" t="s">
        <v>902</v>
      </c>
      <c r="N129" s="98"/>
      <c r="O129" s="105" t="n">
        <f aca="false">IF(M129="Y",I129,IF(ISNUMBER(H129),H129*L129,0))</f>
        <v>12756.81</v>
      </c>
      <c r="P129" s="106" t="str">
        <f aca="false">IF(J129="","",J129&amp;"|"&amp;A129&amp;"|"&amp;K129)</f>
        <v>R195|Ferguson|1</v>
      </c>
    </row>
    <row r="130" customFormat="false" ht="15" hidden="false" customHeight="false" outlineLevel="0" collapsed="false">
      <c r="A130" s="98" t="s">
        <v>19</v>
      </c>
      <c r="B130" s="99" t="s">
        <v>1130</v>
      </c>
      <c r="C130" s="99" t="s">
        <v>579</v>
      </c>
      <c r="D130" s="98"/>
      <c r="E130" s="100" t="s">
        <v>1131</v>
      </c>
      <c r="F130" s="101" t="n">
        <v>1</v>
      </c>
      <c r="G130" s="101" t="s">
        <v>133</v>
      </c>
      <c r="H130" s="102" t="n">
        <v>599.85</v>
      </c>
      <c r="I130" s="103" t="n">
        <v>599.85</v>
      </c>
      <c r="J130" s="104" t="s">
        <v>581</v>
      </c>
      <c r="K130" s="104" t="n">
        <v>1</v>
      </c>
      <c r="L130" s="101" t="n">
        <v>1</v>
      </c>
      <c r="M130" s="104" t="s">
        <v>902</v>
      </c>
      <c r="N130" s="98"/>
      <c r="O130" s="105" t="n">
        <f aca="false">IF(M130="Y",I130,IF(ISNUMBER(H130),H130*L130,0))</f>
        <v>599.85</v>
      </c>
      <c r="P130" s="106" t="str">
        <f aca="false">IF(J130="","",J130&amp;"|"&amp;A130&amp;"|"&amp;K130)</f>
        <v>R196|Ferguson|1</v>
      </c>
    </row>
    <row r="131" customFormat="false" ht="15" hidden="false" customHeight="false" outlineLevel="0" collapsed="false">
      <c r="A131" s="98" t="s">
        <v>19</v>
      </c>
      <c r="B131" s="99" t="s">
        <v>1132</v>
      </c>
      <c r="C131" s="99" t="s">
        <v>579</v>
      </c>
      <c r="D131" s="98"/>
      <c r="E131" s="100" t="s">
        <v>962</v>
      </c>
      <c r="F131" s="101" t="n">
        <v>8</v>
      </c>
      <c r="G131" s="101" t="s">
        <v>133</v>
      </c>
      <c r="H131" s="102" t="n">
        <v>419.9</v>
      </c>
      <c r="I131" s="103" t="n">
        <v>3359.2</v>
      </c>
      <c r="J131" s="104" t="s">
        <v>583</v>
      </c>
      <c r="K131" s="104" t="n">
        <v>1</v>
      </c>
      <c r="L131" s="101" t="n">
        <v>8</v>
      </c>
      <c r="M131" s="104" t="s">
        <v>902</v>
      </c>
      <c r="N131" s="98"/>
      <c r="O131" s="105" t="n">
        <f aca="false">IF(M131="Y",I131,IF(ISNUMBER(H131),H131*L131,0))</f>
        <v>3359.2</v>
      </c>
      <c r="P131" s="106" t="str">
        <f aca="false">IF(J131="","",J131&amp;"|"&amp;A131&amp;"|"&amp;K131)</f>
        <v>R197|Ferguson|1</v>
      </c>
    </row>
    <row r="132" customFormat="false" ht="15" hidden="false" customHeight="false" outlineLevel="0" collapsed="false">
      <c r="A132" s="98" t="s">
        <v>19</v>
      </c>
      <c r="B132" s="99" t="s">
        <v>1133</v>
      </c>
      <c r="C132" s="99" t="s">
        <v>579</v>
      </c>
      <c r="D132" s="98"/>
      <c r="E132" s="100" t="s">
        <v>1030</v>
      </c>
      <c r="F132" s="101" t="n">
        <v>10</v>
      </c>
      <c r="G132" s="101" t="s">
        <v>133</v>
      </c>
      <c r="H132" s="102" t="n">
        <v>169.74</v>
      </c>
      <c r="I132" s="103" t="n">
        <v>1697.4</v>
      </c>
      <c r="J132" s="104" t="s">
        <v>585</v>
      </c>
      <c r="K132" s="104" t="n">
        <v>1</v>
      </c>
      <c r="L132" s="101" t="n">
        <v>10</v>
      </c>
      <c r="M132" s="104" t="s">
        <v>902</v>
      </c>
      <c r="N132" s="98"/>
      <c r="O132" s="105" t="n">
        <f aca="false">IF(M132="Y",I132,IF(ISNUMBER(H132),H132*L132,0))</f>
        <v>1697.4</v>
      </c>
      <c r="P132" s="106" t="str">
        <f aca="false">IF(J132="","",J132&amp;"|"&amp;A132&amp;"|"&amp;K132)</f>
        <v>R198|Ferguson|1</v>
      </c>
    </row>
    <row r="133" customFormat="false" ht="15" hidden="false" customHeight="false" outlineLevel="0" collapsed="false">
      <c r="A133" s="98" t="s">
        <v>19</v>
      </c>
      <c r="B133" s="99" t="s">
        <v>1134</v>
      </c>
      <c r="C133" s="99" t="s">
        <v>579</v>
      </c>
      <c r="D133" s="98"/>
      <c r="E133" s="100" t="s">
        <v>924</v>
      </c>
      <c r="F133" s="101" t="n">
        <v>8</v>
      </c>
      <c r="G133" s="101" t="s">
        <v>133</v>
      </c>
      <c r="H133" s="102" t="n">
        <v>25.42</v>
      </c>
      <c r="I133" s="103" t="n">
        <v>203.36</v>
      </c>
      <c r="J133" s="104" t="s">
        <v>586</v>
      </c>
      <c r="K133" s="104" t="n">
        <v>2</v>
      </c>
      <c r="L133" s="101" t="n">
        <v>8</v>
      </c>
      <c r="M133" s="104" t="s">
        <v>902</v>
      </c>
      <c r="N133" s="98"/>
      <c r="O133" s="105" t="n">
        <f aca="false">IF(M133="Y",I133,IF(ISNUMBER(H133),H133*L133,0))</f>
        <v>203.36</v>
      </c>
      <c r="P133" s="106" t="str">
        <f aca="false">IF(J133="","",J133&amp;"|"&amp;A133&amp;"|"&amp;K133)</f>
        <v>R199|Ferguson|2</v>
      </c>
    </row>
    <row r="134" customFormat="false" ht="15" hidden="false" customHeight="false" outlineLevel="0" collapsed="false">
      <c r="A134" s="98" t="s">
        <v>19</v>
      </c>
      <c r="B134" s="99" t="s">
        <v>1135</v>
      </c>
      <c r="C134" s="99" t="s">
        <v>579</v>
      </c>
      <c r="D134" s="98"/>
      <c r="E134" s="100" t="s">
        <v>922</v>
      </c>
      <c r="F134" s="101" t="n">
        <v>8</v>
      </c>
      <c r="G134" s="101" t="s">
        <v>133</v>
      </c>
      <c r="H134" s="102" t="n">
        <v>45.87</v>
      </c>
      <c r="I134" s="103" t="n">
        <v>366.96</v>
      </c>
      <c r="J134" s="104" t="s">
        <v>586</v>
      </c>
      <c r="K134" s="104" t="n">
        <v>1</v>
      </c>
      <c r="L134" s="101" t="n">
        <v>8</v>
      </c>
      <c r="M134" s="104" t="s">
        <v>902</v>
      </c>
      <c r="N134" s="98"/>
      <c r="O134" s="105" t="n">
        <f aca="false">IF(M134="Y",I134,IF(ISNUMBER(H134),H134*L134,0))</f>
        <v>366.96</v>
      </c>
      <c r="P134" s="106" t="str">
        <f aca="false">IF(J134="","",J134&amp;"|"&amp;A134&amp;"|"&amp;K134)</f>
        <v>R199|Ferguson|1</v>
      </c>
    </row>
    <row r="135" customFormat="false" ht="15" hidden="false" customHeight="false" outlineLevel="0" collapsed="false">
      <c r="A135" s="98" t="s">
        <v>19</v>
      </c>
      <c r="B135" s="99" t="s">
        <v>1136</v>
      </c>
      <c r="C135" s="99" t="s">
        <v>591</v>
      </c>
      <c r="D135" s="98"/>
      <c r="E135" s="100" t="s">
        <v>1137</v>
      </c>
      <c r="F135" s="101" t="n">
        <v>2</v>
      </c>
      <c r="G135" s="101" t="s">
        <v>133</v>
      </c>
      <c r="H135" s="102" t="n">
        <v>2104.64</v>
      </c>
      <c r="I135" s="103" t="n">
        <v>4209.28</v>
      </c>
      <c r="J135" s="104" t="s">
        <v>590</v>
      </c>
      <c r="K135" s="104" t="n">
        <v>1</v>
      </c>
      <c r="L135" s="101" t="n">
        <v>2</v>
      </c>
      <c r="M135" s="104" t="s">
        <v>902</v>
      </c>
      <c r="N135" s="98"/>
      <c r="O135" s="105" t="n">
        <f aca="false">IF(M135="Y",I135,IF(ISNUMBER(H135),H135*L135,0))</f>
        <v>4209.28</v>
      </c>
      <c r="P135" s="106" t="str">
        <f aca="false">IF(J135="","",J135&amp;"|"&amp;A135&amp;"|"&amp;K135)</f>
        <v>R201|Ferguson|1</v>
      </c>
    </row>
    <row r="136" customFormat="false" ht="15" hidden="false" customHeight="false" outlineLevel="0" collapsed="false">
      <c r="A136" s="98" t="s">
        <v>19</v>
      </c>
      <c r="B136" s="99" t="s">
        <v>1138</v>
      </c>
      <c r="C136" s="99" t="s">
        <v>591</v>
      </c>
      <c r="D136" s="98"/>
      <c r="E136" s="100" t="s">
        <v>1139</v>
      </c>
      <c r="F136" s="101" t="n">
        <v>1</v>
      </c>
      <c r="G136" s="101" t="s">
        <v>133</v>
      </c>
      <c r="H136" s="102" t="n">
        <v>760.46</v>
      </c>
      <c r="I136" s="103" t="n">
        <v>760.46</v>
      </c>
      <c r="J136" s="104" t="s">
        <v>595</v>
      </c>
      <c r="K136" s="104" t="n">
        <v>1</v>
      </c>
      <c r="L136" s="101" t="n">
        <v>1</v>
      </c>
      <c r="M136" s="104" t="s">
        <v>902</v>
      </c>
      <c r="N136" s="98"/>
      <c r="O136" s="105" t="n">
        <f aca="false">IF(M136="Y",I136,IF(ISNUMBER(H136),H136*L136,0))</f>
        <v>760.46</v>
      </c>
      <c r="P136" s="106" t="str">
        <f aca="false">IF(J136="","",J136&amp;"|"&amp;A136&amp;"|"&amp;K136)</f>
        <v>R203|Ferguson|1</v>
      </c>
    </row>
    <row r="137" customFormat="false" ht="15" hidden="false" customHeight="false" outlineLevel="0" collapsed="false">
      <c r="A137" s="98" t="s">
        <v>19</v>
      </c>
      <c r="B137" s="99" t="s">
        <v>1140</v>
      </c>
      <c r="C137" s="99" t="s">
        <v>591</v>
      </c>
      <c r="D137" s="98"/>
      <c r="E137" s="100" t="s">
        <v>916</v>
      </c>
      <c r="F137" s="101" t="n">
        <v>1</v>
      </c>
      <c r="G137" s="101" t="s">
        <v>133</v>
      </c>
      <c r="H137" s="102" t="n">
        <v>232.95</v>
      </c>
      <c r="I137" s="103" t="n">
        <v>232.95</v>
      </c>
      <c r="J137" s="104" t="s">
        <v>597</v>
      </c>
      <c r="K137" s="104" t="n">
        <v>1</v>
      </c>
      <c r="L137" s="101" t="n">
        <v>1</v>
      </c>
      <c r="M137" s="104" t="s">
        <v>902</v>
      </c>
      <c r="N137" s="98"/>
      <c r="O137" s="105" t="n">
        <f aca="false">IF(M137="Y",I137,IF(ISNUMBER(H137),H137*L137,0))</f>
        <v>232.95</v>
      </c>
      <c r="P137" s="106" t="str">
        <f aca="false">IF(J137="","",J137&amp;"|"&amp;A137&amp;"|"&amp;K137)</f>
        <v>R204|Ferguson|1</v>
      </c>
    </row>
    <row r="138" customFormat="false" ht="15" hidden="false" customHeight="false" outlineLevel="0" collapsed="false">
      <c r="A138" s="98" t="s">
        <v>19</v>
      </c>
      <c r="B138" s="99" t="s">
        <v>1141</v>
      </c>
      <c r="C138" s="99" t="s">
        <v>591</v>
      </c>
      <c r="D138" s="98"/>
      <c r="E138" s="100" t="s">
        <v>1036</v>
      </c>
      <c r="F138" s="101" t="n">
        <v>1</v>
      </c>
      <c r="G138" s="101" t="s">
        <v>133</v>
      </c>
      <c r="H138" s="102" t="n">
        <v>51.34</v>
      </c>
      <c r="I138" s="103" t="n">
        <v>51.34</v>
      </c>
      <c r="J138" s="104" t="s">
        <v>599</v>
      </c>
      <c r="K138" s="104" t="n">
        <v>2</v>
      </c>
      <c r="L138" s="101" t="n">
        <v>1</v>
      </c>
      <c r="M138" s="104" t="s">
        <v>902</v>
      </c>
      <c r="N138" s="98"/>
      <c r="O138" s="105" t="n">
        <f aca="false">IF(M138="Y",I138,IF(ISNUMBER(H138),H138*L138,0))</f>
        <v>51.34</v>
      </c>
      <c r="P138" s="106" t="str">
        <f aca="false">IF(J138="","",J138&amp;"|"&amp;A138&amp;"|"&amp;K138)</f>
        <v>R205|Ferguson|2</v>
      </c>
    </row>
    <row r="139" customFormat="false" ht="15" hidden="false" customHeight="false" outlineLevel="0" collapsed="false">
      <c r="A139" s="98" t="s">
        <v>19</v>
      </c>
      <c r="B139" s="99" t="s">
        <v>1142</v>
      </c>
      <c r="C139" s="99" t="s">
        <v>591</v>
      </c>
      <c r="D139" s="98"/>
      <c r="E139" s="100" t="s">
        <v>1034</v>
      </c>
      <c r="F139" s="101" t="n">
        <v>1</v>
      </c>
      <c r="G139" s="101" t="s">
        <v>133</v>
      </c>
      <c r="H139" s="102" t="n">
        <v>86.81</v>
      </c>
      <c r="I139" s="103" t="n">
        <v>86.81</v>
      </c>
      <c r="J139" s="104" t="s">
        <v>599</v>
      </c>
      <c r="K139" s="104" t="n">
        <v>1</v>
      </c>
      <c r="L139" s="101" t="n">
        <v>1</v>
      </c>
      <c r="M139" s="104" t="s">
        <v>902</v>
      </c>
      <c r="N139" s="98"/>
      <c r="O139" s="105" t="n">
        <f aca="false">IF(M139="Y",I139,IF(ISNUMBER(H139),H139*L139,0))</f>
        <v>86.81</v>
      </c>
      <c r="P139" s="106" t="str">
        <f aca="false">IF(J139="","",J139&amp;"|"&amp;A139&amp;"|"&amp;K139)</f>
        <v>R205|Ferguson|1</v>
      </c>
    </row>
    <row r="140" customFormat="false" ht="15" hidden="false" customHeight="false" outlineLevel="0" collapsed="false">
      <c r="A140" s="98" t="s">
        <v>19</v>
      </c>
      <c r="B140" s="99" t="s">
        <v>1143</v>
      </c>
      <c r="C140" s="99" t="s">
        <v>604</v>
      </c>
      <c r="D140" s="98"/>
      <c r="E140" s="100" t="s">
        <v>1144</v>
      </c>
      <c r="F140" s="101" t="n">
        <v>1</v>
      </c>
      <c r="G140" s="101" t="s">
        <v>133</v>
      </c>
      <c r="H140" s="102" t="n">
        <v>2275.56</v>
      </c>
      <c r="I140" s="103" t="n">
        <v>2275.56</v>
      </c>
      <c r="J140" s="104" t="s">
        <v>603</v>
      </c>
      <c r="K140" s="104" t="n">
        <v>1</v>
      </c>
      <c r="L140" s="101" t="n">
        <v>1</v>
      </c>
      <c r="M140" s="104" t="s">
        <v>902</v>
      </c>
      <c r="N140" s="98"/>
      <c r="O140" s="105" t="n">
        <f aca="false">IF(M140="Y",I140,IF(ISNUMBER(H140),H140*L140,0))</f>
        <v>2275.56</v>
      </c>
      <c r="P140" s="106" t="str">
        <f aca="false">IF(J140="","",J140&amp;"|"&amp;A140&amp;"|"&amp;K140)</f>
        <v>R207|Ferguson|1</v>
      </c>
    </row>
    <row r="141" customFormat="false" ht="15" hidden="false" customHeight="false" outlineLevel="0" collapsed="false">
      <c r="A141" s="98" t="s">
        <v>19</v>
      </c>
      <c r="B141" s="99" t="s">
        <v>1145</v>
      </c>
      <c r="C141" s="99" t="s">
        <v>604</v>
      </c>
      <c r="D141" s="98"/>
      <c r="E141" s="100" t="s">
        <v>1146</v>
      </c>
      <c r="F141" s="101" t="n">
        <v>1</v>
      </c>
      <c r="G141" s="101" t="s">
        <v>133</v>
      </c>
      <c r="H141" s="102" t="n">
        <v>704.98</v>
      </c>
      <c r="I141" s="103" t="n">
        <v>704.98</v>
      </c>
      <c r="J141" s="104" t="s">
        <v>606</v>
      </c>
      <c r="K141" s="104" t="n">
        <v>1</v>
      </c>
      <c r="L141" s="101" t="n">
        <v>1</v>
      </c>
      <c r="M141" s="104" t="s">
        <v>902</v>
      </c>
      <c r="N141" s="98"/>
      <c r="O141" s="105" t="n">
        <f aca="false">IF(M141="Y",I141,IF(ISNUMBER(H141),H141*L141,0))</f>
        <v>704.98</v>
      </c>
      <c r="P141" s="106" t="str">
        <f aca="false">IF(J141="","",J141&amp;"|"&amp;A141&amp;"|"&amp;K141)</f>
        <v>R208|Ferguson|1</v>
      </c>
    </row>
    <row r="142" customFormat="false" ht="15" hidden="false" customHeight="false" outlineLevel="0" collapsed="false">
      <c r="A142" s="98" t="s">
        <v>19</v>
      </c>
      <c r="B142" s="99" t="s">
        <v>1147</v>
      </c>
      <c r="C142" s="99" t="s">
        <v>604</v>
      </c>
      <c r="D142" s="98"/>
      <c r="E142" s="100" t="s">
        <v>916</v>
      </c>
      <c r="F142" s="101" t="n">
        <v>2</v>
      </c>
      <c r="G142" s="101" t="s">
        <v>133</v>
      </c>
      <c r="H142" s="102" t="n">
        <v>232.95</v>
      </c>
      <c r="I142" s="103" t="n">
        <v>465.9</v>
      </c>
      <c r="J142" s="104" t="s">
        <v>609</v>
      </c>
      <c r="K142" s="104" t="n">
        <v>1</v>
      </c>
      <c r="L142" s="101" t="n">
        <v>2</v>
      </c>
      <c r="M142" s="104" t="s">
        <v>902</v>
      </c>
      <c r="N142" s="98"/>
      <c r="O142" s="105" t="n">
        <f aca="false">IF(M142="Y",I142,IF(ISNUMBER(H142),H142*L142,0))</f>
        <v>465.9</v>
      </c>
      <c r="P142" s="106" t="str">
        <f aca="false">IF(J142="","",J142&amp;"|"&amp;A142&amp;"|"&amp;K142)</f>
        <v>R209|Ferguson|1</v>
      </c>
    </row>
    <row r="143" customFormat="false" ht="15" hidden="false" customHeight="false" outlineLevel="0" collapsed="false">
      <c r="A143" s="98" t="s">
        <v>19</v>
      </c>
      <c r="B143" s="99" t="s">
        <v>1148</v>
      </c>
      <c r="C143" s="99" t="s">
        <v>616</v>
      </c>
      <c r="D143" s="98"/>
      <c r="E143" s="100" t="s">
        <v>1149</v>
      </c>
      <c r="F143" s="101" t="n">
        <v>1</v>
      </c>
      <c r="G143" s="101" t="s">
        <v>133</v>
      </c>
      <c r="H143" s="102" t="n">
        <v>17395.7</v>
      </c>
      <c r="I143" s="103" t="n">
        <v>17395.7</v>
      </c>
      <c r="J143" s="104" t="s">
        <v>615</v>
      </c>
      <c r="K143" s="104" t="n">
        <v>1</v>
      </c>
      <c r="L143" s="101" t="n">
        <v>1</v>
      </c>
      <c r="M143" s="104" t="s">
        <v>902</v>
      </c>
      <c r="N143" s="98"/>
      <c r="O143" s="105" t="n">
        <f aca="false">IF(M143="Y",I143,IF(ISNUMBER(H143),H143*L143,0))</f>
        <v>17395.7</v>
      </c>
      <c r="P143" s="106" t="str">
        <f aca="false">IF(J143="","",J143&amp;"|"&amp;A143&amp;"|"&amp;K143)</f>
        <v>R212|Ferguson|1</v>
      </c>
    </row>
    <row r="144" customFormat="false" ht="15" hidden="false" customHeight="false" outlineLevel="0" collapsed="false">
      <c r="A144" s="98" t="s">
        <v>19</v>
      </c>
      <c r="B144" s="99" t="s">
        <v>1150</v>
      </c>
      <c r="C144" s="99" t="s">
        <v>616</v>
      </c>
      <c r="D144" s="98"/>
      <c r="E144" s="100" t="s">
        <v>1151</v>
      </c>
      <c r="F144" s="101" t="n">
        <v>1</v>
      </c>
      <c r="G144" s="101" t="s">
        <v>133</v>
      </c>
      <c r="H144" s="102" t="n">
        <v>4336.98</v>
      </c>
      <c r="I144" s="103" t="n">
        <v>4336.98</v>
      </c>
      <c r="J144" s="104" t="s">
        <v>618</v>
      </c>
      <c r="K144" s="104" t="n">
        <v>1</v>
      </c>
      <c r="L144" s="101" t="n">
        <v>1</v>
      </c>
      <c r="M144" s="104" t="s">
        <v>902</v>
      </c>
      <c r="N144" s="98"/>
      <c r="O144" s="105" t="n">
        <f aca="false">IF(M144="Y",I144,IF(ISNUMBER(H144),H144*L144,0))</f>
        <v>4336.98</v>
      </c>
      <c r="P144" s="106" t="str">
        <f aca="false">IF(J144="","",J144&amp;"|"&amp;A144&amp;"|"&amp;K144)</f>
        <v>R213|Ferguson|1</v>
      </c>
    </row>
    <row r="145" customFormat="false" ht="15" hidden="false" customHeight="false" outlineLevel="0" collapsed="false">
      <c r="A145" s="98" t="s">
        <v>19</v>
      </c>
      <c r="B145" s="99" t="s">
        <v>1152</v>
      </c>
      <c r="C145" s="99" t="s">
        <v>616</v>
      </c>
      <c r="D145" s="98"/>
      <c r="E145" s="100" t="s">
        <v>1153</v>
      </c>
      <c r="F145" s="101" t="n">
        <v>4</v>
      </c>
      <c r="G145" s="101" t="s">
        <v>133</v>
      </c>
      <c r="H145" s="102" t="n">
        <v>1028.27</v>
      </c>
      <c r="I145" s="103" t="n">
        <v>4113.08</v>
      </c>
      <c r="J145" s="104" t="s">
        <v>620</v>
      </c>
      <c r="K145" s="104" t="n">
        <v>1</v>
      </c>
      <c r="L145" s="101" t="n">
        <v>4</v>
      </c>
      <c r="M145" s="104" t="s">
        <v>902</v>
      </c>
      <c r="N145" s="98"/>
      <c r="O145" s="105" t="n">
        <f aca="false">IF(M145="Y",I145,IF(ISNUMBER(H145),H145*L145,0))</f>
        <v>4113.08</v>
      </c>
      <c r="P145" s="106" t="str">
        <f aca="false">IF(J145="","",J145&amp;"|"&amp;A145&amp;"|"&amp;K145)</f>
        <v>R214|Ferguson|1</v>
      </c>
    </row>
    <row r="146" customFormat="false" ht="15" hidden="false" customHeight="false" outlineLevel="0" collapsed="false">
      <c r="A146" s="98" t="s">
        <v>19</v>
      </c>
      <c r="B146" s="99" t="s">
        <v>1154</v>
      </c>
      <c r="C146" s="99" t="s">
        <v>629</v>
      </c>
      <c r="D146" s="98"/>
      <c r="E146" s="100" t="s">
        <v>1155</v>
      </c>
      <c r="F146" s="101" t="n">
        <v>3</v>
      </c>
      <c r="G146" s="101" t="s">
        <v>133</v>
      </c>
      <c r="H146" s="102" t="n">
        <v>3239.83</v>
      </c>
      <c r="I146" s="103" t="n">
        <v>9719.49</v>
      </c>
      <c r="J146" s="104" t="s">
        <v>628</v>
      </c>
      <c r="K146" s="104" t="n">
        <v>1</v>
      </c>
      <c r="L146" s="101" t="n">
        <v>3</v>
      </c>
      <c r="M146" s="104" t="s">
        <v>902</v>
      </c>
      <c r="N146" s="98"/>
      <c r="O146" s="105" t="n">
        <f aca="false">IF(M146="Y",I146,IF(ISNUMBER(H146),H146*L146,0))</f>
        <v>9719.49</v>
      </c>
      <c r="P146" s="106" t="str">
        <f aca="false">IF(J146="","",J146&amp;"|"&amp;A146&amp;"|"&amp;K146)</f>
        <v>R217|Ferguson|1</v>
      </c>
    </row>
    <row r="147" customFormat="false" ht="15" hidden="false" customHeight="false" outlineLevel="0" collapsed="false">
      <c r="A147" s="98" t="s">
        <v>19</v>
      </c>
      <c r="B147" s="99" t="s">
        <v>1156</v>
      </c>
      <c r="C147" s="99" t="s">
        <v>636</v>
      </c>
      <c r="D147" s="98"/>
      <c r="E147" s="100" t="s">
        <v>1157</v>
      </c>
      <c r="F147" s="101" t="n">
        <v>2</v>
      </c>
      <c r="G147" s="101" t="s">
        <v>133</v>
      </c>
      <c r="H147" s="102" t="n">
        <v>143.84</v>
      </c>
      <c r="I147" s="103" t="n">
        <v>287.68</v>
      </c>
      <c r="J147" s="104" t="s">
        <v>635</v>
      </c>
      <c r="K147" s="104" t="n">
        <v>1</v>
      </c>
      <c r="L147" s="101" t="n">
        <v>2</v>
      </c>
      <c r="M147" s="104" t="s">
        <v>902</v>
      </c>
      <c r="N147" s="98"/>
      <c r="O147" s="105" t="n">
        <f aca="false">IF(M147="Y",I147,IF(ISNUMBER(H147),H147*L147,0))</f>
        <v>287.68</v>
      </c>
      <c r="P147" s="106" t="str">
        <f aca="false">IF(J147="","",J147&amp;"|"&amp;A147&amp;"|"&amp;K147)</f>
        <v>R220|Ferguson|1</v>
      </c>
    </row>
    <row r="148" customFormat="false" ht="15" hidden="false" customHeight="false" outlineLevel="0" collapsed="false">
      <c r="A148" s="98" t="s">
        <v>19</v>
      </c>
      <c r="B148" s="99" t="s">
        <v>1158</v>
      </c>
      <c r="C148" s="99" t="s">
        <v>636</v>
      </c>
      <c r="D148" s="98"/>
      <c r="E148" s="100" t="s">
        <v>1159</v>
      </c>
      <c r="F148" s="101" t="n">
        <v>2</v>
      </c>
      <c r="G148" s="101" t="s">
        <v>133</v>
      </c>
      <c r="H148" s="102" t="n">
        <v>80.96</v>
      </c>
      <c r="I148" s="103" t="n">
        <v>161.92</v>
      </c>
      <c r="J148" s="104" t="s">
        <v>643</v>
      </c>
      <c r="K148" s="104" t="n">
        <v>1</v>
      </c>
      <c r="L148" s="101" t="n">
        <v>2</v>
      </c>
      <c r="M148" s="104" t="s">
        <v>902</v>
      </c>
      <c r="N148" s="98"/>
      <c r="O148" s="105" t="n">
        <f aca="false">IF(M148="Y",I148,IF(ISNUMBER(H148),H148*L148,0))</f>
        <v>161.92</v>
      </c>
      <c r="P148" s="106" t="str">
        <f aca="false">IF(J148="","",J148&amp;"|"&amp;A148&amp;"|"&amp;K148)</f>
        <v>R223|Ferguson|1</v>
      </c>
    </row>
    <row r="149" customFormat="false" ht="15" hidden="false" customHeight="false" outlineLevel="0" collapsed="false">
      <c r="A149" s="98" t="s">
        <v>19</v>
      </c>
      <c r="B149" s="99" t="s">
        <v>1160</v>
      </c>
      <c r="C149" s="99" t="s">
        <v>636</v>
      </c>
      <c r="D149" s="98"/>
      <c r="E149" s="100" t="s">
        <v>1079</v>
      </c>
      <c r="F149" s="101" t="n">
        <v>2</v>
      </c>
      <c r="G149" s="101" t="s">
        <v>133</v>
      </c>
      <c r="H149" s="102" t="n">
        <v>69</v>
      </c>
      <c r="I149" s="103" t="n">
        <v>138</v>
      </c>
      <c r="J149" s="104" t="s">
        <v>641</v>
      </c>
      <c r="K149" s="104" t="n">
        <v>1</v>
      </c>
      <c r="L149" s="101" t="n">
        <v>2</v>
      </c>
      <c r="M149" s="104" t="s">
        <v>902</v>
      </c>
      <c r="N149" s="98"/>
      <c r="O149" s="105" t="n">
        <f aca="false">IF(M149="Y",I149,IF(ISNUMBER(H149),H149*L149,0))</f>
        <v>138</v>
      </c>
      <c r="P149" s="106" t="str">
        <f aca="false">IF(J149="","",J149&amp;"|"&amp;A149&amp;"|"&amp;K149)</f>
        <v>R222|Ferguson|1</v>
      </c>
    </row>
    <row r="150" customFormat="false" ht="15" hidden="false" customHeight="false" outlineLevel="0" collapsed="false">
      <c r="A150" s="98" t="s">
        <v>19</v>
      </c>
      <c r="B150" s="99" t="s">
        <v>1161</v>
      </c>
      <c r="C150" s="99" t="s">
        <v>647</v>
      </c>
      <c r="D150" s="98"/>
      <c r="E150" s="100" t="s">
        <v>1162</v>
      </c>
      <c r="F150" s="101" t="n">
        <v>1</v>
      </c>
      <c r="G150" s="101" t="s">
        <v>133</v>
      </c>
      <c r="H150" s="102" t="n">
        <v>930.09</v>
      </c>
      <c r="I150" s="103" t="n">
        <v>930.09</v>
      </c>
      <c r="J150" s="104" t="s">
        <v>646</v>
      </c>
      <c r="K150" s="104" t="n">
        <v>1</v>
      </c>
      <c r="L150" s="101" t="n">
        <v>1</v>
      </c>
      <c r="M150" s="104" t="s">
        <v>902</v>
      </c>
      <c r="N150" s="98"/>
      <c r="O150" s="105" t="n">
        <f aca="false">IF(M150="Y",I150,IF(ISNUMBER(H150),H150*L150,0))</f>
        <v>930.09</v>
      </c>
      <c r="P150" s="106" t="str">
        <f aca="false">IF(J150="","",J150&amp;"|"&amp;A150&amp;"|"&amp;K150)</f>
        <v>R225|Ferguson|1</v>
      </c>
    </row>
    <row r="151" customFormat="false" ht="15" hidden="false" customHeight="false" outlineLevel="0" collapsed="false">
      <c r="A151" s="98" t="s">
        <v>19</v>
      </c>
      <c r="B151" s="99" t="s">
        <v>1163</v>
      </c>
      <c r="C151" s="99" t="s">
        <v>647</v>
      </c>
      <c r="D151" s="98"/>
      <c r="E151" s="100" t="s">
        <v>1036</v>
      </c>
      <c r="F151" s="101" t="n">
        <v>1</v>
      </c>
      <c r="G151" s="101" t="s">
        <v>133</v>
      </c>
      <c r="H151" s="102" t="n">
        <v>51.34</v>
      </c>
      <c r="I151" s="103" t="n">
        <v>51.34</v>
      </c>
      <c r="J151" s="104" t="s">
        <v>649</v>
      </c>
      <c r="K151" s="104" t="n">
        <v>2</v>
      </c>
      <c r="L151" s="101" t="n">
        <v>1</v>
      </c>
      <c r="M151" s="104" t="s">
        <v>902</v>
      </c>
      <c r="N151" s="98"/>
      <c r="O151" s="105" t="n">
        <f aca="false">IF(M151="Y",I151,IF(ISNUMBER(H151),H151*L151,0))</f>
        <v>51.34</v>
      </c>
      <c r="P151" s="106" t="str">
        <f aca="false">IF(J151="","",J151&amp;"|"&amp;A151&amp;"|"&amp;K151)</f>
        <v>R226|Ferguson|2</v>
      </c>
    </row>
    <row r="152" customFormat="false" ht="15" hidden="false" customHeight="false" outlineLevel="0" collapsed="false">
      <c r="A152" s="98" t="s">
        <v>19</v>
      </c>
      <c r="B152" s="99" t="s">
        <v>1164</v>
      </c>
      <c r="C152" s="99" t="s">
        <v>647</v>
      </c>
      <c r="D152" s="98"/>
      <c r="E152" s="100" t="s">
        <v>1034</v>
      </c>
      <c r="F152" s="101" t="n">
        <v>1</v>
      </c>
      <c r="G152" s="101" t="s">
        <v>133</v>
      </c>
      <c r="H152" s="102" t="n">
        <v>86.81</v>
      </c>
      <c r="I152" s="103" t="n">
        <v>86.81</v>
      </c>
      <c r="J152" s="104" t="s">
        <v>649</v>
      </c>
      <c r="K152" s="104" t="n">
        <v>1</v>
      </c>
      <c r="L152" s="101" t="n">
        <v>1</v>
      </c>
      <c r="M152" s="104" t="s">
        <v>902</v>
      </c>
      <c r="N152" s="98"/>
      <c r="O152" s="105" t="n">
        <f aca="false">IF(M152="Y",I152,IF(ISNUMBER(H152),H152*L152,0))</f>
        <v>86.81</v>
      </c>
      <c r="P152" s="106" t="str">
        <f aca="false">IF(J152="","",J152&amp;"|"&amp;A152&amp;"|"&amp;K152)</f>
        <v>R226|Ferguson|1</v>
      </c>
    </row>
    <row r="153" customFormat="false" ht="15" hidden="false" customHeight="false" outlineLevel="0" collapsed="false">
      <c r="A153" s="98" t="s">
        <v>19</v>
      </c>
      <c r="B153" s="99" t="s">
        <v>1165</v>
      </c>
      <c r="C153" s="99" t="s">
        <v>653</v>
      </c>
      <c r="D153" s="98"/>
      <c r="E153" s="100" t="s">
        <v>1166</v>
      </c>
      <c r="F153" s="101" t="n">
        <v>4</v>
      </c>
      <c r="G153" s="101" t="s">
        <v>133</v>
      </c>
      <c r="H153" s="102" t="n">
        <v>843.01</v>
      </c>
      <c r="I153" s="103" t="n">
        <v>3372.04</v>
      </c>
      <c r="J153" s="104" t="s">
        <v>652</v>
      </c>
      <c r="K153" s="104" t="n">
        <v>1</v>
      </c>
      <c r="L153" s="101" t="n">
        <v>4</v>
      </c>
      <c r="M153" s="104" t="s">
        <v>902</v>
      </c>
      <c r="N153" s="98"/>
      <c r="O153" s="105" t="n">
        <f aca="false">IF(M153="Y",I153,IF(ISNUMBER(H153),H153*L153,0))</f>
        <v>3372.04</v>
      </c>
      <c r="P153" s="106" t="str">
        <f aca="false">IF(J153="","",J153&amp;"|"&amp;A153&amp;"|"&amp;K153)</f>
        <v>R228|Ferguson|1</v>
      </c>
    </row>
    <row r="154" customFormat="false" ht="15" hidden="false" customHeight="false" outlineLevel="0" collapsed="false">
      <c r="A154" s="98" t="s">
        <v>19</v>
      </c>
      <c r="B154" s="99" t="s">
        <v>1167</v>
      </c>
      <c r="C154" s="99" t="s">
        <v>653</v>
      </c>
      <c r="D154" s="98"/>
      <c r="E154" s="100" t="s">
        <v>1036</v>
      </c>
      <c r="F154" s="101" t="n">
        <v>4</v>
      </c>
      <c r="G154" s="101" t="s">
        <v>133</v>
      </c>
      <c r="H154" s="102" t="n">
        <v>51.34</v>
      </c>
      <c r="I154" s="103" t="n">
        <v>205.36</v>
      </c>
      <c r="J154" s="104" t="s">
        <v>655</v>
      </c>
      <c r="K154" s="104" t="n">
        <v>2</v>
      </c>
      <c r="L154" s="101" t="n">
        <v>4</v>
      </c>
      <c r="M154" s="104" t="s">
        <v>902</v>
      </c>
      <c r="N154" s="98"/>
      <c r="O154" s="105" t="n">
        <f aca="false">IF(M154="Y",I154,IF(ISNUMBER(H154),H154*L154,0))</f>
        <v>205.36</v>
      </c>
      <c r="P154" s="106" t="str">
        <f aca="false">IF(J154="","",J154&amp;"|"&amp;A154&amp;"|"&amp;K154)</f>
        <v>R229|Ferguson|2</v>
      </c>
    </row>
    <row r="155" customFormat="false" ht="15" hidden="false" customHeight="false" outlineLevel="0" collapsed="false">
      <c r="A155" s="98" t="s">
        <v>19</v>
      </c>
      <c r="B155" s="99" t="s">
        <v>1168</v>
      </c>
      <c r="C155" s="99" t="s">
        <v>653</v>
      </c>
      <c r="D155" s="98"/>
      <c r="E155" s="100" t="s">
        <v>1034</v>
      </c>
      <c r="F155" s="101" t="n">
        <v>4</v>
      </c>
      <c r="G155" s="101" t="s">
        <v>133</v>
      </c>
      <c r="H155" s="102" t="n">
        <v>86.81</v>
      </c>
      <c r="I155" s="103" t="n">
        <v>347.24</v>
      </c>
      <c r="J155" s="104" t="s">
        <v>655</v>
      </c>
      <c r="K155" s="104" t="n">
        <v>1</v>
      </c>
      <c r="L155" s="101" t="n">
        <v>4</v>
      </c>
      <c r="M155" s="104" t="s">
        <v>902</v>
      </c>
      <c r="N155" s="98"/>
      <c r="O155" s="105" t="n">
        <f aca="false">IF(M155="Y",I155,IF(ISNUMBER(H155),H155*L155,0))</f>
        <v>347.24</v>
      </c>
      <c r="P155" s="106" t="str">
        <f aca="false">IF(J155="","",J155&amp;"|"&amp;A155&amp;"|"&amp;K155)</f>
        <v>R229|Ferguson|1</v>
      </c>
    </row>
    <row r="156" customFormat="false" ht="15" hidden="false" customHeight="false" outlineLevel="0" collapsed="false">
      <c r="A156" s="98" t="s">
        <v>19</v>
      </c>
      <c r="B156" s="99" t="s">
        <v>1169</v>
      </c>
      <c r="C156" s="99" t="s">
        <v>659</v>
      </c>
      <c r="D156" s="98"/>
      <c r="E156" s="100" t="s">
        <v>1170</v>
      </c>
      <c r="F156" s="101" t="n">
        <v>1</v>
      </c>
      <c r="G156" s="101" t="s">
        <v>133</v>
      </c>
      <c r="H156" s="102" t="n">
        <v>1253.24</v>
      </c>
      <c r="I156" s="103" t="n">
        <v>1253.24</v>
      </c>
      <c r="J156" s="104" t="s">
        <v>658</v>
      </c>
      <c r="K156" s="104" t="n">
        <v>1</v>
      </c>
      <c r="L156" s="101" t="n">
        <v>1</v>
      </c>
      <c r="M156" s="104" t="s">
        <v>902</v>
      </c>
      <c r="N156" s="98"/>
      <c r="O156" s="105" t="n">
        <f aca="false">IF(M156="Y",I156,IF(ISNUMBER(H156),H156*L156,0))</f>
        <v>1253.24</v>
      </c>
      <c r="P156" s="106" t="str">
        <f aca="false">IF(J156="","",J156&amp;"|"&amp;A156&amp;"|"&amp;K156)</f>
        <v>R231|Ferguson|1</v>
      </c>
    </row>
    <row r="157" customFormat="false" ht="15" hidden="false" customHeight="false" outlineLevel="0" collapsed="false">
      <c r="A157" s="98" t="s">
        <v>19</v>
      </c>
      <c r="B157" s="99" t="s">
        <v>1171</v>
      </c>
      <c r="C157" s="99" t="s">
        <v>659</v>
      </c>
      <c r="D157" s="98"/>
      <c r="E157" s="100" t="s">
        <v>1036</v>
      </c>
      <c r="F157" s="101" t="n">
        <v>1</v>
      </c>
      <c r="G157" s="101" t="s">
        <v>133</v>
      </c>
      <c r="H157" s="102" t="n">
        <v>51.34</v>
      </c>
      <c r="I157" s="103" t="n">
        <v>51.34</v>
      </c>
      <c r="J157" s="104" t="s">
        <v>660</v>
      </c>
      <c r="K157" s="104" t="n">
        <v>2</v>
      </c>
      <c r="L157" s="101" t="n">
        <v>1</v>
      </c>
      <c r="M157" s="104" t="s">
        <v>902</v>
      </c>
      <c r="N157" s="98"/>
      <c r="O157" s="105" t="n">
        <f aca="false">IF(M157="Y",I157,IF(ISNUMBER(H157),H157*L157,0))</f>
        <v>51.34</v>
      </c>
      <c r="P157" s="106" t="str">
        <f aca="false">IF(J157="","",J157&amp;"|"&amp;A157&amp;"|"&amp;K157)</f>
        <v>R232|Ferguson|2</v>
      </c>
    </row>
    <row r="158" customFormat="false" ht="15" hidden="false" customHeight="false" outlineLevel="0" collapsed="false">
      <c r="A158" s="98" t="s">
        <v>19</v>
      </c>
      <c r="B158" s="99" t="s">
        <v>1172</v>
      </c>
      <c r="C158" s="99" t="s">
        <v>659</v>
      </c>
      <c r="D158" s="98"/>
      <c r="E158" s="100" t="s">
        <v>1034</v>
      </c>
      <c r="F158" s="101" t="n">
        <v>1</v>
      </c>
      <c r="G158" s="101" t="s">
        <v>133</v>
      </c>
      <c r="H158" s="102" t="n">
        <v>86.81</v>
      </c>
      <c r="I158" s="103" t="n">
        <v>86.81</v>
      </c>
      <c r="J158" s="104" t="s">
        <v>660</v>
      </c>
      <c r="K158" s="104" t="n">
        <v>1</v>
      </c>
      <c r="L158" s="101" t="n">
        <v>1</v>
      </c>
      <c r="M158" s="104" t="s">
        <v>902</v>
      </c>
      <c r="N158" s="98"/>
      <c r="O158" s="105" t="n">
        <f aca="false">IF(M158="Y",I158,IF(ISNUMBER(H158),H158*L158,0))</f>
        <v>86.81</v>
      </c>
      <c r="P158" s="106" t="str">
        <f aca="false">IF(J158="","",J158&amp;"|"&amp;A158&amp;"|"&amp;K158)</f>
        <v>R232|Ferguson|1</v>
      </c>
    </row>
    <row r="159" customFormat="false" ht="15" hidden="false" customHeight="false" outlineLevel="0" collapsed="false">
      <c r="A159" s="98" t="s">
        <v>19</v>
      </c>
      <c r="B159" s="99" t="s">
        <v>1173</v>
      </c>
      <c r="C159" s="99" t="s">
        <v>664</v>
      </c>
      <c r="D159" s="98"/>
      <c r="E159" s="100" t="s">
        <v>1174</v>
      </c>
      <c r="F159" s="101" t="n">
        <v>1</v>
      </c>
      <c r="G159" s="101" t="s">
        <v>133</v>
      </c>
      <c r="H159" s="102" t="n">
        <v>2391.66</v>
      </c>
      <c r="I159" s="103" t="n">
        <v>2391.66</v>
      </c>
      <c r="J159" s="104" t="s">
        <v>663</v>
      </c>
      <c r="K159" s="104" t="n">
        <v>1</v>
      </c>
      <c r="L159" s="101" t="n">
        <v>1</v>
      </c>
      <c r="M159" s="104" t="s">
        <v>902</v>
      </c>
      <c r="N159" s="98"/>
      <c r="O159" s="105" t="n">
        <f aca="false">IF(M159="Y",I159,IF(ISNUMBER(H159),H159*L159,0))</f>
        <v>2391.66</v>
      </c>
      <c r="P159" s="106" t="str">
        <f aca="false">IF(J159="","",J159&amp;"|"&amp;A159&amp;"|"&amp;K159)</f>
        <v>R234|Ferguson|1</v>
      </c>
    </row>
    <row r="160" customFormat="false" ht="15" hidden="false" customHeight="false" outlineLevel="0" collapsed="false">
      <c r="A160" s="98" t="s">
        <v>19</v>
      </c>
      <c r="B160" s="99" t="s">
        <v>1175</v>
      </c>
      <c r="C160" s="99" t="s">
        <v>664</v>
      </c>
      <c r="D160" s="98"/>
      <c r="E160" s="100" t="s">
        <v>1176</v>
      </c>
      <c r="F160" s="101" t="n">
        <v>1</v>
      </c>
      <c r="G160" s="101" t="s">
        <v>133</v>
      </c>
      <c r="H160" s="102" t="n">
        <v>201.49</v>
      </c>
      <c r="I160" s="103" t="n">
        <v>201.49</v>
      </c>
      <c r="J160" s="104" t="s">
        <v>666</v>
      </c>
      <c r="K160" s="104" t="n">
        <v>1</v>
      </c>
      <c r="L160" s="101" t="n">
        <v>1</v>
      </c>
      <c r="M160" s="104" t="s">
        <v>902</v>
      </c>
      <c r="N160" s="98"/>
      <c r="O160" s="105" t="n">
        <f aca="false">IF(M160="Y",I160,IF(ISNUMBER(H160),H160*L160,0))</f>
        <v>201.49</v>
      </c>
      <c r="P160" s="106" t="str">
        <f aca="false">IF(J160="","",J160&amp;"|"&amp;A160&amp;"|"&amp;K160)</f>
        <v>R235|Ferguson|1</v>
      </c>
    </row>
    <row r="161" customFormat="false" ht="15" hidden="false" customHeight="false" outlineLevel="0" collapsed="false">
      <c r="A161" s="98" t="s">
        <v>19</v>
      </c>
      <c r="B161" s="99" t="s">
        <v>1177</v>
      </c>
      <c r="C161" s="99" t="s">
        <v>664</v>
      </c>
      <c r="D161" s="98"/>
      <c r="E161" s="100" t="s">
        <v>1178</v>
      </c>
      <c r="F161" s="101" t="n">
        <v>1</v>
      </c>
      <c r="G161" s="101" t="s">
        <v>133</v>
      </c>
      <c r="H161" s="102" t="n">
        <v>96.36</v>
      </c>
      <c r="I161" s="103" t="n">
        <v>96.36</v>
      </c>
      <c r="J161" s="104" t="s">
        <v>666</v>
      </c>
      <c r="K161" s="104" t="n">
        <v>2</v>
      </c>
      <c r="L161" s="101" t="n">
        <v>1</v>
      </c>
      <c r="M161" s="104" t="s">
        <v>902</v>
      </c>
      <c r="N161" s="98"/>
      <c r="O161" s="105" t="n">
        <f aca="false">IF(M161="Y",I161,IF(ISNUMBER(H161),H161*L161,0))</f>
        <v>96.36</v>
      </c>
      <c r="P161" s="106" t="str">
        <f aca="false">IF(J161="","",J161&amp;"|"&amp;A161&amp;"|"&amp;K161)</f>
        <v>R235|Ferguson|2</v>
      </c>
    </row>
    <row r="162" customFormat="false" ht="15" hidden="false" customHeight="false" outlineLevel="0" collapsed="false">
      <c r="A162" s="98" t="s">
        <v>19</v>
      </c>
      <c r="B162" s="99" t="s">
        <v>1179</v>
      </c>
      <c r="C162" s="99" t="s">
        <v>671</v>
      </c>
      <c r="D162" s="98"/>
      <c r="E162" s="100" t="s">
        <v>1180</v>
      </c>
      <c r="F162" s="101" t="n">
        <v>16</v>
      </c>
      <c r="G162" s="101" t="s">
        <v>133</v>
      </c>
      <c r="H162" s="102" t="n">
        <v>3772</v>
      </c>
      <c r="I162" s="103" t="n">
        <v>60352</v>
      </c>
      <c r="J162" s="104" t="s">
        <v>670</v>
      </c>
      <c r="K162" s="104" t="n">
        <v>1</v>
      </c>
      <c r="L162" s="101" t="n">
        <v>16</v>
      </c>
      <c r="M162" s="104" t="s">
        <v>902</v>
      </c>
      <c r="N162" s="98"/>
      <c r="O162" s="105" t="n">
        <f aca="false">IF(M162="Y",I162,IF(ISNUMBER(H162),H162*L162,0))</f>
        <v>60352</v>
      </c>
      <c r="P162" s="106" t="str">
        <f aca="false">IF(J162="","",J162&amp;"|"&amp;A162&amp;"|"&amp;K162)</f>
        <v>R237|Ferguson|1</v>
      </c>
    </row>
    <row r="163" customFormat="false" ht="15" hidden="false" customHeight="false" outlineLevel="0" collapsed="false">
      <c r="A163" s="98" t="s">
        <v>19</v>
      </c>
      <c r="B163" s="99" t="s">
        <v>1181</v>
      </c>
      <c r="C163" s="99" t="s">
        <v>671</v>
      </c>
      <c r="D163" s="98"/>
      <c r="E163" s="100" t="s">
        <v>1182</v>
      </c>
      <c r="F163" s="101" t="n">
        <v>1</v>
      </c>
      <c r="G163" s="101" t="s">
        <v>133</v>
      </c>
      <c r="H163" s="102" t="n">
        <v>3594.72</v>
      </c>
      <c r="I163" s="103" t="n">
        <v>3594.72</v>
      </c>
      <c r="J163" s="104" t="s">
        <v>675</v>
      </c>
      <c r="K163" s="104" t="n">
        <v>1</v>
      </c>
      <c r="L163" s="101" t="n">
        <v>1</v>
      </c>
      <c r="M163" s="104" t="s">
        <v>902</v>
      </c>
      <c r="N163" s="98"/>
      <c r="O163" s="105" t="n">
        <f aca="false">IF(M163="Y",I163,IF(ISNUMBER(H163),H163*L163,0))</f>
        <v>3594.72</v>
      </c>
      <c r="P163" s="106" t="str">
        <f aca="false">IF(J163="","",J163&amp;"|"&amp;A163&amp;"|"&amp;K163)</f>
        <v>R238|Ferguson|1</v>
      </c>
    </row>
    <row r="164" customFormat="false" ht="15" hidden="false" customHeight="false" outlineLevel="0" collapsed="false">
      <c r="A164" s="98" t="s">
        <v>19</v>
      </c>
      <c r="B164" s="99" t="s">
        <v>1183</v>
      </c>
      <c r="C164" s="99" t="s">
        <v>671</v>
      </c>
      <c r="D164" s="98"/>
      <c r="E164" s="100" t="s">
        <v>1184</v>
      </c>
      <c r="F164" s="101" t="n">
        <v>16</v>
      </c>
      <c r="G164" s="101" t="s">
        <v>133</v>
      </c>
      <c r="H164" s="102" t="n">
        <v>93.36</v>
      </c>
      <c r="I164" s="103" t="n">
        <v>1493.76</v>
      </c>
      <c r="J164" s="104" t="s">
        <v>677</v>
      </c>
      <c r="K164" s="104" t="n">
        <v>1</v>
      </c>
      <c r="L164" s="101" t="n">
        <v>16</v>
      </c>
      <c r="M164" s="104" t="s">
        <v>902</v>
      </c>
      <c r="N164" s="98"/>
      <c r="O164" s="105" t="n">
        <f aca="false">IF(M164="Y",I164,IF(ISNUMBER(H164),H164*L164,0))</f>
        <v>1493.76</v>
      </c>
      <c r="P164" s="106" t="str">
        <f aca="false">IF(J164="","",J164&amp;"|"&amp;A164&amp;"|"&amp;K164)</f>
        <v>R239|Ferguson|1</v>
      </c>
    </row>
    <row r="165" customFormat="false" ht="15" hidden="false" customHeight="false" outlineLevel="0" collapsed="false">
      <c r="A165" s="98" t="s">
        <v>19</v>
      </c>
      <c r="B165" s="99" t="s">
        <v>1185</v>
      </c>
      <c r="C165" s="99" t="s">
        <v>682</v>
      </c>
      <c r="D165" s="98"/>
      <c r="E165" s="100" t="s">
        <v>1186</v>
      </c>
      <c r="F165" s="101" t="n">
        <v>1</v>
      </c>
      <c r="G165" s="101" t="s">
        <v>133</v>
      </c>
      <c r="H165" s="102" t="n">
        <v>1670.94</v>
      </c>
      <c r="I165" s="103" t="n">
        <v>1670.94</v>
      </c>
      <c r="J165" s="104" t="s">
        <v>723</v>
      </c>
      <c r="K165" s="104" t="n">
        <v>1</v>
      </c>
      <c r="L165" s="101" t="n">
        <v>1</v>
      </c>
      <c r="M165" s="104" t="s">
        <v>902</v>
      </c>
      <c r="N165" s="98"/>
      <c r="O165" s="105" t="n">
        <f aca="false">IF(M165="Y",I165,IF(ISNUMBER(H165),H165*L165,0))</f>
        <v>1670.94</v>
      </c>
      <c r="P165" s="106" t="str">
        <f aca="false">IF(J165="","",J165&amp;"|"&amp;A165&amp;"|"&amp;K165)</f>
        <v>R258|Ferguson|1</v>
      </c>
    </row>
    <row r="166" customFormat="false" ht="15" hidden="false" customHeight="false" outlineLevel="0" collapsed="false">
      <c r="A166" s="98" t="s">
        <v>19</v>
      </c>
      <c r="B166" s="99" t="s">
        <v>1187</v>
      </c>
      <c r="C166" s="99" t="s">
        <v>682</v>
      </c>
      <c r="D166" s="98"/>
      <c r="E166" s="100" t="s">
        <v>1188</v>
      </c>
      <c r="F166" s="101" t="n">
        <v>2</v>
      </c>
      <c r="G166" s="101" t="s">
        <v>133</v>
      </c>
      <c r="H166" s="102" t="n">
        <v>564.02</v>
      </c>
      <c r="I166" s="103" t="n">
        <v>1128.04</v>
      </c>
      <c r="J166" s="104" t="s">
        <v>687</v>
      </c>
      <c r="K166" s="104" t="n">
        <v>1</v>
      </c>
      <c r="L166" s="101" t="n">
        <v>2</v>
      </c>
      <c r="M166" s="104" t="s">
        <v>902</v>
      </c>
      <c r="N166" s="98"/>
      <c r="O166" s="105" t="n">
        <f aca="false">IF(M166="Y",I166,IF(ISNUMBER(H166),H166*L166,0))</f>
        <v>1128.04</v>
      </c>
      <c r="P166" s="106" t="str">
        <f aca="false">IF(J166="","",J166&amp;"|"&amp;A166&amp;"|"&amp;K166)</f>
        <v>R242|Ferguson|1</v>
      </c>
    </row>
    <row r="167" customFormat="false" ht="15" hidden="false" customHeight="false" outlineLevel="0" collapsed="false">
      <c r="A167" s="98" t="s">
        <v>19</v>
      </c>
      <c r="B167" s="99" t="s">
        <v>1189</v>
      </c>
      <c r="C167" s="99" t="s">
        <v>682</v>
      </c>
      <c r="D167" s="98"/>
      <c r="E167" s="100" t="s">
        <v>1190</v>
      </c>
      <c r="F167" s="101" t="n">
        <v>7</v>
      </c>
      <c r="G167" s="101" t="s">
        <v>133</v>
      </c>
      <c r="H167" s="102" t="n">
        <v>427.91</v>
      </c>
      <c r="I167" s="103" t="n">
        <v>2995.37</v>
      </c>
      <c r="J167" s="104" t="s">
        <v>684</v>
      </c>
      <c r="K167" s="104" t="n">
        <v>1</v>
      </c>
      <c r="L167" s="101" t="n">
        <v>7</v>
      </c>
      <c r="M167" s="104" t="s">
        <v>902</v>
      </c>
      <c r="N167" s="98"/>
      <c r="O167" s="105" t="n">
        <f aca="false">IF(M167="Y",I167,IF(ISNUMBER(H167),H167*L167,0))</f>
        <v>2995.37</v>
      </c>
      <c r="P167" s="106" t="str">
        <f aca="false">IF(J167="","",J167&amp;"|"&amp;A167&amp;"|"&amp;K167)</f>
        <v>R241|Ferguson|1</v>
      </c>
    </row>
    <row r="168" customFormat="false" ht="15" hidden="false" customHeight="false" outlineLevel="0" collapsed="false">
      <c r="A168" s="98" t="s">
        <v>19</v>
      </c>
      <c r="B168" s="99" t="s">
        <v>1191</v>
      </c>
      <c r="C168" s="99" t="s">
        <v>682</v>
      </c>
      <c r="D168" s="98"/>
      <c r="E168" s="100" t="s">
        <v>1192</v>
      </c>
      <c r="F168" s="101" t="n">
        <v>2</v>
      </c>
      <c r="G168" s="101" t="s">
        <v>133</v>
      </c>
      <c r="H168" s="102" t="n">
        <v>71.28</v>
      </c>
      <c r="I168" s="103" t="n">
        <v>142.56</v>
      </c>
      <c r="J168" s="104" t="s">
        <v>731</v>
      </c>
      <c r="K168" s="104" t="n">
        <v>1</v>
      </c>
      <c r="L168" s="101" t="n">
        <v>2</v>
      </c>
      <c r="M168" s="104" t="s">
        <v>902</v>
      </c>
      <c r="N168" s="98"/>
      <c r="O168" s="105" t="n">
        <f aca="false">IF(M168="Y",I168,IF(ISNUMBER(H168),H168*L168,0))</f>
        <v>142.56</v>
      </c>
      <c r="P168" s="106" t="str">
        <f aca="false">IF(J168="","",J168&amp;"|"&amp;A168&amp;"|"&amp;K168)</f>
        <v>R261|Ferguson|1</v>
      </c>
    </row>
    <row r="169" customFormat="false" ht="15" hidden="false" customHeight="false" outlineLevel="0" collapsed="false">
      <c r="A169" s="98" t="s">
        <v>19</v>
      </c>
      <c r="B169" s="99" t="s">
        <v>1193</v>
      </c>
      <c r="C169" s="99" t="s">
        <v>682</v>
      </c>
      <c r="D169" s="98"/>
      <c r="E169" s="100" t="s">
        <v>1194</v>
      </c>
      <c r="F169" s="101" t="n">
        <v>1</v>
      </c>
      <c r="G169" s="101" t="s">
        <v>133</v>
      </c>
      <c r="H169" s="102" t="n">
        <v>368.3</v>
      </c>
      <c r="I169" s="103" t="n">
        <v>368.3</v>
      </c>
      <c r="J169" s="104" t="s">
        <v>726</v>
      </c>
      <c r="K169" s="104" t="n">
        <v>1</v>
      </c>
      <c r="L169" s="101" t="n">
        <v>1</v>
      </c>
      <c r="M169" s="104" t="s">
        <v>902</v>
      </c>
      <c r="N169" s="98"/>
      <c r="O169" s="105" t="n">
        <f aca="false">IF(M169="Y",I169,IF(ISNUMBER(H169),H169*L169,0))</f>
        <v>368.3</v>
      </c>
      <c r="P169" s="106" t="str">
        <f aca="false">IF(J169="","",J169&amp;"|"&amp;A169&amp;"|"&amp;K169)</f>
        <v>R259|Ferguson|1</v>
      </c>
    </row>
    <row r="170" customFormat="false" ht="15" hidden="false" customHeight="false" outlineLevel="0" collapsed="false">
      <c r="A170" s="98" t="s">
        <v>19</v>
      </c>
      <c r="B170" s="99" t="s">
        <v>1195</v>
      </c>
      <c r="C170" s="99" t="s">
        <v>682</v>
      </c>
      <c r="D170" s="98"/>
      <c r="E170" s="100" t="s">
        <v>1196</v>
      </c>
      <c r="F170" s="101" t="n">
        <v>19</v>
      </c>
      <c r="G170" s="101" t="s">
        <v>133</v>
      </c>
      <c r="H170" s="102" t="n">
        <v>30.84</v>
      </c>
      <c r="I170" s="103" t="n">
        <v>585.96</v>
      </c>
      <c r="J170" s="104" t="s">
        <v>692</v>
      </c>
      <c r="K170" s="104" t="n">
        <v>1</v>
      </c>
      <c r="L170" s="101" t="n">
        <v>19</v>
      </c>
      <c r="M170" s="104" t="s">
        <v>902</v>
      </c>
      <c r="N170" s="98"/>
      <c r="O170" s="105" t="n">
        <f aca="false">IF(M170="Y",I170,IF(ISNUMBER(H170),H170*L170,0))</f>
        <v>585.96</v>
      </c>
      <c r="P170" s="106" t="str">
        <f aca="false">IF(J170="","",J170&amp;"|"&amp;A170&amp;"|"&amp;K170)</f>
        <v>R244|Ferguson|1</v>
      </c>
    </row>
    <row r="171" customFormat="false" ht="15" hidden="false" customHeight="false" outlineLevel="0" collapsed="false">
      <c r="A171" s="98" t="s">
        <v>19</v>
      </c>
      <c r="B171" s="99" t="s">
        <v>1197</v>
      </c>
      <c r="C171" s="99" t="s">
        <v>682</v>
      </c>
      <c r="D171" s="98"/>
      <c r="E171" s="100" t="s">
        <v>1198</v>
      </c>
      <c r="F171" s="101" t="n">
        <v>10</v>
      </c>
      <c r="G171" s="101" t="s">
        <v>133</v>
      </c>
      <c r="H171" s="102" t="n">
        <v>129.26</v>
      </c>
      <c r="I171" s="103" t="n">
        <v>1292.6</v>
      </c>
      <c r="J171" s="104" t="s">
        <v>690</v>
      </c>
      <c r="K171" s="104" t="n">
        <v>1</v>
      </c>
      <c r="L171" s="101" t="n">
        <v>10</v>
      </c>
      <c r="M171" s="104" t="s">
        <v>902</v>
      </c>
      <c r="N171" s="98"/>
      <c r="O171" s="105" t="n">
        <f aca="false">IF(M171="Y",I171,IF(ISNUMBER(H171),H171*L171,0))</f>
        <v>1292.6</v>
      </c>
      <c r="P171" s="106" t="str">
        <f aca="false">IF(J171="","",J171&amp;"|"&amp;A171&amp;"|"&amp;K171)</f>
        <v>R243|Ferguson|1</v>
      </c>
    </row>
    <row r="172" customFormat="false" ht="15" hidden="false" customHeight="false" outlineLevel="0" collapsed="false">
      <c r="A172" s="98" t="s">
        <v>19</v>
      </c>
      <c r="B172" s="99" t="s">
        <v>1199</v>
      </c>
      <c r="C172" s="99" t="s">
        <v>682</v>
      </c>
      <c r="D172" s="98"/>
      <c r="E172" s="100" t="s">
        <v>974</v>
      </c>
      <c r="F172" s="101" t="n">
        <v>10</v>
      </c>
      <c r="G172" s="101" t="s">
        <v>133</v>
      </c>
      <c r="H172" s="102" t="n">
        <v>1232.38</v>
      </c>
      <c r="I172" s="103" t="n">
        <v>12323.8</v>
      </c>
      <c r="J172" s="104" t="s">
        <v>681</v>
      </c>
      <c r="K172" s="104" t="n">
        <v>1</v>
      </c>
      <c r="L172" s="101" t="n">
        <v>10</v>
      </c>
      <c r="M172" s="104" t="s">
        <v>902</v>
      </c>
      <c r="N172" s="98"/>
      <c r="O172" s="105" t="n">
        <f aca="false">IF(M172="Y",I172,IF(ISNUMBER(H172),H172*L172,0))</f>
        <v>12323.8</v>
      </c>
      <c r="P172" s="106" t="str">
        <f aca="false">IF(J172="","",J172&amp;"|"&amp;A172&amp;"|"&amp;K172)</f>
        <v>R240|Ferguson|1</v>
      </c>
    </row>
    <row r="173" customFormat="false" ht="15" hidden="false" customHeight="false" outlineLevel="0" collapsed="false">
      <c r="A173" s="98" t="s">
        <v>19</v>
      </c>
      <c r="B173" s="99" t="s">
        <v>1200</v>
      </c>
      <c r="C173" s="99" t="s">
        <v>682</v>
      </c>
      <c r="D173" s="98"/>
      <c r="E173" s="100" t="s">
        <v>1201</v>
      </c>
      <c r="F173" s="101" t="n">
        <v>1</v>
      </c>
      <c r="G173" s="101" t="s">
        <v>133</v>
      </c>
      <c r="H173" s="102" t="n">
        <v>160.68</v>
      </c>
      <c r="I173" s="103" t="n">
        <v>160.68</v>
      </c>
      <c r="J173" s="104" t="s">
        <v>729</v>
      </c>
      <c r="K173" s="104" t="n">
        <v>1</v>
      </c>
      <c r="L173" s="101" t="n">
        <v>1</v>
      </c>
      <c r="M173" s="104" t="s">
        <v>902</v>
      </c>
      <c r="N173" s="98"/>
      <c r="O173" s="105" t="n">
        <f aca="false">IF(M173="Y",I173,IF(ISNUMBER(H173),H173*L173,0))</f>
        <v>160.68</v>
      </c>
      <c r="P173" s="106" t="str">
        <f aca="false">IF(J173="","",J173&amp;"|"&amp;A173&amp;"|"&amp;K173)</f>
        <v>R260|Ferguson|1</v>
      </c>
    </row>
    <row r="174" customFormat="false" ht="15" hidden="false" customHeight="false" outlineLevel="0" collapsed="false">
      <c r="A174" s="98" t="s">
        <v>19</v>
      </c>
      <c r="B174" s="99" t="s">
        <v>1202</v>
      </c>
      <c r="C174" s="99" t="s">
        <v>682</v>
      </c>
      <c r="D174" s="98"/>
      <c r="E174" s="100" t="s">
        <v>1203</v>
      </c>
      <c r="F174" s="101" t="n">
        <v>100</v>
      </c>
      <c r="G174" s="101" t="s">
        <v>979</v>
      </c>
      <c r="H174" s="102" t="n">
        <v>383.33</v>
      </c>
      <c r="I174" s="103" t="n">
        <v>383.33</v>
      </c>
      <c r="J174" s="104" t="s">
        <v>733</v>
      </c>
      <c r="K174" s="104" t="n">
        <v>1</v>
      </c>
      <c r="L174" s="101" t="n">
        <v>100</v>
      </c>
      <c r="M174" s="104" t="s">
        <v>902</v>
      </c>
      <c r="N174" s="98" t="s">
        <v>980</v>
      </c>
      <c r="O174" s="105" t="n">
        <f aca="false">IF(M174="Y",I174,IF(ISNUMBER(H174),H174*L174,0))</f>
        <v>383.33</v>
      </c>
      <c r="P174" s="106" t="str">
        <f aca="false">IF(J174="","",J174&amp;"|"&amp;A174&amp;"|"&amp;K174)</f>
        <v>R262|Ferguson|1</v>
      </c>
    </row>
    <row r="175" customFormat="false" ht="15" hidden="false" customHeight="false" outlineLevel="0" collapsed="false">
      <c r="A175" s="98" t="s">
        <v>19</v>
      </c>
      <c r="B175" s="99" t="s">
        <v>1204</v>
      </c>
      <c r="C175" s="99" t="s">
        <v>682</v>
      </c>
      <c r="D175" s="98"/>
      <c r="E175" s="100" t="s">
        <v>984</v>
      </c>
      <c r="F175" s="101" t="n">
        <v>200</v>
      </c>
      <c r="G175" s="101" t="s">
        <v>979</v>
      </c>
      <c r="H175" s="102" t="n">
        <v>350.7</v>
      </c>
      <c r="I175" s="103" t="n">
        <v>701.4</v>
      </c>
      <c r="J175" s="104" t="s">
        <v>701</v>
      </c>
      <c r="K175" s="104" t="n">
        <v>1</v>
      </c>
      <c r="L175" s="101" t="n">
        <v>200</v>
      </c>
      <c r="M175" s="104" t="s">
        <v>902</v>
      </c>
      <c r="N175" s="98" t="s">
        <v>980</v>
      </c>
      <c r="O175" s="105" t="n">
        <f aca="false">IF(M175="Y",I175,IF(ISNUMBER(H175),H175*L175,0))</f>
        <v>701.4</v>
      </c>
      <c r="P175" s="106" t="str">
        <f aca="false">IF(J175="","",J175&amp;"|"&amp;A175&amp;"|"&amp;K175)</f>
        <v>R248|Ferguson|1</v>
      </c>
    </row>
    <row r="176" customFormat="false" ht="15" hidden="false" customHeight="false" outlineLevel="0" collapsed="false">
      <c r="A176" s="98" t="s">
        <v>19</v>
      </c>
      <c r="B176" s="99" t="s">
        <v>1205</v>
      </c>
      <c r="C176" s="99" t="s">
        <v>682</v>
      </c>
      <c r="D176" s="98"/>
      <c r="E176" s="100" t="s">
        <v>1206</v>
      </c>
      <c r="F176" s="101" t="n">
        <v>20</v>
      </c>
      <c r="G176" s="101" t="s">
        <v>133</v>
      </c>
      <c r="H176" s="102" t="n">
        <v>22.77</v>
      </c>
      <c r="I176" s="103" t="n">
        <v>455.4</v>
      </c>
      <c r="J176" s="104" t="s">
        <v>694</v>
      </c>
      <c r="K176" s="104" t="n">
        <v>1</v>
      </c>
      <c r="L176" s="101" t="n">
        <v>20</v>
      </c>
      <c r="M176" s="104" t="s">
        <v>902</v>
      </c>
      <c r="N176" s="98"/>
      <c r="O176" s="105" t="n">
        <f aca="false">IF(M176="Y",I176,IF(ISNUMBER(H176),H176*L176,0))</f>
        <v>455.4</v>
      </c>
      <c r="P176" s="106" t="str">
        <f aca="false">IF(J176="","",J176&amp;"|"&amp;A176&amp;"|"&amp;K176)</f>
        <v>R245|Ferguson|1</v>
      </c>
    </row>
    <row r="177" customFormat="false" ht="15" hidden="false" customHeight="false" outlineLevel="0" collapsed="false">
      <c r="A177" s="98" t="s">
        <v>19</v>
      </c>
      <c r="B177" s="99" t="s">
        <v>1207</v>
      </c>
      <c r="C177" s="99" t="s">
        <v>682</v>
      </c>
      <c r="D177" s="98"/>
      <c r="E177" s="100" t="s">
        <v>1208</v>
      </c>
      <c r="F177" s="101" t="n">
        <v>1</v>
      </c>
      <c r="G177" s="101" t="s">
        <v>133</v>
      </c>
      <c r="H177" s="102" t="n">
        <v>12</v>
      </c>
      <c r="I177" s="103" t="n">
        <v>12</v>
      </c>
      <c r="J177" s="104" t="s">
        <v>698</v>
      </c>
      <c r="K177" s="104" t="n">
        <v>1</v>
      </c>
      <c r="L177" s="101" t="n">
        <v>1</v>
      </c>
      <c r="M177" s="104" t="s">
        <v>902</v>
      </c>
      <c r="N177" s="98"/>
      <c r="O177" s="105" t="n">
        <f aca="false">IF(M177="Y",I177,IF(ISNUMBER(H177),H177*L177,0))</f>
        <v>12</v>
      </c>
      <c r="P177" s="106" t="str">
        <f aca="false">IF(J177="","",J177&amp;"|"&amp;A177&amp;"|"&amp;K177)</f>
        <v>R247|Ferguson|1</v>
      </c>
    </row>
    <row r="178" customFormat="false" ht="15" hidden="false" customHeight="false" outlineLevel="0" collapsed="false">
      <c r="A178" s="98" t="s">
        <v>19</v>
      </c>
      <c r="B178" s="99" t="s">
        <v>1209</v>
      </c>
      <c r="C178" s="99" t="s">
        <v>682</v>
      </c>
      <c r="D178" s="98"/>
      <c r="E178" s="100" t="s">
        <v>1210</v>
      </c>
      <c r="F178" s="101" t="n">
        <v>10</v>
      </c>
      <c r="G178" s="101" t="s">
        <v>133</v>
      </c>
      <c r="H178" s="102" t="n">
        <v>8.29</v>
      </c>
      <c r="I178" s="103" t="n">
        <v>82.9</v>
      </c>
      <c r="J178" s="104" t="s">
        <v>696</v>
      </c>
      <c r="K178" s="104" t="n">
        <v>1</v>
      </c>
      <c r="L178" s="101" t="n">
        <v>10</v>
      </c>
      <c r="M178" s="104" t="s">
        <v>902</v>
      </c>
      <c r="N178" s="98"/>
      <c r="O178" s="105" t="n">
        <f aca="false">IF(M178="Y",I178,IF(ISNUMBER(H178),H178*L178,0))</f>
        <v>82.9</v>
      </c>
      <c r="P178" s="106" t="str">
        <f aca="false">IF(J178="","",J178&amp;"|"&amp;A178&amp;"|"&amp;K178)</f>
        <v>R246|Ferguson|1</v>
      </c>
    </row>
    <row r="179" customFormat="false" ht="15" hidden="false" customHeight="false" outlineLevel="0" collapsed="false">
      <c r="A179" s="98" t="s">
        <v>19</v>
      </c>
      <c r="B179" s="99" t="s">
        <v>1211</v>
      </c>
      <c r="C179" s="99" t="s">
        <v>682</v>
      </c>
      <c r="D179" s="98"/>
      <c r="E179" s="100" t="s">
        <v>1212</v>
      </c>
      <c r="F179" s="101" t="n">
        <v>9</v>
      </c>
      <c r="G179" s="101" t="s">
        <v>133</v>
      </c>
      <c r="H179" s="102" t="n">
        <v>12</v>
      </c>
      <c r="I179" s="103" t="n">
        <v>108</v>
      </c>
      <c r="J179" s="104" t="s">
        <v>698</v>
      </c>
      <c r="K179" s="104" t="n">
        <v>1</v>
      </c>
      <c r="L179" s="101" t="n">
        <v>9</v>
      </c>
      <c r="M179" s="104" t="s">
        <v>902</v>
      </c>
      <c r="N179" s="98"/>
      <c r="O179" s="105" t="n">
        <f aca="false">IF(M179="Y",I179,IF(ISNUMBER(H179),H179*L179,0))</f>
        <v>108</v>
      </c>
      <c r="P179" s="106" t="str">
        <f aca="false">IF(J179="","",J179&amp;"|"&amp;A179&amp;"|"&amp;K179)</f>
        <v>R247|Ferguson|1</v>
      </c>
    </row>
    <row r="180" customFormat="false" ht="15" hidden="false" customHeight="false" outlineLevel="0" collapsed="false">
      <c r="A180" s="98" t="s">
        <v>19</v>
      </c>
      <c r="B180" s="99" t="s">
        <v>1213</v>
      </c>
      <c r="C180" s="99" t="s">
        <v>682</v>
      </c>
      <c r="D180" s="98"/>
      <c r="E180" s="100" t="s">
        <v>1025</v>
      </c>
      <c r="F180" s="101" t="n">
        <v>23</v>
      </c>
      <c r="G180" s="101" t="s">
        <v>133</v>
      </c>
      <c r="H180" s="102" t="n">
        <v>36.06</v>
      </c>
      <c r="I180" s="103" t="n">
        <v>829.38</v>
      </c>
      <c r="J180" s="104" t="s">
        <v>703</v>
      </c>
      <c r="K180" s="104" t="n">
        <v>1</v>
      </c>
      <c r="L180" s="101" t="n">
        <v>23</v>
      </c>
      <c r="M180" s="104" t="s">
        <v>902</v>
      </c>
      <c r="N180" s="98"/>
      <c r="O180" s="105" t="n">
        <f aca="false">IF(M180="Y",I180,IF(ISNUMBER(H180),H180*L180,0))</f>
        <v>829.38</v>
      </c>
      <c r="P180" s="106" t="str">
        <f aca="false">IF(J180="","",J180&amp;"|"&amp;A180&amp;"|"&amp;K180)</f>
        <v>R249|Ferguson|1</v>
      </c>
    </row>
    <row r="181" customFormat="false" ht="15" hidden="false" customHeight="false" outlineLevel="0" collapsed="false">
      <c r="A181" s="98" t="s">
        <v>19</v>
      </c>
      <c r="B181" s="99" t="s">
        <v>1214</v>
      </c>
      <c r="C181" s="99" t="s">
        <v>682</v>
      </c>
      <c r="D181" s="98"/>
      <c r="E181" s="100" t="s">
        <v>1215</v>
      </c>
      <c r="F181" s="101" t="n">
        <v>10</v>
      </c>
      <c r="G181" s="101" t="s">
        <v>133</v>
      </c>
      <c r="H181" s="102" t="n">
        <v>33.64</v>
      </c>
      <c r="I181" s="103" t="n">
        <v>336.4</v>
      </c>
      <c r="J181" s="104" t="s">
        <v>708</v>
      </c>
      <c r="K181" s="104" t="n">
        <v>1</v>
      </c>
      <c r="L181" s="101" t="n">
        <v>10</v>
      </c>
      <c r="M181" s="104" t="s">
        <v>902</v>
      </c>
      <c r="N181" s="98"/>
      <c r="O181" s="105" t="n">
        <f aca="false">IF(M181="Y",I181,IF(ISNUMBER(H181),H181*L181,0))</f>
        <v>336.4</v>
      </c>
      <c r="P181" s="106" t="str">
        <f aca="false">IF(J181="","",J181&amp;"|"&amp;A181&amp;"|"&amp;K181)</f>
        <v>R251|Ferguson|1</v>
      </c>
    </row>
    <row r="182" customFormat="false" ht="15" hidden="false" customHeight="false" outlineLevel="0" collapsed="false">
      <c r="A182" s="98" t="s">
        <v>19</v>
      </c>
      <c r="B182" s="99" t="s">
        <v>1216</v>
      </c>
      <c r="C182" s="99" t="s">
        <v>682</v>
      </c>
      <c r="D182" s="98"/>
      <c r="E182" s="100" t="s">
        <v>1217</v>
      </c>
      <c r="F182" s="101" t="n">
        <v>10</v>
      </c>
      <c r="G182" s="101" t="s">
        <v>133</v>
      </c>
      <c r="H182" s="102" t="n">
        <v>29.04</v>
      </c>
      <c r="I182" s="103" t="n">
        <v>290.4</v>
      </c>
      <c r="J182" s="104" t="s">
        <v>706</v>
      </c>
      <c r="K182" s="104" t="n">
        <v>1</v>
      </c>
      <c r="L182" s="101" t="n">
        <v>10</v>
      </c>
      <c r="M182" s="104" t="s">
        <v>902</v>
      </c>
      <c r="N182" s="98"/>
      <c r="O182" s="105" t="n">
        <f aca="false">IF(M182="Y",I182,IF(ISNUMBER(H182),H182*L182,0))</f>
        <v>290.4</v>
      </c>
      <c r="P182" s="106" t="str">
        <f aca="false">IF(J182="","",J182&amp;"|"&amp;A182&amp;"|"&amp;K182)</f>
        <v>R250|Ferguson|1</v>
      </c>
    </row>
    <row r="183" customFormat="false" ht="15" hidden="false" customHeight="false" outlineLevel="0" collapsed="false">
      <c r="A183" s="98" t="s">
        <v>19</v>
      </c>
      <c r="B183" s="99" t="s">
        <v>1218</v>
      </c>
      <c r="C183" s="99" t="s">
        <v>682</v>
      </c>
      <c r="D183" s="98"/>
      <c r="E183" s="100" t="s">
        <v>1219</v>
      </c>
      <c r="F183" s="101" t="n">
        <v>10</v>
      </c>
      <c r="G183" s="101" t="s">
        <v>133</v>
      </c>
      <c r="H183" s="102" t="n">
        <v>107.98</v>
      </c>
      <c r="I183" s="103" t="n">
        <v>1079.8</v>
      </c>
      <c r="J183" s="104" t="s">
        <v>710</v>
      </c>
      <c r="K183" s="104" t="n">
        <v>1</v>
      </c>
      <c r="L183" s="101" t="n">
        <v>10</v>
      </c>
      <c r="M183" s="104" t="s">
        <v>902</v>
      </c>
      <c r="N183" s="98"/>
      <c r="O183" s="105" t="n">
        <f aca="false">IF(M183="Y",I183,IF(ISNUMBER(H183),H183*L183,0))</f>
        <v>1079.8</v>
      </c>
      <c r="P183" s="106" t="str">
        <f aca="false">IF(J183="","",J183&amp;"|"&amp;A183&amp;"|"&amp;K183)</f>
        <v>R252|Ferguson|1</v>
      </c>
    </row>
    <row r="184" customFormat="false" ht="15" hidden="false" customHeight="false" outlineLevel="0" collapsed="false">
      <c r="A184" s="98" t="s">
        <v>19</v>
      </c>
      <c r="B184" s="99" t="s">
        <v>1220</v>
      </c>
      <c r="C184" s="99" t="s">
        <v>682</v>
      </c>
      <c r="D184" s="98"/>
      <c r="E184" s="100" t="s">
        <v>1023</v>
      </c>
      <c r="F184" s="101" t="n">
        <v>20</v>
      </c>
      <c r="G184" s="101" t="s">
        <v>133</v>
      </c>
      <c r="H184" s="102" t="n">
        <v>24.25</v>
      </c>
      <c r="I184" s="103" t="n">
        <v>485</v>
      </c>
      <c r="J184" s="104" t="s">
        <v>717</v>
      </c>
      <c r="K184" s="104" t="n">
        <v>1</v>
      </c>
      <c r="L184" s="101" t="n">
        <v>20</v>
      </c>
      <c r="M184" s="104" t="s">
        <v>902</v>
      </c>
      <c r="N184" s="98"/>
      <c r="O184" s="105" t="n">
        <f aca="false">IF(M184="Y",I184,IF(ISNUMBER(H184),H184*L184,0))</f>
        <v>485</v>
      </c>
      <c r="P184" s="106" t="str">
        <f aca="false">IF(J184="","",J184&amp;"|"&amp;A184&amp;"|"&amp;K184)</f>
        <v>R255|Ferguson|1</v>
      </c>
    </row>
    <row r="185" customFormat="false" ht="15" hidden="false" customHeight="false" outlineLevel="0" collapsed="false">
      <c r="A185" s="98" t="s">
        <v>19</v>
      </c>
      <c r="B185" s="99" t="s">
        <v>1221</v>
      </c>
      <c r="C185" s="99" t="s">
        <v>682</v>
      </c>
      <c r="D185" s="98"/>
      <c r="E185" s="100" t="s">
        <v>1222</v>
      </c>
      <c r="F185" s="101" t="n">
        <v>10</v>
      </c>
      <c r="G185" s="101" t="s">
        <v>133</v>
      </c>
      <c r="H185" s="102" t="n">
        <v>40.09</v>
      </c>
      <c r="I185" s="103" t="n">
        <v>400.9</v>
      </c>
      <c r="J185" s="104" t="s">
        <v>720</v>
      </c>
      <c r="K185" s="104" t="n">
        <v>1</v>
      </c>
      <c r="L185" s="101" t="n">
        <v>10</v>
      </c>
      <c r="M185" s="104" t="s">
        <v>902</v>
      </c>
      <c r="N185" s="98"/>
      <c r="O185" s="105" t="n">
        <f aca="false">IF(M185="Y",I185,IF(ISNUMBER(H185),H185*L185,0))</f>
        <v>400.9</v>
      </c>
      <c r="P185" s="106" t="str">
        <f aca="false">IF(J185="","",J185&amp;"|"&amp;A185&amp;"|"&amp;K185)</f>
        <v>R257|Ferguson|1</v>
      </c>
    </row>
    <row r="186" customFormat="false" ht="15" hidden="false" customHeight="false" outlineLevel="0" collapsed="false">
      <c r="A186" s="98" t="s">
        <v>19</v>
      </c>
      <c r="B186" s="99" t="s">
        <v>1223</v>
      </c>
      <c r="C186" s="99" t="s">
        <v>682</v>
      </c>
      <c r="D186" s="98"/>
      <c r="E186" s="100" t="s">
        <v>1224</v>
      </c>
      <c r="F186" s="101" t="n">
        <v>2</v>
      </c>
      <c r="G186" s="101" t="s">
        <v>133</v>
      </c>
      <c r="H186" s="102" t="n">
        <v>7.07</v>
      </c>
      <c r="I186" s="103" t="n">
        <v>14.14</v>
      </c>
      <c r="J186" s="104" t="s">
        <v>736</v>
      </c>
      <c r="K186" s="104" t="n">
        <v>1</v>
      </c>
      <c r="L186" s="101" t="n">
        <v>2</v>
      </c>
      <c r="M186" s="104" t="s">
        <v>902</v>
      </c>
      <c r="N186" s="98"/>
      <c r="O186" s="105" t="n">
        <f aca="false">IF(M186="Y",I186,IF(ISNUMBER(H186),H186*L186,0))</f>
        <v>14.14</v>
      </c>
      <c r="P186" s="106" t="str">
        <f aca="false">IF(J186="","",J186&amp;"|"&amp;A186&amp;"|"&amp;K186)</f>
        <v>R263|Ferguson|1</v>
      </c>
    </row>
    <row r="187" customFormat="false" ht="15" hidden="false" customHeight="false" outlineLevel="0" collapsed="false">
      <c r="A187" s="98" t="s">
        <v>19</v>
      </c>
      <c r="B187" s="99" t="s">
        <v>1225</v>
      </c>
      <c r="C187" s="99" t="s">
        <v>682</v>
      </c>
      <c r="D187" s="98"/>
      <c r="E187" s="100" t="s">
        <v>1226</v>
      </c>
      <c r="F187" s="101" t="n">
        <v>5</v>
      </c>
      <c r="G187" s="101" t="s">
        <v>178</v>
      </c>
      <c r="H187" s="102" t="n">
        <v>54.46</v>
      </c>
      <c r="I187" s="103" t="n">
        <v>272.3</v>
      </c>
      <c r="J187" s="104" t="s">
        <v>738</v>
      </c>
      <c r="K187" s="104" t="n">
        <v>1</v>
      </c>
      <c r="L187" s="101" t="n">
        <v>5</v>
      </c>
      <c r="M187" s="104" t="s">
        <v>902</v>
      </c>
      <c r="N187" s="98"/>
      <c r="O187" s="105" t="n">
        <f aca="false">IF(M187="Y",I187,IF(ISNUMBER(H187),H187*L187,0))</f>
        <v>272.3</v>
      </c>
      <c r="P187" s="106" t="str">
        <f aca="false">IF(J187="","",J187&amp;"|"&amp;A187&amp;"|"&amp;K187)</f>
        <v>R264|Ferguson|1</v>
      </c>
    </row>
    <row r="188" customFormat="false" ht="15" hidden="false" customHeight="false" outlineLevel="0" collapsed="false">
      <c r="A188" s="98" t="s">
        <v>19</v>
      </c>
      <c r="B188" s="99" t="s">
        <v>1227</v>
      </c>
      <c r="C188" s="99" t="s">
        <v>682</v>
      </c>
      <c r="D188" s="98"/>
      <c r="E188" s="100" t="s">
        <v>1228</v>
      </c>
      <c r="F188" s="101" t="n">
        <v>1</v>
      </c>
      <c r="G188" s="101" t="s">
        <v>133</v>
      </c>
      <c r="H188" s="102" t="n">
        <v>420.21</v>
      </c>
      <c r="I188" s="103" t="n">
        <v>420.21</v>
      </c>
      <c r="J188" s="104" t="s">
        <v>741</v>
      </c>
      <c r="K188" s="104" t="n">
        <v>1</v>
      </c>
      <c r="L188" s="101" t="n">
        <v>1</v>
      </c>
      <c r="M188" s="104" t="s">
        <v>902</v>
      </c>
      <c r="N188" s="98"/>
      <c r="O188" s="105" t="n">
        <f aca="false">IF(M188="Y",I188,IF(ISNUMBER(H188),H188*L188,0))</f>
        <v>420.21</v>
      </c>
      <c r="P188" s="106" t="str">
        <f aca="false">IF(J188="","",J188&amp;"|"&amp;A188&amp;"|"&amp;K188)</f>
        <v>R265|Ferguson|1</v>
      </c>
    </row>
    <row r="189" customFormat="false" ht="15" hidden="false" customHeight="false" outlineLevel="0" collapsed="false">
      <c r="A189" s="98" t="s">
        <v>19</v>
      </c>
      <c r="B189" s="99" t="s">
        <v>1229</v>
      </c>
      <c r="C189" s="99" t="s">
        <v>754</v>
      </c>
      <c r="D189" s="98"/>
      <c r="E189" s="100" t="s">
        <v>1230</v>
      </c>
      <c r="F189" s="101" t="n">
        <v>1</v>
      </c>
      <c r="G189" s="101" t="s">
        <v>133</v>
      </c>
      <c r="H189" s="102" t="n">
        <v>126.69</v>
      </c>
      <c r="I189" s="103" t="n">
        <v>126.69</v>
      </c>
      <c r="J189" s="104" t="s">
        <v>753</v>
      </c>
      <c r="K189" s="104" t="n">
        <v>1</v>
      </c>
      <c r="L189" s="101" t="n">
        <v>1</v>
      </c>
      <c r="M189" s="104" t="s">
        <v>902</v>
      </c>
      <c r="N189" s="98"/>
      <c r="O189" s="105" t="n">
        <f aca="false">IF(M189="Y",I189,IF(ISNUMBER(H189),H189*L189,0))</f>
        <v>126.69</v>
      </c>
      <c r="P189" s="106" t="str">
        <f aca="false">IF(J189="","",J189&amp;"|"&amp;A189&amp;"|"&amp;K189)</f>
        <v>R269|Ferguson|1</v>
      </c>
    </row>
    <row r="190" customFormat="false" ht="15" hidden="false" customHeight="false" outlineLevel="0" collapsed="false">
      <c r="A190" s="98" t="s">
        <v>19</v>
      </c>
      <c r="B190" s="99" t="s">
        <v>1231</v>
      </c>
      <c r="C190" s="99" t="s">
        <v>754</v>
      </c>
      <c r="D190" s="98"/>
      <c r="E190" s="100" t="s">
        <v>1232</v>
      </c>
      <c r="F190" s="101" t="n">
        <v>1</v>
      </c>
      <c r="G190" s="101" t="s">
        <v>133</v>
      </c>
      <c r="H190" s="102" t="n">
        <v>60</v>
      </c>
      <c r="I190" s="103" t="n">
        <v>60</v>
      </c>
      <c r="J190" s="104" t="s">
        <v>757</v>
      </c>
      <c r="K190" s="104" t="n">
        <v>1</v>
      </c>
      <c r="L190" s="101" t="n">
        <v>1</v>
      </c>
      <c r="M190" s="104" t="s">
        <v>902</v>
      </c>
      <c r="N190" s="98"/>
      <c r="O190" s="105" t="n">
        <f aca="false">IF(M190="Y",I190,IF(ISNUMBER(H190),H190*L190,0))</f>
        <v>60</v>
      </c>
      <c r="P190" s="106" t="str">
        <f aca="false">IF(J190="","",J190&amp;"|"&amp;A190&amp;"|"&amp;K190)</f>
        <v>R270|Ferguson|1</v>
      </c>
    </row>
    <row r="191" customFormat="false" ht="15" hidden="false" customHeight="false" outlineLevel="0" collapsed="false">
      <c r="A191" s="98" t="s">
        <v>19</v>
      </c>
      <c r="B191" s="99" t="s">
        <v>1233</v>
      </c>
      <c r="C191" s="99" t="s">
        <v>754</v>
      </c>
      <c r="D191" s="98"/>
      <c r="E191" s="100" t="s">
        <v>1234</v>
      </c>
      <c r="F191" s="101" t="n">
        <v>100</v>
      </c>
      <c r="G191" s="101" t="s">
        <v>979</v>
      </c>
      <c r="H191" s="102" t="n">
        <v>57.44</v>
      </c>
      <c r="I191" s="103" t="n">
        <v>57.44</v>
      </c>
      <c r="J191" s="104" t="s">
        <v>760</v>
      </c>
      <c r="K191" s="104" t="n">
        <v>1</v>
      </c>
      <c r="L191" s="101" t="n">
        <v>100</v>
      </c>
      <c r="M191" s="104" t="s">
        <v>902</v>
      </c>
      <c r="N191" s="98" t="s">
        <v>980</v>
      </c>
      <c r="O191" s="105" t="n">
        <f aca="false">IF(M191="Y",I191,IF(ISNUMBER(H191),H191*L191,0))</f>
        <v>57.44</v>
      </c>
      <c r="P191" s="106" t="str">
        <f aca="false">IF(J191="","",J191&amp;"|"&amp;A191&amp;"|"&amp;K191)</f>
        <v>R271|Ferguson|1</v>
      </c>
    </row>
    <row r="192" customFormat="false" ht="15" hidden="false" customHeight="false" outlineLevel="0" collapsed="false">
      <c r="A192" s="98" t="s">
        <v>19</v>
      </c>
      <c r="B192" s="99" t="s">
        <v>1235</v>
      </c>
      <c r="C192" s="99" t="s">
        <v>754</v>
      </c>
      <c r="D192" s="98"/>
      <c r="E192" s="100" t="s">
        <v>1236</v>
      </c>
      <c r="F192" s="101" t="n">
        <v>2</v>
      </c>
      <c r="G192" s="101" t="s">
        <v>133</v>
      </c>
      <c r="H192" s="102" t="n">
        <v>28.75</v>
      </c>
      <c r="I192" s="103" t="n">
        <v>57.5</v>
      </c>
      <c r="J192" s="104" t="s">
        <v>765</v>
      </c>
      <c r="K192" s="104" t="n">
        <v>1</v>
      </c>
      <c r="L192" s="101" t="n">
        <v>2</v>
      </c>
      <c r="M192" s="104" t="s">
        <v>902</v>
      </c>
      <c r="N192" s="98"/>
      <c r="O192" s="105" t="n">
        <f aca="false">IF(M192="Y",I192,IF(ISNUMBER(H192),H192*L192,0))</f>
        <v>57.5</v>
      </c>
      <c r="P192" s="106" t="str">
        <f aca="false">IF(J192="","",J192&amp;"|"&amp;A192&amp;"|"&amp;K192)</f>
        <v>R273|Ferguson|1</v>
      </c>
    </row>
    <row r="193" customFormat="false" ht="15" hidden="false" customHeight="false" outlineLevel="0" collapsed="false">
      <c r="A193" s="98" t="s">
        <v>19</v>
      </c>
      <c r="B193" s="99" t="s">
        <v>1237</v>
      </c>
      <c r="C193" s="99" t="s">
        <v>754</v>
      </c>
      <c r="D193" s="98"/>
      <c r="E193" s="100" t="s">
        <v>1238</v>
      </c>
      <c r="F193" s="101" t="n">
        <v>1</v>
      </c>
      <c r="G193" s="101" t="s">
        <v>133</v>
      </c>
      <c r="H193" s="102" t="n">
        <v>314.55</v>
      </c>
      <c r="I193" s="103" t="n">
        <v>314.55</v>
      </c>
      <c r="J193" s="104" t="s">
        <v>762</v>
      </c>
      <c r="K193" s="104" t="n">
        <v>1</v>
      </c>
      <c r="L193" s="101" t="n">
        <v>1</v>
      </c>
      <c r="M193" s="104" t="s">
        <v>902</v>
      </c>
      <c r="N193" s="98"/>
      <c r="O193" s="105" t="n">
        <f aca="false">IF(M193="Y",I193,IF(ISNUMBER(H193),H193*L193,0))</f>
        <v>314.55</v>
      </c>
      <c r="P193" s="106" t="str">
        <f aca="false">IF(J193="","",J193&amp;"|"&amp;A193&amp;"|"&amp;K193)</f>
        <v>R272|Ferguson|1</v>
      </c>
    </row>
    <row r="194" customFormat="false" ht="15" hidden="false" customHeight="false" outlineLevel="0" collapsed="false">
      <c r="A194" s="98" t="s">
        <v>19</v>
      </c>
      <c r="B194" s="99" t="s">
        <v>1239</v>
      </c>
      <c r="C194" s="99" t="s">
        <v>754</v>
      </c>
      <c r="D194" s="98"/>
      <c r="E194" s="100" t="s">
        <v>1240</v>
      </c>
      <c r="F194" s="101" t="n">
        <v>1</v>
      </c>
      <c r="G194" s="101" t="s">
        <v>133</v>
      </c>
      <c r="H194" s="102" t="n">
        <v>149.77</v>
      </c>
      <c r="I194" s="103" t="n">
        <v>149.77</v>
      </c>
      <c r="J194" s="104" t="s">
        <v>767</v>
      </c>
      <c r="K194" s="104" t="n">
        <v>1</v>
      </c>
      <c r="L194" s="101" t="n">
        <v>1</v>
      </c>
      <c r="M194" s="104" t="s">
        <v>902</v>
      </c>
      <c r="N194" s="98"/>
      <c r="O194" s="105" t="n">
        <f aca="false">IF(M194="Y",I194,IF(ISNUMBER(H194),H194*L194,0))</f>
        <v>149.77</v>
      </c>
      <c r="P194" s="106" t="str">
        <f aca="false">IF(J194="","",J194&amp;"|"&amp;A194&amp;"|"&amp;K194)</f>
        <v>R274|Ferguson|1</v>
      </c>
    </row>
    <row r="195" customFormat="false" ht="15" hidden="false" customHeight="false" outlineLevel="0" collapsed="false">
      <c r="A195" s="98" t="s">
        <v>19</v>
      </c>
      <c r="B195" s="99" t="s">
        <v>1241</v>
      </c>
      <c r="C195" s="99" t="s">
        <v>754</v>
      </c>
      <c r="D195" s="98"/>
      <c r="E195" s="100" t="s">
        <v>1242</v>
      </c>
      <c r="F195" s="101" t="n">
        <v>3</v>
      </c>
      <c r="G195" s="101" t="s">
        <v>133</v>
      </c>
      <c r="H195" s="102" t="n">
        <v>2.42</v>
      </c>
      <c r="I195" s="103" t="n">
        <v>7.26</v>
      </c>
      <c r="J195" s="104" t="s">
        <v>774</v>
      </c>
      <c r="K195" s="104" t="n">
        <v>1</v>
      </c>
      <c r="L195" s="101" t="n">
        <v>3</v>
      </c>
      <c r="M195" s="104" t="s">
        <v>902</v>
      </c>
      <c r="N195" s="98"/>
      <c r="O195" s="105" t="n">
        <f aca="false">IF(M195="Y",I195,IF(ISNUMBER(H195),H195*L195,0))</f>
        <v>7.26</v>
      </c>
      <c r="P195" s="106" t="str">
        <f aca="false">IF(J195="","",J195&amp;"|"&amp;A195&amp;"|"&amp;K195)</f>
        <v>R277|Ferguson|1</v>
      </c>
    </row>
    <row r="196" customFormat="false" ht="15" hidden="false" customHeight="false" outlineLevel="0" collapsed="false">
      <c r="A196" s="98" t="s">
        <v>19</v>
      </c>
      <c r="B196" s="99" t="s">
        <v>1243</v>
      </c>
      <c r="C196" s="99" t="s">
        <v>754</v>
      </c>
      <c r="D196" s="98"/>
      <c r="E196" s="100" t="s">
        <v>1063</v>
      </c>
      <c r="F196" s="101" t="n">
        <v>500</v>
      </c>
      <c r="G196" s="101" t="s">
        <v>1064</v>
      </c>
      <c r="H196" s="102" t="n">
        <v>372.39</v>
      </c>
      <c r="I196" s="103" t="n">
        <v>186.19</v>
      </c>
      <c r="J196" s="104" t="s">
        <v>776</v>
      </c>
      <c r="K196" s="104" t="n">
        <v>1</v>
      </c>
      <c r="L196" s="101" t="n">
        <v>500</v>
      </c>
      <c r="M196" s="104" t="s">
        <v>902</v>
      </c>
      <c r="N196" s="98" t="s">
        <v>1065</v>
      </c>
      <c r="O196" s="105" t="n">
        <f aca="false">IF(M196="Y",I196,IF(ISNUMBER(H196),H196*L196,0))</f>
        <v>186.19</v>
      </c>
      <c r="P196" s="106" t="str">
        <f aca="false">IF(J196="","",J196&amp;"|"&amp;A196&amp;"|"&amp;K196)</f>
        <v>R278|Ferguson|1</v>
      </c>
    </row>
    <row r="197" customFormat="false" ht="15" hidden="false" customHeight="false" outlineLevel="0" collapsed="false">
      <c r="A197" s="98" t="s">
        <v>19</v>
      </c>
      <c r="B197" s="99" t="s">
        <v>1244</v>
      </c>
      <c r="C197" s="99" t="s">
        <v>754</v>
      </c>
      <c r="D197" s="98"/>
      <c r="E197" s="100" t="s">
        <v>1245</v>
      </c>
      <c r="F197" s="101" t="n">
        <v>1</v>
      </c>
      <c r="G197" s="101" t="s">
        <v>133</v>
      </c>
      <c r="H197" s="102" t="n">
        <v>22.58</v>
      </c>
      <c r="I197" s="103" t="n">
        <v>22.58</v>
      </c>
      <c r="J197" s="104" t="s">
        <v>778</v>
      </c>
      <c r="K197" s="104" t="n">
        <v>1</v>
      </c>
      <c r="L197" s="101" t="n">
        <v>1</v>
      </c>
      <c r="M197" s="104" t="s">
        <v>902</v>
      </c>
      <c r="N197" s="98"/>
      <c r="O197" s="105" t="n">
        <f aca="false">IF(M197="Y",I197,IF(ISNUMBER(H197),H197*L197,0))</f>
        <v>22.58</v>
      </c>
      <c r="P197" s="106" t="str">
        <f aca="false">IF(J197="","",J197&amp;"|"&amp;A197&amp;"|"&amp;K197)</f>
        <v>R279|Ferguson|1</v>
      </c>
    </row>
    <row r="198" customFormat="false" ht="15" hidden="false" customHeight="false" outlineLevel="0" collapsed="false">
      <c r="A198" s="98" t="s">
        <v>19</v>
      </c>
      <c r="B198" s="99" t="s">
        <v>1246</v>
      </c>
      <c r="C198" s="99" t="s">
        <v>782</v>
      </c>
      <c r="D198" s="98"/>
      <c r="E198" s="100" t="s">
        <v>1247</v>
      </c>
      <c r="F198" s="101" t="n">
        <v>620</v>
      </c>
      <c r="G198" s="101" t="s">
        <v>178</v>
      </c>
      <c r="H198" s="102" t="n">
        <v>97.22</v>
      </c>
      <c r="I198" s="103" t="n">
        <v>60276.4</v>
      </c>
      <c r="J198" s="104" t="s">
        <v>781</v>
      </c>
      <c r="K198" s="104" t="n">
        <v>1</v>
      </c>
      <c r="L198" s="101" t="n">
        <v>620</v>
      </c>
      <c r="M198" s="104" t="s">
        <v>902</v>
      </c>
      <c r="N198" s="98"/>
      <c r="O198" s="105" t="n">
        <f aca="false">IF(M198="Y",I198,IF(ISNUMBER(H198),H198*L198,0))</f>
        <v>60276.4</v>
      </c>
      <c r="P198" s="106" t="str">
        <f aca="false">IF(J198="","",J198&amp;"|"&amp;A198&amp;"|"&amp;K198)</f>
        <v>R280|Ferguson|1</v>
      </c>
    </row>
    <row r="199" customFormat="false" ht="15" hidden="false" customHeight="false" outlineLevel="0" collapsed="false">
      <c r="A199" s="98" t="s">
        <v>19</v>
      </c>
      <c r="B199" s="99" t="s">
        <v>1248</v>
      </c>
      <c r="C199" s="99" t="s">
        <v>782</v>
      </c>
      <c r="D199" s="98"/>
      <c r="E199" s="100" t="s">
        <v>1249</v>
      </c>
      <c r="F199" s="101" t="n">
        <v>29</v>
      </c>
      <c r="G199" s="101" t="s">
        <v>133</v>
      </c>
      <c r="H199" s="102" t="n">
        <v>524.96</v>
      </c>
      <c r="I199" s="103" t="n">
        <v>15223.84</v>
      </c>
      <c r="J199" s="104" t="s">
        <v>785</v>
      </c>
      <c r="K199" s="104" t="n">
        <v>1</v>
      </c>
      <c r="L199" s="101" t="n">
        <v>29</v>
      </c>
      <c r="M199" s="104" t="s">
        <v>902</v>
      </c>
      <c r="N199" s="98"/>
      <c r="O199" s="105" t="n">
        <f aca="false">IF(M199="Y",I199,IF(ISNUMBER(H199),H199*L199,0))</f>
        <v>15223.84</v>
      </c>
      <c r="P199" s="106" t="str">
        <f aca="false">IF(J199="","",J199&amp;"|"&amp;A199&amp;"|"&amp;K199)</f>
        <v>R281|Ferguson|1</v>
      </c>
    </row>
    <row r="200" customFormat="false" ht="15" hidden="false" customHeight="false" outlineLevel="0" collapsed="false">
      <c r="A200" s="98" t="s">
        <v>19</v>
      </c>
      <c r="B200" s="99" t="s">
        <v>1250</v>
      </c>
      <c r="C200" s="99" t="s">
        <v>782</v>
      </c>
      <c r="D200" s="98"/>
      <c r="E200" s="100" t="s">
        <v>1251</v>
      </c>
      <c r="F200" s="101" t="n">
        <v>1</v>
      </c>
      <c r="G200" s="101" t="s">
        <v>133</v>
      </c>
      <c r="H200" s="102" t="n">
        <v>819.8</v>
      </c>
      <c r="I200" s="103" t="n">
        <v>819.8</v>
      </c>
      <c r="J200" s="104" t="s">
        <v>788</v>
      </c>
      <c r="K200" s="104" t="n">
        <v>1</v>
      </c>
      <c r="L200" s="101" t="n">
        <v>1</v>
      </c>
      <c r="M200" s="104" t="s">
        <v>902</v>
      </c>
      <c r="N200" s="98"/>
      <c r="O200" s="105" t="n">
        <f aca="false">IF(M200="Y",I200,IF(ISNUMBER(H200),H200*L200,0))</f>
        <v>819.8</v>
      </c>
      <c r="P200" s="106" t="str">
        <f aca="false">IF(J200="","",J200&amp;"|"&amp;A200&amp;"|"&amp;K200)</f>
        <v>R282|Ferguson|1</v>
      </c>
    </row>
    <row r="201" customFormat="false" ht="15" hidden="false" customHeight="false" outlineLevel="0" collapsed="false">
      <c r="A201" s="98" t="s">
        <v>19</v>
      </c>
      <c r="B201" s="99" t="s">
        <v>1252</v>
      </c>
      <c r="C201" s="99" t="s">
        <v>782</v>
      </c>
      <c r="D201" s="98"/>
      <c r="E201" s="100" t="s">
        <v>1253</v>
      </c>
      <c r="F201" s="101" t="n">
        <v>4</v>
      </c>
      <c r="G201" s="101" t="s">
        <v>133</v>
      </c>
      <c r="H201" s="102" t="n">
        <v>750.78</v>
      </c>
      <c r="I201" s="103" t="n">
        <v>3003.12</v>
      </c>
      <c r="J201" s="104" t="s">
        <v>790</v>
      </c>
      <c r="K201" s="104" t="n">
        <v>1</v>
      </c>
      <c r="L201" s="101" t="n">
        <v>4</v>
      </c>
      <c r="M201" s="104" t="s">
        <v>902</v>
      </c>
      <c r="N201" s="98"/>
      <c r="O201" s="105" t="n">
        <f aca="false">IF(M201="Y",I201,IF(ISNUMBER(H201),H201*L201,0))</f>
        <v>3003.12</v>
      </c>
      <c r="P201" s="106" t="str">
        <f aca="false">IF(J201="","",J201&amp;"|"&amp;A201&amp;"|"&amp;K201)</f>
        <v>R283|Ferguson|1</v>
      </c>
    </row>
    <row r="202" customFormat="false" ht="15" hidden="false" customHeight="false" outlineLevel="0" collapsed="false">
      <c r="A202" s="98" t="s">
        <v>19</v>
      </c>
      <c r="B202" s="99" t="s">
        <v>1254</v>
      </c>
      <c r="C202" s="99" t="s">
        <v>782</v>
      </c>
      <c r="D202" s="98"/>
      <c r="E202" s="100" t="s">
        <v>1255</v>
      </c>
      <c r="F202" s="101" t="n">
        <v>1240</v>
      </c>
      <c r="G202" s="101" t="s">
        <v>979</v>
      </c>
      <c r="H202" s="102" t="n">
        <v>193.71</v>
      </c>
      <c r="I202" s="103" t="n">
        <v>2402</v>
      </c>
      <c r="J202" s="104" t="s">
        <v>803</v>
      </c>
      <c r="K202" s="104" t="n">
        <v>1</v>
      </c>
      <c r="L202" s="101" t="n">
        <v>1240</v>
      </c>
      <c r="M202" s="104" t="s">
        <v>902</v>
      </c>
      <c r="N202" s="98" t="s">
        <v>980</v>
      </c>
      <c r="O202" s="105" t="n">
        <f aca="false">IF(M202="Y",I202,IF(ISNUMBER(H202),H202*L202,0))</f>
        <v>2402</v>
      </c>
      <c r="P202" s="106" t="str">
        <f aca="false">IF(J202="","",J202&amp;"|"&amp;A202&amp;"|"&amp;K202)</f>
        <v>R290|Ferguson|1</v>
      </c>
    </row>
    <row r="203" customFormat="false" ht="15" hidden="false" customHeight="false" outlineLevel="0" collapsed="false">
      <c r="A203" s="98" t="s">
        <v>19</v>
      </c>
      <c r="B203" s="99" t="s">
        <v>1256</v>
      </c>
      <c r="C203" s="99" t="s">
        <v>782</v>
      </c>
      <c r="D203" s="98"/>
      <c r="E203" s="100" t="s">
        <v>1257</v>
      </c>
      <c r="F203" s="101" t="n">
        <v>8</v>
      </c>
      <c r="G203" s="101" t="s">
        <v>133</v>
      </c>
      <c r="H203" s="102" t="n">
        <v>40.21</v>
      </c>
      <c r="I203" s="103" t="n">
        <v>321.68</v>
      </c>
      <c r="J203" s="104" t="s">
        <v>805</v>
      </c>
      <c r="K203" s="104" t="n">
        <v>1</v>
      </c>
      <c r="L203" s="101" t="n">
        <v>8</v>
      </c>
      <c r="M203" s="104" t="s">
        <v>902</v>
      </c>
      <c r="N203" s="98"/>
      <c r="O203" s="105" t="n">
        <f aca="false">IF(M203="Y",I203,IF(ISNUMBER(H203),H203*L203,0))</f>
        <v>321.68</v>
      </c>
      <c r="P203" s="106" t="str">
        <f aca="false">IF(J203="","",J203&amp;"|"&amp;A203&amp;"|"&amp;K203)</f>
        <v>R291|Ferguson|1</v>
      </c>
    </row>
    <row r="204" customFormat="false" ht="15" hidden="false" customHeight="false" outlineLevel="0" collapsed="false">
      <c r="A204" s="98" t="s">
        <v>19</v>
      </c>
      <c r="B204" s="99" t="s">
        <v>1258</v>
      </c>
      <c r="C204" s="99" t="s">
        <v>782</v>
      </c>
      <c r="D204" s="98"/>
      <c r="E204" s="100" t="s">
        <v>1259</v>
      </c>
      <c r="F204" s="101" t="n">
        <v>2</v>
      </c>
      <c r="G204" s="101" t="s">
        <v>133</v>
      </c>
      <c r="H204" s="102" t="n">
        <v>144.44</v>
      </c>
      <c r="I204" s="103" t="n">
        <v>288.88</v>
      </c>
      <c r="J204" s="104" t="s">
        <v>815</v>
      </c>
      <c r="K204" s="104" t="n">
        <v>1</v>
      </c>
      <c r="L204" s="101" t="n">
        <v>2</v>
      </c>
      <c r="M204" s="104" t="s">
        <v>902</v>
      </c>
      <c r="N204" s="98"/>
      <c r="O204" s="105" t="n">
        <f aca="false">IF(M204="Y",I204,IF(ISNUMBER(H204),H204*L204,0))</f>
        <v>288.88</v>
      </c>
      <c r="P204" s="106" t="str">
        <f aca="false">IF(J204="","",J204&amp;"|"&amp;A204&amp;"|"&amp;K204)</f>
        <v>R295|Ferguson|1</v>
      </c>
    </row>
    <row r="205" customFormat="false" ht="15" hidden="false" customHeight="false" outlineLevel="0" collapsed="false">
      <c r="A205" s="98" t="s">
        <v>19</v>
      </c>
      <c r="B205" s="99" t="s">
        <v>1260</v>
      </c>
      <c r="C205" s="99" t="s">
        <v>782</v>
      </c>
      <c r="D205" s="98"/>
      <c r="E205" s="100" t="s">
        <v>1261</v>
      </c>
      <c r="F205" s="101" t="n">
        <v>1</v>
      </c>
      <c r="G205" s="101" t="s">
        <v>133</v>
      </c>
      <c r="H205" s="102" t="n">
        <v>303.64</v>
      </c>
      <c r="I205" s="103" t="n">
        <v>303.64</v>
      </c>
      <c r="J205" s="104" t="s">
        <v>797</v>
      </c>
      <c r="K205" s="104" t="n">
        <v>1</v>
      </c>
      <c r="L205" s="101" t="n">
        <v>1</v>
      </c>
      <c r="M205" s="104" t="s">
        <v>902</v>
      </c>
      <c r="N205" s="98"/>
      <c r="O205" s="105" t="n">
        <f aca="false">IF(M205="Y",I205,IF(ISNUMBER(H205),H205*L205,0))</f>
        <v>303.64</v>
      </c>
      <c r="P205" s="106" t="str">
        <f aca="false">IF(J205="","",J205&amp;"|"&amp;A205&amp;"|"&amp;K205)</f>
        <v>R286|Ferguson|1</v>
      </c>
    </row>
    <row r="206" customFormat="false" ht="15" hidden="false" customHeight="false" outlineLevel="0" collapsed="false">
      <c r="A206" s="98" t="s">
        <v>19</v>
      </c>
      <c r="B206" s="99" t="s">
        <v>1262</v>
      </c>
      <c r="C206" s="99" t="s">
        <v>782</v>
      </c>
      <c r="D206" s="98"/>
      <c r="E206" s="100" t="s">
        <v>1263</v>
      </c>
      <c r="F206" s="101" t="n">
        <v>9</v>
      </c>
      <c r="G206" s="101" t="s">
        <v>133</v>
      </c>
      <c r="H206" s="102" t="n">
        <v>226.94</v>
      </c>
      <c r="I206" s="103" t="n">
        <v>2042.46</v>
      </c>
      <c r="J206" s="104" t="s">
        <v>799</v>
      </c>
      <c r="K206" s="104" t="n">
        <v>1</v>
      </c>
      <c r="L206" s="101" t="n">
        <v>9</v>
      </c>
      <c r="M206" s="104" t="s">
        <v>902</v>
      </c>
      <c r="N206" s="98"/>
      <c r="O206" s="105" t="n">
        <f aca="false">IF(M206="Y",I206,IF(ISNUMBER(H206),H206*L206,0))</f>
        <v>2042.46</v>
      </c>
      <c r="P206" s="106" t="str">
        <f aca="false">IF(J206="","",J206&amp;"|"&amp;A206&amp;"|"&amp;K206)</f>
        <v>R287|Ferguson|1</v>
      </c>
    </row>
    <row r="207" customFormat="false" ht="15" hidden="false" customHeight="false" outlineLevel="0" collapsed="false">
      <c r="A207" s="98" t="s">
        <v>19</v>
      </c>
      <c r="B207" s="99" t="s">
        <v>1264</v>
      </c>
      <c r="C207" s="99" t="s">
        <v>782</v>
      </c>
      <c r="D207" s="98"/>
      <c r="E207" s="100" t="s">
        <v>1265</v>
      </c>
      <c r="F207" s="101" t="n">
        <v>580</v>
      </c>
      <c r="G207" s="101" t="s">
        <v>133</v>
      </c>
      <c r="H207" s="102" t="n">
        <v>240.58</v>
      </c>
      <c r="I207" s="103" t="n">
        <v>139536.4</v>
      </c>
      <c r="J207" s="104" t="s">
        <v>817</v>
      </c>
      <c r="K207" s="104" t="n">
        <v>1</v>
      </c>
      <c r="L207" s="101" t="n">
        <v>580</v>
      </c>
      <c r="M207" s="104" t="s">
        <v>902</v>
      </c>
      <c r="N207" s="98" t="s">
        <v>1266</v>
      </c>
      <c r="O207" s="105" t="n">
        <f aca="false">IF(M207="Y",I207,IF(ISNUMBER(H207),H207*L207,0))</f>
        <v>139536.4</v>
      </c>
      <c r="P207" s="106" t="str">
        <f aca="false">IF(J207="","",J207&amp;"|"&amp;A207&amp;"|"&amp;K207)</f>
        <v>R296|Ferguson|1</v>
      </c>
    </row>
    <row r="208" customFormat="false" ht="15" hidden="false" customHeight="false" outlineLevel="0" collapsed="false">
      <c r="A208" s="98" t="s">
        <v>19</v>
      </c>
      <c r="B208" s="99" t="s">
        <v>1267</v>
      </c>
      <c r="C208" s="99" t="s">
        <v>782</v>
      </c>
      <c r="D208" s="98"/>
      <c r="E208" s="100" t="s">
        <v>1268</v>
      </c>
      <c r="F208" s="101" t="n">
        <v>97</v>
      </c>
      <c r="G208" s="101" t="s">
        <v>133</v>
      </c>
      <c r="H208" s="102" t="n">
        <v>437.65</v>
      </c>
      <c r="I208" s="103" t="n">
        <v>42452.05</v>
      </c>
      <c r="J208" s="104" t="s">
        <v>821</v>
      </c>
      <c r="K208" s="104" t="n">
        <v>1</v>
      </c>
      <c r="L208" s="101" t="n">
        <v>97</v>
      </c>
      <c r="M208" s="104" t="s">
        <v>902</v>
      </c>
      <c r="N208" s="98"/>
      <c r="O208" s="105" t="n">
        <f aca="false">IF(M208="Y",I208,IF(ISNUMBER(H208),H208*L208,0))</f>
        <v>42452.05</v>
      </c>
      <c r="P208" s="106" t="str">
        <f aca="false">IF(J208="","",J208&amp;"|"&amp;A208&amp;"|"&amp;K208)</f>
        <v>R297|Ferguson|1</v>
      </c>
    </row>
    <row r="209" customFormat="false" ht="15" hidden="false" customHeight="false" outlineLevel="0" collapsed="false">
      <c r="A209" s="98" t="s">
        <v>19</v>
      </c>
      <c r="B209" s="99" t="s">
        <v>1269</v>
      </c>
      <c r="C209" s="99" t="s">
        <v>782</v>
      </c>
      <c r="D209" s="98"/>
      <c r="E209" s="100" t="s">
        <v>1270</v>
      </c>
      <c r="F209" s="101" t="n">
        <v>2</v>
      </c>
      <c r="G209" s="101" t="s">
        <v>133</v>
      </c>
      <c r="H209" s="102" t="n">
        <v>328.24</v>
      </c>
      <c r="I209" s="103" t="n">
        <v>656.48</v>
      </c>
      <c r="J209" s="104" t="s">
        <v>825</v>
      </c>
      <c r="K209" s="104" t="n">
        <v>1</v>
      </c>
      <c r="L209" s="101" t="n">
        <v>2</v>
      </c>
      <c r="M209" s="104" t="s">
        <v>902</v>
      </c>
      <c r="N209" s="98"/>
      <c r="O209" s="105" t="n">
        <f aca="false">IF(M209="Y",I209,IF(ISNUMBER(H209),H209*L209,0))</f>
        <v>656.48</v>
      </c>
      <c r="P209" s="106" t="str">
        <f aca="false">IF(J209="","",J209&amp;"|"&amp;A209&amp;"|"&amp;K209)</f>
        <v>R298|Ferguson|1</v>
      </c>
    </row>
    <row r="210" customFormat="false" ht="15" hidden="false" customHeight="false" outlineLevel="0" collapsed="false">
      <c r="A210" s="98" t="s">
        <v>23</v>
      </c>
      <c r="B210" s="99" t="s">
        <v>1271</v>
      </c>
      <c r="C210" s="99" t="s">
        <v>130</v>
      </c>
      <c r="D210" s="98" t="s">
        <v>1272</v>
      </c>
      <c r="E210" s="100" t="s">
        <v>1273</v>
      </c>
      <c r="F210" s="101" t="n">
        <v>1</v>
      </c>
      <c r="G210" s="101" t="s">
        <v>133</v>
      </c>
      <c r="H210" s="102" t="n">
        <v>4510.99</v>
      </c>
      <c r="I210" s="103" t="n">
        <v>4510.99</v>
      </c>
      <c r="J210" s="104" t="s">
        <v>182</v>
      </c>
      <c r="K210" s="104" t="n">
        <v>1</v>
      </c>
      <c r="L210" s="101" t="n">
        <v>1</v>
      </c>
      <c r="M210" s="104" t="s">
        <v>902</v>
      </c>
      <c r="N210" s="98"/>
      <c r="O210" s="105" t="n">
        <f aca="false">IF(M210="Y",I210,IF(ISNUMBER(H210),H210*L210,0))</f>
        <v>4510.99</v>
      </c>
      <c r="P210" s="106" t="str">
        <f aca="false">IF(J210="","",J210&amp;"|"&amp;A210&amp;"|"&amp;K210)</f>
        <v>R022|HD Fowler|1</v>
      </c>
    </row>
    <row r="211" customFormat="false" ht="15" hidden="false" customHeight="false" outlineLevel="0" collapsed="false">
      <c r="A211" s="98" t="s">
        <v>23</v>
      </c>
      <c r="B211" s="99" t="s">
        <v>1274</v>
      </c>
      <c r="C211" s="99" t="s">
        <v>130</v>
      </c>
      <c r="D211" s="98" t="s">
        <v>1272</v>
      </c>
      <c r="E211" s="100" t="s">
        <v>1275</v>
      </c>
      <c r="F211" s="101" t="n">
        <v>1</v>
      </c>
      <c r="G211" s="101" t="s">
        <v>133</v>
      </c>
      <c r="H211" s="102" t="n">
        <v>1560.11</v>
      </c>
      <c r="I211" s="103" t="n">
        <v>1560.11</v>
      </c>
      <c r="J211" s="104" t="s">
        <v>129</v>
      </c>
      <c r="K211" s="104" t="n">
        <v>1</v>
      </c>
      <c r="L211" s="101" t="n">
        <v>1</v>
      </c>
      <c r="M211" s="104" t="s">
        <v>902</v>
      </c>
      <c r="N211" s="98"/>
      <c r="O211" s="105" t="n">
        <f aca="false">IF(M211="Y",I211,IF(ISNUMBER(H211),H211*L211,0))</f>
        <v>1560.11</v>
      </c>
      <c r="P211" s="106" t="str">
        <f aca="false">IF(J211="","",J211&amp;"|"&amp;A211&amp;"|"&amp;K211)</f>
        <v>R001|HD Fowler|1</v>
      </c>
    </row>
    <row r="212" customFormat="false" ht="15" hidden="false" customHeight="false" outlineLevel="0" collapsed="false">
      <c r="A212" s="98" t="s">
        <v>23</v>
      </c>
      <c r="B212" s="99" t="s">
        <v>1276</v>
      </c>
      <c r="C212" s="99" t="s">
        <v>130</v>
      </c>
      <c r="D212" s="98" t="s">
        <v>1272</v>
      </c>
      <c r="E212" s="100" t="s">
        <v>1277</v>
      </c>
      <c r="F212" s="101" t="n">
        <v>1</v>
      </c>
      <c r="G212" s="101" t="s">
        <v>133</v>
      </c>
      <c r="H212" s="102" t="n">
        <v>2341.76</v>
      </c>
      <c r="I212" s="103" t="n">
        <v>2341.76</v>
      </c>
      <c r="J212" s="104" t="s">
        <v>193</v>
      </c>
      <c r="K212" s="104" t="n">
        <v>1</v>
      </c>
      <c r="L212" s="101" t="n">
        <v>1</v>
      </c>
      <c r="M212" s="104" t="s">
        <v>902</v>
      </c>
      <c r="N212" s="98"/>
      <c r="O212" s="105" t="n">
        <f aca="false">IF(M212="Y",I212,IF(ISNUMBER(H212),H212*L212,0))</f>
        <v>2341.76</v>
      </c>
      <c r="P212" s="106" t="str">
        <f aca="false">IF(J212="","",J212&amp;"|"&amp;A212&amp;"|"&amp;K212)</f>
        <v>R027|HD Fowler|1</v>
      </c>
    </row>
    <row r="213" customFormat="false" ht="15" hidden="false" customHeight="false" outlineLevel="0" collapsed="false">
      <c r="A213" s="98" t="s">
        <v>23</v>
      </c>
      <c r="B213" s="99" t="s">
        <v>1278</v>
      </c>
      <c r="C213" s="99" t="s">
        <v>130</v>
      </c>
      <c r="D213" s="98" t="s">
        <v>1272</v>
      </c>
      <c r="E213" s="100" t="s">
        <v>1279</v>
      </c>
      <c r="F213" s="101" t="n">
        <v>1</v>
      </c>
      <c r="G213" s="101" t="s">
        <v>133</v>
      </c>
      <c r="H213" s="102" t="n">
        <v>989.3</v>
      </c>
      <c r="I213" s="103" t="n">
        <v>989.3</v>
      </c>
      <c r="J213" s="104" t="s">
        <v>134</v>
      </c>
      <c r="K213" s="104" t="n">
        <v>1</v>
      </c>
      <c r="L213" s="101" t="n">
        <v>1</v>
      </c>
      <c r="M213" s="104" t="s">
        <v>902</v>
      </c>
      <c r="N213" s="98"/>
      <c r="O213" s="105" t="n">
        <f aca="false">IF(M213="Y",I213,IF(ISNUMBER(H213),H213*L213,0))</f>
        <v>989.3</v>
      </c>
      <c r="P213" s="106" t="str">
        <f aca="false">IF(J213="","",J213&amp;"|"&amp;A213&amp;"|"&amp;K213)</f>
        <v>R002|HD Fowler|1</v>
      </c>
    </row>
    <row r="214" customFormat="false" ht="15" hidden="false" customHeight="false" outlineLevel="0" collapsed="false">
      <c r="A214" s="98" t="s">
        <v>23</v>
      </c>
      <c r="B214" s="99" t="s">
        <v>1280</v>
      </c>
      <c r="C214" s="99" t="s">
        <v>130</v>
      </c>
      <c r="D214" s="98" t="s">
        <v>1272</v>
      </c>
      <c r="E214" s="100" t="s">
        <v>1281</v>
      </c>
      <c r="F214" s="101" t="n">
        <v>1</v>
      </c>
      <c r="G214" s="101" t="s">
        <v>133</v>
      </c>
      <c r="H214" s="102" t="n">
        <v>909.11</v>
      </c>
      <c r="I214" s="103" t="n">
        <v>909.11</v>
      </c>
      <c r="J214" s="104" t="s">
        <v>147</v>
      </c>
      <c r="K214" s="104" t="n">
        <v>1</v>
      </c>
      <c r="L214" s="101" t="n">
        <v>1</v>
      </c>
      <c r="M214" s="104" t="s">
        <v>902</v>
      </c>
      <c r="N214" s="98"/>
      <c r="O214" s="105" t="n">
        <f aca="false">IF(M214="Y",I214,IF(ISNUMBER(H214),H214*L214,0))</f>
        <v>909.11</v>
      </c>
      <c r="P214" s="106" t="str">
        <f aca="false">IF(J214="","",J214&amp;"|"&amp;A214&amp;"|"&amp;K214)</f>
        <v>R007|HD Fowler|1</v>
      </c>
    </row>
    <row r="215" customFormat="false" ht="15" hidden="false" customHeight="false" outlineLevel="0" collapsed="false">
      <c r="A215" s="98" t="s">
        <v>23</v>
      </c>
      <c r="B215" s="99" t="s">
        <v>1282</v>
      </c>
      <c r="C215" s="99" t="s">
        <v>130</v>
      </c>
      <c r="D215" s="98" t="s">
        <v>1272</v>
      </c>
      <c r="E215" s="100" t="s">
        <v>1283</v>
      </c>
      <c r="F215" s="101" t="n">
        <v>1</v>
      </c>
      <c r="G215" s="101" t="s">
        <v>133</v>
      </c>
      <c r="H215" s="102" t="n">
        <v>817.58</v>
      </c>
      <c r="I215" s="103" t="n">
        <v>817.58</v>
      </c>
      <c r="J215" s="104" t="s">
        <v>199</v>
      </c>
      <c r="K215" s="104" t="n">
        <v>1</v>
      </c>
      <c r="L215" s="101" t="n">
        <v>1</v>
      </c>
      <c r="M215" s="104" t="s">
        <v>902</v>
      </c>
      <c r="N215" s="98"/>
      <c r="O215" s="105" t="n">
        <f aca="false">IF(M215="Y",I215,IF(ISNUMBER(H215),H215*L215,0))</f>
        <v>817.58</v>
      </c>
      <c r="P215" s="106" t="str">
        <f aca="false">IF(J215="","",J215&amp;"|"&amp;A215&amp;"|"&amp;K215)</f>
        <v>R030|HD Fowler|1</v>
      </c>
    </row>
    <row r="216" customFormat="false" ht="15" hidden="false" customHeight="false" outlineLevel="0" collapsed="false">
      <c r="A216" s="98" t="s">
        <v>23</v>
      </c>
      <c r="B216" s="99" t="s">
        <v>1284</v>
      </c>
      <c r="C216" s="99" t="s">
        <v>130</v>
      </c>
      <c r="D216" s="98" t="s">
        <v>1272</v>
      </c>
      <c r="E216" s="100" t="s">
        <v>1285</v>
      </c>
      <c r="F216" s="101" t="n">
        <v>1</v>
      </c>
      <c r="G216" s="101" t="s">
        <v>133</v>
      </c>
      <c r="H216" s="102" t="n">
        <v>1057.37</v>
      </c>
      <c r="I216" s="103" t="n">
        <v>1057.37</v>
      </c>
      <c r="J216" s="104" t="s">
        <v>145</v>
      </c>
      <c r="K216" s="104" t="n">
        <v>1</v>
      </c>
      <c r="L216" s="101" t="n">
        <v>1</v>
      </c>
      <c r="M216" s="104" t="s">
        <v>902</v>
      </c>
      <c r="N216" s="98"/>
      <c r="O216" s="105" t="n">
        <f aca="false">IF(M216="Y",I216,IF(ISNUMBER(H216),H216*L216,0))</f>
        <v>1057.37</v>
      </c>
      <c r="P216" s="106" t="str">
        <f aca="false">IF(J216="","",J216&amp;"|"&amp;A216&amp;"|"&amp;K216)</f>
        <v>R006|HD Fowler|1</v>
      </c>
    </row>
    <row r="217" customFormat="false" ht="15" hidden="false" customHeight="false" outlineLevel="0" collapsed="false">
      <c r="A217" s="98" t="s">
        <v>23</v>
      </c>
      <c r="B217" s="99" t="s">
        <v>1286</v>
      </c>
      <c r="C217" s="99" t="s">
        <v>130</v>
      </c>
      <c r="D217" s="98" t="s">
        <v>1272</v>
      </c>
      <c r="E217" s="100" t="s">
        <v>1287</v>
      </c>
      <c r="F217" s="101" t="n">
        <v>1</v>
      </c>
      <c r="G217" s="101" t="s">
        <v>133</v>
      </c>
      <c r="H217" s="102" t="n">
        <v>1162.64</v>
      </c>
      <c r="I217" s="103" t="n">
        <v>1162.64</v>
      </c>
      <c r="J217" s="104" t="s">
        <v>197</v>
      </c>
      <c r="K217" s="104" t="n">
        <v>1</v>
      </c>
      <c r="L217" s="101" t="n">
        <v>1</v>
      </c>
      <c r="M217" s="104" t="s">
        <v>902</v>
      </c>
      <c r="N217" s="98"/>
      <c r="O217" s="105" t="n">
        <f aca="false">IF(M217="Y",I217,IF(ISNUMBER(H217),H217*L217,0))</f>
        <v>1162.64</v>
      </c>
      <c r="P217" s="106" t="str">
        <f aca="false">IF(J217="","",J217&amp;"|"&amp;A217&amp;"|"&amp;K217)</f>
        <v>R029|HD Fowler|1</v>
      </c>
    </row>
    <row r="218" customFormat="false" ht="15" hidden="false" customHeight="false" outlineLevel="0" collapsed="false">
      <c r="A218" s="98" t="s">
        <v>23</v>
      </c>
      <c r="B218" s="99" t="s">
        <v>1288</v>
      </c>
      <c r="C218" s="99" t="s">
        <v>130</v>
      </c>
      <c r="D218" s="98" t="s">
        <v>1272</v>
      </c>
      <c r="E218" s="100" t="s">
        <v>1289</v>
      </c>
      <c r="F218" s="101" t="n">
        <v>3</v>
      </c>
      <c r="G218" s="101" t="s">
        <v>133</v>
      </c>
      <c r="H218" s="102" t="n">
        <v>81.33</v>
      </c>
      <c r="I218" s="103" t="n">
        <v>243.99</v>
      </c>
      <c r="J218" s="104" t="s">
        <v>307</v>
      </c>
      <c r="K218" s="104" t="n">
        <v>1</v>
      </c>
      <c r="L218" s="101" t="n">
        <v>3</v>
      </c>
      <c r="M218" s="104" t="s">
        <v>902</v>
      </c>
      <c r="N218" s="98"/>
      <c r="O218" s="105" t="n">
        <f aca="false">IF(M218="Y",I218,IF(ISNUMBER(H218),H218*L218,0))</f>
        <v>243.99</v>
      </c>
      <c r="P218" s="106" t="str">
        <f aca="false">IF(J218="","",J218&amp;"|"&amp;A218&amp;"|"&amp;K218)</f>
        <v>R077|HD Fowler|1</v>
      </c>
    </row>
    <row r="219" customFormat="false" ht="15" hidden="false" customHeight="false" outlineLevel="0" collapsed="false">
      <c r="A219" s="98" t="s">
        <v>23</v>
      </c>
      <c r="B219" s="99" t="s">
        <v>1290</v>
      </c>
      <c r="C219" s="99" t="s">
        <v>130</v>
      </c>
      <c r="D219" s="98" t="s">
        <v>1272</v>
      </c>
      <c r="E219" s="100" t="s">
        <v>1291</v>
      </c>
      <c r="F219" s="101" t="n">
        <v>3</v>
      </c>
      <c r="G219" s="101" t="s">
        <v>133</v>
      </c>
      <c r="H219" s="102" t="n">
        <v>72.2</v>
      </c>
      <c r="I219" s="103" t="n">
        <v>216.6</v>
      </c>
      <c r="J219" s="104" t="s">
        <v>307</v>
      </c>
      <c r="K219" s="104" t="n">
        <v>2</v>
      </c>
      <c r="L219" s="101" t="n">
        <v>3</v>
      </c>
      <c r="M219" s="104" t="s">
        <v>902</v>
      </c>
      <c r="N219" s="98"/>
      <c r="O219" s="105" t="n">
        <f aca="false">IF(M219="Y",I219,IF(ISNUMBER(H219),H219*L219,0))</f>
        <v>216.6</v>
      </c>
      <c r="P219" s="106" t="str">
        <f aca="false">IF(J219="","",J219&amp;"|"&amp;A219&amp;"|"&amp;K219)</f>
        <v>R077|HD Fowler|2</v>
      </c>
    </row>
    <row r="220" customFormat="false" ht="15" hidden="false" customHeight="false" outlineLevel="0" collapsed="false">
      <c r="A220" s="98" t="s">
        <v>23</v>
      </c>
      <c r="B220" s="99" t="s">
        <v>1292</v>
      </c>
      <c r="C220" s="99" t="s">
        <v>130</v>
      </c>
      <c r="D220" s="98" t="s">
        <v>1272</v>
      </c>
      <c r="E220" s="100" t="s">
        <v>1293</v>
      </c>
      <c r="F220" s="101" t="n">
        <v>5</v>
      </c>
      <c r="G220" s="101" t="s">
        <v>133</v>
      </c>
      <c r="H220" s="102" t="n">
        <v>35.6</v>
      </c>
      <c r="I220" s="103" t="n">
        <v>178</v>
      </c>
      <c r="J220" s="104" t="s">
        <v>315</v>
      </c>
      <c r="K220" s="104" t="n">
        <v>1</v>
      </c>
      <c r="L220" s="101" t="n">
        <v>5</v>
      </c>
      <c r="M220" s="104" t="s">
        <v>902</v>
      </c>
      <c r="N220" s="98"/>
      <c r="O220" s="105" t="n">
        <f aca="false">IF(M220="Y",I220,IF(ISNUMBER(H220),H220*L220,0))</f>
        <v>178</v>
      </c>
      <c r="P220" s="106" t="str">
        <f aca="false">IF(J220="","",J220&amp;"|"&amp;A220&amp;"|"&amp;K220)</f>
        <v>R079|HD Fowler|1</v>
      </c>
    </row>
    <row r="221" customFormat="false" ht="15" hidden="false" customHeight="false" outlineLevel="0" collapsed="false">
      <c r="A221" s="98" t="s">
        <v>23</v>
      </c>
      <c r="B221" s="99" t="s">
        <v>1294</v>
      </c>
      <c r="C221" s="99" t="s">
        <v>130</v>
      </c>
      <c r="D221" s="98" t="s">
        <v>1272</v>
      </c>
      <c r="E221" s="100" t="s">
        <v>1295</v>
      </c>
      <c r="F221" s="101" t="n">
        <v>5</v>
      </c>
      <c r="G221" s="101" t="s">
        <v>133</v>
      </c>
      <c r="H221" s="102" t="n">
        <v>22.84</v>
      </c>
      <c r="I221" s="103" t="n">
        <v>114.2</v>
      </c>
      <c r="J221" s="104" t="s">
        <v>315</v>
      </c>
      <c r="K221" s="104" t="n">
        <v>2</v>
      </c>
      <c r="L221" s="101" t="n">
        <v>5</v>
      </c>
      <c r="M221" s="104" t="s">
        <v>902</v>
      </c>
      <c r="N221" s="98"/>
      <c r="O221" s="105" t="n">
        <f aca="false">IF(M221="Y",I221,IF(ISNUMBER(H221),H221*L221,0))</f>
        <v>114.2</v>
      </c>
      <c r="P221" s="106" t="str">
        <f aca="false">IF(J221="","",J221&amp;"|"&amp;A221&amp;"|"&amp;K221)</f>
        <v>R079|HD Fowler|2</v>
      </c>
    </row>
    <row r="222" customFormat="false" ht="15" hidden="false" customHeight="false" outlineLevel="0" collapsed="false">
      <c r="A222" s="98" t="s">
        <v>23</v>
      </c>
      <c r="B222" s="99" t="s">
        <v>1296</v>
      </c>
      <c r="C222" s="99" t="s">
        <v>130</v>
      </c>
      <c r="D222" s="98" t="s">
        <v>1297</v>
      </c>
      <c r="E222" s="100" t="s">
        <v>1287</v>
      </c>
      <c r="F222" s="101" t="n">
        <v>1</v>
      </c>
      <c r="G222" s="101" t="s">
        <v>133</v>
      </c>
      <c r="H222" s="102" t="n">
        <v>1162.64</v>
      </c>
      <c r="I222" s="103" t="n">
        <v>1162.64</v>
      </c>
      <c r="J222" s="104" t="s">
        <v>197</v>
      </c>
      <c r="K222" s="104" t="n">
        <v>1</v>
      </c>
      <c r="L222" s="101" t="n">
        <v>1</v>
      </c>
      <c r="M222" s="104" t="s">
        <v>902</v>
      </c>
      <c r="N222" s="98"/>
      <c r="O222" s="105" t="n">
        <f aca="false">IF(M222="Y",I222,IF(ISNUMBER(H222),H222*L222,0))</f>
        <v>1162.64</v>
      </c>
      <c r="P222" s="106" t="str">
        <f aca="false">IF(J222="","",J222&amp;"|"&amp;A222&amp;"|"&amp;K222)</f>
        <v>R029|HD Fowler|1</v>
      </c>
    </row>
    <row r="223" customFormat="false" ht="15" hidden="false" customHeight="false" outlineLevel="0" collapsed="false">
      <c r="A223" s="98" t="s">
        <v>23</v>
      </c>
      <c r="B223" s="99" t="s">
        <v>1298</v>
      </c>
      <c r="C223" s="99" t="s">
        <v>130</v>
      </c>
      <c r="D223" s="98" t="s">
        <v>1297</v>
      </c>
      <c r="E223" s="100" t="s">
        <v>1285</v>
      </c>
      <c r="F223" s="101" t="n">
        <v>1</v>
      </c>
      <c r="G223" s="101" t="s">
        <v>133</v>
      </c>
      <c r="H223" s="102" t="n">
        <v>1057.37</v>
      </c>
      <c r="I223" s="103" t="n">
        <v>1057.37</v>
      </c>
      <c r="J223" s="104" t="s">
        <v>145</v>
      </c>
      <c r="K223" s="104" t="n">
        <v>1</v>
      </c>
      <c r="L223" s="101" t="n">
        <v>1</v>
      </c>
      <c r="M223" s="104" t="s">
        <v>902</v>
      </c>
      <c r="N223" s="98"/>
      <c r="O223" s="105" t="n">
        <f aca="false">IF(M223="Y",I223,IF(ISNUMBER(H223),H223*L223,0))</f>
        <v>1057.37</v>
      </c>
      <c r="P223" s="106" t="str">
        <f aca="false">IF(J223="","",J223&amp;"|"&amp;A223&amp;"|"&amp;K223)</f>
        <v>R006|HD Fowler|1</v>
      </c>
    </row>
    <row r="224" customFormat="false" ht="15" hidden="false" customHeight="false" outlineLevel="0" collapsed="false">
      <c r="A224" s="98" t="s">
        <v>23</v>
      </c>
      <c r="B224" s="99" t="s">
        <v>1299</v>
      </c>
      <c r="C224" s="99" t="s">
        <v>130</v>
      </c>
      <c r="D224" s="98" t="s">
        <v>1297</v>
      </c>
      <c r="E224" s="100" t="s">
        <v>1283</v>
      </c>
      <c r="F224" s="101" t="n">
        <v>1</v>
      </c>
      <c r="G224" s="101" t="s">
        <v>133</v>
      </c>
      <c r="H224" s="102" t="n">
        <v>817.58</v>
      </c>
      <c r="I224" s="103" t="n">
        <v>817.58</v>
      </c>
      <c r="J224" s="104" t="s">
        <v>199</v>
      </c>
      <c r="K224" s="104" t="n">
        <v>1</v>
      </c>
      <c r="L224" s="101" t="n">
        <v>1</v>
      </c>
      <c r="M224" s="104" t="s">
        <v>902</v>
      </c>
      <c r="N224" s="98"/>
      <c r="O224" s="105" t="n">
        <f aca="false">IF(M224="Y",I224,IF(ISNUMBER(H224),H224*L224,0))</f>
        <v>817.58</v>
      </c>
      <c r="P224" s="106" t="str">
        <f aca="false">IF(J224="","",J224&amp;"|"&amp;A224&amp;"|"&amp;K224)</f>
        <v>R030|HD Fowler|1</v>
      </c>
    </row>
    <row r="225" customFormat="false" ht="15" hidden="false" customHeight="false" outlineLevel="0" collapsed="false">
      <c r="A225" s="98" t="s">
        <v>23</v>
      </c>
      <c r="B225" s="99" t="s">
        <v>1300</v>
      </c>
      <c r="C225" s="99" t="s">
        <v>130</v>
      </c>
      <c r="D225" s="98" t="s">
        <v>1297</v>
      </c>
      <c r="E225" s="100" t="s">
        <v>1281</v>
      </c>
      <c r="F225" s="101" t="n">
        <v>1</v>
      </c>
      <c r="G225" s="101" t="s">
        <v>133</v>
      </c>
      <c r="H225" s="102" t="n">
        <v>909.11</v>
      </c>
      <c r="I225" s="103" t="n">
        <v>909.11</v>
      </c>
      <c r="J225" s="104" t="s">
        <v>147</v>
      </c>
      <c r="K225" s="104" t="n">
        <v>1</v>
      </c>
      <c r="L225" s="101" t="n">
        <v>1</v>
      </c>
      <c r="M225" s="104" t="s">
        <v>902</v>
      </c>
      <c r="N225" s="98"/>
      <c r="O225" s="105" t="n">
        <f aca="false">IF(M225="Y",I225,IF(ISNUMBER(H225),H225*L225,0))</f>
        <v>909.11</v>
      </c>
      <c r="P225" s="106" t="str">
        <f aca="false">IF(J225="","",J225&amp;"|"&amp;A225&amp;"|"&amp;K225)</f>
        <v>R007|HD Fowler|1</v>
      </c>
    </row>
    <row r="226" customFormat="false" ht="15" hidden="false" customHeight="false" outlineLevel="0" collapsed="false">
      <c r="A226" s="98" t="s">
        <v>23</v>
      </c>
      <c r="B226" s="99" t="s">
        <v>1301</v>
      </c>
      <c r="C226" s="99" t="s">
        <v>130</v>
      </c>
      <c r="D226" s="98" t="s">
        <v>1297</v>
      </c>
      <c r="E226" s="100" t="s">
        <v>1279</v>
      </c>
      <c r="F226" s="101" t="n">
        <v>1</v>
      </c>
      <c r="G226" s="101" t="s">
        <v>133</v>
      </c>
      <c r="H226" s="102" t="n">
        <v>989.3</v>
      </c>
      <c r="I226" s="103" t="n">
        <v>989.3</v>
      </c>
      <c r="J226" s="104" t="s">
        <v>134</v>
      </c>
      <c r="K226" s="104" t="n">
        <v>1</v>
      </c>
      <c r="L226" s="101" t="n">
        <v>1</v>
      </c>
      <c r="M226" s="104" t="s">
        <v>902</v>
      </c>
      <c r="N226" s="98"/>
      <c r="O226" s="105" t="n">
        <f aca="false">IF(M226="Y",I226,IF(ISNUMBER(H226),H226*L226,0))</f>
        <v>989.3</v>
      </c>
      <c r="P226" s="106" t="str">
        <f aca="false">IF(J226="","",J226&amp;"|"&amp;A226&amp;"|"&amp;K226)</f>
        <v>R002|HD Fowler|1</v>
      </c>
    </row>
    <row r="227" customFormat="false" ht="15" hidden="false" customHeight="false" outlineLevel="0" collapsed="false">
      <c r="A227" s="98" t="s">
        <v>23</v>
      </c>
      <c r="B227" s="99" t="s">
        <v>1302</v>
      </c>
      <c r="C227" s="99" t="s">
        <v>130</v>
      </c>
      <c r="D227" s="98" t="s">
        <v>1297</v>
      </c>
      <c r="E227" s="100" t="s">
        <v>1277</v>
      </c>
      <c r="F227" s="101" t="n">
        <v>1</v>
      </c>
      <c r="G227" s="101" t="s">
        <v>133</v>
      </c>
      <c r="H227" s="102" t="n">
        <v>2341.76</v>
      </c>
      <c r="I227" s="103" t="n">
        <v>2341.76</v>
      </c>
      <c r="J227" s="104" t="s">
        <v>193</v>
      </c>
      <c r="K227" s="104" t="n">
        <v>1</v>
      </c>
      <c r="L227" s="101" t="n">
        <v>1</v>
      </c>
      <c r="M227" s="104" t="s">
        <v>902</v>
      </c>
      <c r="N227" s="98"/>
      <c r="O227" s="105" t="n">
        <f aca="false">IF(M227="Y",I227,IF(ISNUMBER(H227),H227*L227,0))</f>
        <v>2341.76</v>
      </c>
      <c r="P227" s="106" t="str">
        <f aca="false">IF(J227="","",J227&amp;"|"&amp;A227&amp;"|"&amp;K227)</f>
        <v>R027|HD Fowler|1</v>
      </c>
    </row>
    <row r="228" customFormat="false" ht="15" hidden="false" customHeight="false" outlineLevel="0" collapsed="false">
      <c r="A228" s="98" t="s">
        <v>23</v>
      </c>
      <c r="B228" s="99" t="s">
        <v>1303</v>
      </c>
      <c r="C228" s="99" t="s">
        <v>130</v>
      </c>
      <c r="D228" s="98" t="s">
        <v>1297</v>
      </c>
      <c r="E228" s="100" t="s">
        <v>1275</v>
      </c>
      <c r="F228" s="101" t="n">
        <v>1</v>
      </c>
      <c r="G228" s="101" t="s">
        <v>133</v>
      </c>
      <c r="H228" s="102" t="n">
        <v>1560.11</v>
      </c>
      <c r="I228" s="103" t="n">
        <v>1560.11</v>
      </c>
      <c r="J228" s="104" t="s">
        <v>129</v>
      </c>
      <c r="K228" s="104" t="n">
        <v>1</v>
      </c>
      <c r="L228" s="101" t="n">
        <v>1</v>
      </c>
      <c r="M228" s="104" t="s">
        <v>902</v>
      </c>
      <c r="N228" s="98"/>
      <c r="O228" s="105" t="n">
        <f aca="false">IF(M228="Y",I228,IF(ISNUMBER(H228),H228*L228,0))</f>
        <v>1560.11</v>
      </c>
      <c r="P228" s="106" t="str">
        <f aca="false">IF(J228="","",J228&amp;"|"&amp;A228&amp;"|"&amp;K228)</f>
        <v>R001|HD Fowler|1</v>
      </c>
    </row>
    <row r="229" customFormat="false" ht="15" hidden="false" customHeight="false" outlineLevel="0" collapsed="false">
      <c r="A229" s="98" t="s">
        <v>23</v>
      </c>
      <c r="B229" s="99" t="s">
        <v>1304</v>
      </c>
      <c r="C229" s="99" t="s">
        <v>130</v>
      </c>
      <c r="D229" s="98" t="s">
        <v>1297</v>
      </c>
      <c r="E229" s="100" t="s">
        <v>1305</v>
      </c>
      <c r="F229" s="101" t="n">
        <v>1</v>
      </c>
      <c r="G229" s="101" t="s">
        <v>133</v>
      </c>
      <c r="H229" s="102" t="n">
        <v>4005.49</v>
      </c>
      <c r="I229" s="103" t="n">
        <v>4005.49</v>
      </c>
      <c r="J229" s="104" t="s">
        <v>189</v>
      </c>
      <c r="K229" s="104" t="n">
        <v>1</v>
      </c>
      <c r="L229" s="101" t="n">
        <v>1</v>
      </c>
      <c r="M229" s="104" t="s">
        <v>902</v>
      </c>
      <c r="N229" s="98"/>
      <c r="O229" s="105" t="n">
        <f aca="false">IF(M229="Y",I229,IF(ISNUMBER(H229),H229*L229,0))</f>
        <v>4005.49</v>
      </c>
      <c r="P229" s="106" t="str">
        <f aca="false">IF(J229="","",J229&amp;"|"&amp;A229&amp;"|"&amp;K229)</f>
        <v>R025|HD Fowler|1</v>
      </c>
    </row>
    <row r="230" customFormat="false" ht="15" hidden="false" customHeight="false" outlineLevel="0" collapsed="false">
      <c r="A230" s="98" t="s">
        <v>23</v>
      </c>
      <c r="B230" s="99" t="s">
        <v>1306</v>
      </c>
      <c r="C230" s="99" t="s">
        <v>130</v>
      </c>
      <c r="D230" s="98" t="s">
        <v>1297</v>
      </c>
      <c r="E230" s="100" t="s">
        <v>1307</v>
      </c>
      <c r="F230" s="101" t="n">
        <v>1</v>
      </c>
      <c r="G230" s="101" t="s">
        <v>133</v>
      </c>
      <c r="H230" s="102" t="n">
        <v>1309.41</v>
      </c>
      <c r="I230" s="103" t="n">
        <v>1309.41</v>
      </c>
      <c r="J230" s="104" t="s">
        <v>136</v>
      </c>
      <c r="K230" s="104" t="n">
        <v>1</v>
      </c>
      <c r="L230" s="101" t="n">
        <v>1</v>
      </c>
      <c r="M230" s="104" t="s">
        <v>902</v>
      </c>
      <c r="N230" s="98"/>
      <c r="O230" s="105" t="n">
        <f aca="false">IF(M230="Y",I230,IF(ISNUMBER(H230),H230*L230,0))</f>
        <v>1309.41</v>
      </c>
      <c r="P230" s="106" t="str">
        <f aca="false">IF(J230="","",J230&amp;"|"&amp;A230&amp;"|"&amp;K230)</f>
        <v>R003|HD Fowler|1</v>
      </c>
    </row>
    <row r="231" customFormat="false" ht="15" hidden="false" customHeight="false" outlineLevel="0" collapsed="false">
      <c r="A231" s="98" t="s">
        <v>23</v>
      </c>
      <c r="B231" s="99" t="s">
        <v>1308</v>
      </c>
      <c r="C231" s="99" t="s">
        <v>130</v>
      </c>
      <c r="D231" s="98" t="s">
        <v>1297</v>
      </c>
      <c r="E231" s="100" t="s">
        <v>1309</v>
      </c>
      <c r="F231" s="101" t="n">
        <v>1</v>
      </c>
      <c r="G231" s="101" t="s">
        <v>133</v>
      </c>
      <c r="H231" s="102" t="n">
        <v>3303.65</v>
      </c>
      <c r="I231" s="103" t="n">
        <v>3303.65</v>
      </c>
      <c r="J231" s="104" t="s">
        <v>254</v>
      </c>
      <c r="K231" s="104" t="n">
        <v>1</v>
      </c>
      <c r="L231" s="101" t="n">
        <v>1</v>
      </c>
      <c r="M231" s="104" t="s">
        <v>902</v>
      </c>
      <c r="N231" s="98"/>
      <c r="O231" s="105" t="n">
        <f aca="false">IF(M231="Y",I231,IF(ISNUMBER(H231),H231*L231,0))</f>
        <v>3303.65</v>
      </c>
      <c r="P231" s="106" t="str">
        <f aca="false">IF(J231="","",J231&amp;"|"&amp;A231&amp;"|"&amp;K231)</f>
        <v>R056|HD Fowler|1</v>
      </c>
    </row>
    <row r="232" customFormat="false" ht="15" hidden="false" customHeight="false" outlineLevel="0" collapsed="false">
      <c r="A232" s="98" t="s">
        <v>23</v>
      </c>
      <c r="B232" s="99" t="s">
        <v>1310</v>
      </c>
      <c r="C232" s="99" t="s">
        <v>130</v>
      </c>
      <c r="D232" s="98" t="s">
        <v>1297</v>
      </c>
      <c r="E232" s="100" t="s">
        <v>1311</v>
      </c>
      <c r="F232" s="101" t="n">
        <v>1</v>
      </c>
      <c r="G232" s="101" t="s">
        <v>133</v>
      </c>
      <c r="H232" s="102" t="n">
        <v>1533.83</v>
      </c>
      <c r="I232" s="103" t="n">
        <v>1533.83</v>
      </c>
      <c r="J232" s="104" t="s">
        <v>143</v>
      </c>
      <c r="K232" s="104" t="n">
        <v>1</v>
      </c>
      <c r="L232" s="101" t="n">
        <v>1</v>
      </c>
      <c r="M232" s="104" t="s">
        <v>902</v>
      </c>
      <c r="N232" s="98"/>
      <c r="O232" s="105" t="n">
        <f aca="false">IF(M232="Y",I232,IF(ISNUMBER(H232),H232*L232,0))</f>
        <v>1533.83</v>
      </c>
      <c r="P232" s="106" t="str">
        <f aca="false">IF(J232="","",J232&amp;"|"&amp;A232&amp;"|"&amp;K232)</f>
        <v>R005|HD Fowler|1</v>
      </c>
    </row>
    <row r="233" customFormat="false" ht="15" hidden="false" customHeight="false" outlineLevel="0" collapsed="false">
      <c r="A233" s="98" t="s">
        <v>23</v>
      </c>
      <c r="B233" s="99" t="s">
        <v>1312</v>
      </c>
      <c r="C233" s="99" t="s">
        <v>130</v>
      </c>
      <c r="D233" s="98" t="s">
        <v>1297</v>
      </c>
      <c r="E233" s="100" t="s">
        <v>1313</v>
      </c>
      <c r="F233" s="101" t="n">
        <v>1</v>
      </c>
      <c r="G233" s="101" t="s">
        <v>133</v>
      </c>
      <c r="H233" s="102" t="n">
        <v>3181.88</v>
      </c>
      <c r="I233" s="103" t="n">
        <v>3181.88</v>
      </c>
      <c r="J233" s="104" t="s">
        <v>252</v>
      </c>
      <c r="K233" s="104" t="n">
        <v>1</v>
      </c>
      <c r="L233" s="101" t="n">
        <v>1</v>
      </c>
      <c r="M233" s="104" t="s">
        <v>902</v>
      </c>
      <c r="N233" s="98"/>
      <c r="O233" s="105" t="n">
        <f aca="false">IF(M233="Y",I233,IF(ISNUMBER(H233),H233*L233,0))</f>
        <v>3181.88</v>
      </c>
      <c r="P233" s="106" t="str">
        <f aca="false">IF(J233="","",J233&amp;"|"&amp;A233&amp;"|"&amp;K233)</f>
        <v>R055|HD Fowler|1</v>
      </c>
    </row>
    <row r="234" customFormat="false" ht="15" hidden="false" customHeight="false" outlineLevel="0" collapsed="false">
      <c r="A234" s="98" t="s">
        <v>23</v>
      </c>
      <c r="B234" s="99" t="s">
        <v>1314</v>
      </c>
      <c r="C234" s="99" t="s">
        <v>130</v>
      </c>
      <c r="D234" s="98" t="s">
        <v>1297</v>
      </c>
      <c r="E234" s="100" t="s">
        <v>1315</v>
      </c>
      <c r="F234" s="101" t="n">
        <v>2</v>
      </c>
      <c r="G234" s="101" t="s">
        <v>133</v>
      </c>
      <c r="H234" s="102" t="n">
        <v>79.46</v>
      </c>
      <c r="I234" s="103" t="n">
        <v>158.92</v>
      </c>
      <c r="J234" s="104" t="s">
        <v>256</v>
      </c>
      <c r="K234" s="104" t="n">
        <v>1</v>
      </c>
      <c r="L234" s="101" t="n">
        <v>2</v>
      </c>
      <c r="M234" s="104" t="s">
        <v>902</v>
      </c>
      <c r="N234" s="98"/>
      <c r="O234" s="105" t="n">
        <f aca="false">IF(M234="Y",I234,IF(ISNUMBER(H234),H234*L234,0))</f>
        <v>158.92</v>
      </c>
      <c r="P234" s="106" t="str">
        <f aca="false">IF(J234="","",J234&amp;"|"&amp;A234&amp;"|"&amp;K234)</f>
        <v>R057|HD Fowler|1</v>
      </c>
    </row>
    <row r="235" customFormat="false" ht="15" hidden="false" customHeight="false" outlineLevel="0" collapsed="false">
      <c r="A235" s="98" t="s">
        <v>23</v>
      </c>
      <c r="B235" s="99" t="s">
        <v>1316</v>
      </c>
      <c r="C235" s="99" t="s">
        <v>130</v>
      </c>
      <c r="D235" s="98" t="s">
        <v>1297</v>
      </c>
      <c r="E235" s="100" t="s">
        <v>1317</v>
      </c>
      <c r="F235" s="101" t="n">
        <v>2</v>
      </c>
      <c r="G235" s="101" t="s">
        <v>133</v>
      </c>
      <c r="H235" s="102" t="n">
        <v>46.11</v>
      </c>
      <c r="I235" s="103" t="n">
        <v>92.22</v>
      </c>
      <c r="J235" s="104" t="s">
        <v>256</v>
      </c>
      <c r="K235" s="104" t="n">
        <v>2</v>
      </c>
      <c r="L235" s="101" t="n">
        <v>2</v>
      </c>
      <c r="M235" s="104" t="s">
        <v>902</v>
      </c>
      <c r="N235" s="98"/>
      <c r="O235" s="105" t="n">
        <f aca="false">IF(M235="Y",I235,IF(ISNUMBER(H235),H235*L235,0))</f>
        <v>92.22</v>
      </c>
      <c r="P235" s="106" t="str">
        <f aca="false">IF(J235="","",J235&amp;"|"&amp;A235&amp;"|"&amp;K235)</f>
        <v>R057|HD Fowler|2</v>
      </c>
    </row>
    <row r="236" customFormat="false" ht="15" hidden="false" customHeight="false" outlineLevel="0" collapsed="false">
      <c r="A236" s="98" t="s">
        <v>23</v>
      </c>
      <c r="B236" s="99" t="s">
        <v>1318</v>
      </c>
      <c r="C236" s="99" t="s">
        <v>130</v>
      </c>
      <c r="D236" s="98" t="s">
        <v>1297</v>
      </c>
      <c r="E236" s="100" t="s">
        <v>1319</v>
      </c>
      <c r="F236" s="101" t="n">
        <v>2</v>
      </c>
      <c r="G236" s="101" t="s">
        <v>133</v>
      </c>
      <c r="H236" s="102" t="n">
        <v>19.76</v>
      </c>
      <c r="I236" s="103" t="n">
        <v>39.52</v>
      </c>
      <c r="J236" s="104" t="s">
        <v>256</v>
      </c>
      <c r="K236" s="104" t="n">
        <v>3</v>
      </c>
      <c r="L236" s="101" t="n">
        <v>2</v>
      </c>
      <c r="M236" s="104" t="s">
        <v>902</v>
      </c>
      <c r="N236" s="98"/>
      <c r="O236" s="105" t="n">
        <f aca="false">IF(M236="Y",I236,IF(ISNUMBER(H236),H236*L236,0))</f>
        <v>39.52</v>
      </c>
      <c r="P236" s="106" t="str">
        <f aca="false">IF(J236="","",J236&amp;"|"&amp;A236&amp;"|"&amp;K236)</f>
        <v>R057|HD Fowler|3</v>
      </c>
    </row>
    <row r="237" customFormat="false" ht="15" hidden="false" customHeight="false" outlineLevel="0" collapsed="false">
      <c r="A237" s="98" t="s">
        <v>23</v>
      </c>
      <c r="B237" s="99" t="s">
        <v>1320</v>
      </c>
      <c r="C237" s="99" t="s">
        <v>130</v>
      </c>
      <c r="D237" s="98" t="s">
        <v>1297</v>
      </c>
      <c r="E237" s="100" t="s">
        <v>1321</v>
      </c>
      <c r="F237" s="101" t="n">
        <v>1</v>
      </c>
      <c r="G237" s="101" t="s">
        <v>133</v>
      </c>
      <c r="H237" s="102" t="n">
        <v>167.73</v>
      </c>
      <c r="I237" s="103" t="n">
        <v>167.73</v>
      </c>
      <c r="J237" s="104" t="s">
        <v>299</v>
      </c>
      <c r="K237" s="104" t="n">
        <v>1</v>
      </c>
      <c r="L237" s="101" t="n">
        <v>1</v>
      </c>
      <c r="M237" s="104" t="s">
        <v>902</v>
      </c>
      <c r="N237" s="98"/>
      <c r="O237" s="105" t="n">
        <f aca="false">IF(M237="Y",I237,IF(ISNUMBER(H237),H237*L237,0))</f>
        <v>167.73</v>
      </c>
      <c r="P237" s="106" t="str">
        <f aca="false">IF(J237="","",J237&amp;"|"&amp;A237&amp;"|"&amp;K237)</f>
        <v>R073|HD Fowler|1</v>
      </c>
    </row>
    <row r="238" customFormat="false" ht="15" hidden="false" customHeight="false" outlineLevel="0" collapsed="false">
      <c r="A238" s="98" t="s">
        <v>23</v>
      </c>
      <c r="B238" s="99" t="s">
        <v>1322</v>
      </c>
      <c r="C238" s="99" t="s">
        <v>130</v>
      </c>
      <c r="D238" s="98" t="s">
        <v>1297</v>
      </c>
      <c r="E238" s="100" t="s">
        <v>1289</v>
      </c>
      <c r="F238" s="101" t="n">
        <v>4</v>
      </c>
      <c r="G238" s="101" t="s">
        <v>133</v>
      </c>
      <c r="H238" s="102" t="n">
        <v>81.33</v>
      </c>
      <c r="I238" s="103" t="n">
        <v>325.32</v>
      </c>
      <c r="J238" s="104" t="s">
        <v>307</v>
      </c>
      <c r="K238" s="104" t="n">
        <v>1</v>
      </c>
      <c r="L238" s="101" t="n">
        <v>4</v>
      </c>
      <c r="M238" s="104" t="s">
        <v>902</v>
      </c>
      <c r="N238" s="98"/>
      <c r="O238" s="105" t="n">
        <f aca="false">IF(M238="Y",I238,IF(ISNUMBER(H238),H238*L238,0))</f>
        <v>325.32</v>
      </c>
      <c r="P238" s="106" t="str">
        <f aca="false">IF(J238="","",J238&amp;"|"&amp;A238&amp;"|"&amp;K238)</f>
        <v>R077|HD Fowler|1</v>
      </c>
    </row>
    <row r="239" customFormat="false" ht="15" hidden="false" customHeight="false" outlineLevel="0" collapsed="false">
      <c r="A239" s="98" t="s">
        <v>23</v>
      </c>
      <c r="B239" s="99" t="s">
        <v>1323</v>
      </c>
      <c r="C239" s="99" t="s">
        <v>130</v>
      </c>
      <c r="D239" s="98" t="s">
        <v>1297</v>
      </c>
      <c r="E239" s="100" t="s">
        <v>1291</v>
      </c>
      <c r="F239" s="101" t="n">
        <v>4</v>
      </c>
      <c r="G239" s="101" t="s">
        <v>133</v>
      </c>
      <c r="H239" s="102" t="n">
        <v>72.2</v>
      </c>
      <c r="I239" s="103" t="n">
        <v>288.8</v>
      </c>
      <c r="J239" s="104" t="s">
        <v>307</v>
      </c>
      <c r="K239" s="104" t="n">
        <v>2</v>
      </c>
      <c r="L239" s="101" t="n">
        <v>4</v>
      </c>
      <c r="M239" s="104" t="s">
        <v>902</v>
      </c>
      <c r="N239" s="98"/>
      <c r="O239" s="105" t="n">
        <f aca="false">IF(M239="Y",I239,IF(ISNUMBER(H239),H239*L239,0))</f>
        <v>288.8</v>
      </c>
      <c r="P239" s="106" t="str">
        <f aca="false">IF(J239="","",J239&amp;"|"&amp;A239&amp;"|"&amp;K239)</f>
        <v>R077|HD Fowler|2</v>
      </c>
    </row>
    <row r="240" customFormat="false" ht="15" hidden="false" customHeight="false" outlineLevel="0" collapsed="false">
      <c r="A240" s="98" t="s">
        <v>23</v>
      </c>
      <c r="B240" s="99" t="s">
        <v>1324</v>
      </c>
      <c r="C240" s="99" t="s">
        <v>130</v>
      </c>
      <c r="D240" s="98" t="s">
        <v>1297</v>
      </c>
      <c r="E240" s="100" t="s">
        <v>1325</v>
      </c>
      <c r="F240" s="101" t="n">
        <v>4</v>
      </c>
      <c r="G240" s="101" t="s">
        <v>133</v>
      </c>
      <c r="H240" s="102" t="n">
        <v>35.6</v>
      </c>
      <c r="I240" s="103" t="n">
        <v>142.4</v>
      </c>
      <c r="J240" s="104" t="s">
        <v>312</v>
      </c>
      <c r="K240" s="104" t="n">
        <v>1</v>
      </c>
      <c r="L240" s="101" t="n">
        <v>4</v>
      </c>
      <c r="M240" s="104" t="s">
        <v>902</v>
      </c>
      <c r="N240" s="98"/>
      <c r="O240" s="105" t="n">
        <f aca="false">IF(M240="Y",I240,IF(ISNUMBER(H240),H240*L240,0))</f>
        <v>142.4</v>
      </c>
      <c r="P240" s="106" t="str">
        <f aca="false">IF(J240="","",J240&amp;"|"&amp;A240&amp;"|"&amp;K240)</f>
        <v>R078|HD Fowler|1</v>
      </c>
    </row>
    <row r="241" customFormat="false" ht="15" hidden="false" customHeight="false" outlineLevel="0" collapsed="false">
      <c r="A241" s="98" t="s">
        <v>23</v>
      </c>
      <c r="B241" s="99" t="s">
        <v>1326</v>
      </c>
      <c r="C241" s="99" t="s">
        <v>130</v>
      </c>
      <c r="D241" s="98" t="s">
        <v>1297</v>
      </c>
      <c r="E241" s="100" t="s">
        <v>1327</v>
      </c>
      <c r="F241" s="101" t="n">
        <v>4</v>
      </c>
      <c r="G241" s="101" t="s">
        <v>133</v>
      </c>
      <c r="H241" s="102" t="n">
        <v>24.38</v>
      </c>
      <c r="I241" s="103" t="n">
        <v>97.52</v>
      </c>
      <c r="J241" s="104" t="s">
        <v>312</v>
      </c>
      <c r="K241" s="104" t="n">
        <v>2</v>
      </c>
      <c r="L241" s="101" t="n">
        <v>4</v>
      </c>
      <c r="M241" s="104" t="s">
        <v>902</v>
      </c>
      <c r="N241" s="98"/>
      <c r="O241" s="105" t="n">
        <f aca="false">IF(M241="Y",I241,IF(ISNUMBER(H241),H241*L241,0))</f>
        <v>97.52</v>
      </c>
      <c r="P241" s="106" t="str">
        <f aca="false">IF(J241="","",J241&amp;"|"&amp;A241&amp;"|"&amp;K241)</f>
        <v>R078|HD Fowler|2</v>
      </c>
    </row>
    <row r="242" customFormat="false" ht="15" hidden="false" customHeight="false" outlineLevel="0" collapsed="false">
      <c r="A242" s="98" t="s">
        <v>23</v>
      </c>
      <c r="B242" s="99" t="s">
        <v>1328</v>
      </c>
      <c r="C242" s="99" t="s">
        <v>130</v>
      </c>
      <c r="D242" s="98" t="s">
        <v>1297</v>
      </c>
      <c r="E242" s="100" t="s">
        <v>1293</v>
      </c>
      <c r="F242" s="101" t="n">
        <v>5</v>
      </c>
      <c r="G242" s="101" t="s">
        <v>133</v>
      </c>
      <c r="H242" s="102" t="n">
        <v>35.6</v>
      </c>
      <c r="I242" s="103" t="n">
        <v>178</v>
      </c>
      <c r="J242" s="104" t="s">
        <v>315</v>
      </c>
      <c r="K242" s="104" t="n">
        <v>1</v>
      </c>
      <c r="L242" s="101" t="n">
        <v>5</v>
      </c>
      <c r="M242" s="104" t="s">
        <v>902</v>
      </c>
      <c r="N242" s="98"/>
      <c r="O242" s="105" t="n">
        <f aca="false">IF(M242="Y",I242,IF(ISNUMBER(H242),H242*L242,0))</f>
        <v>178</v>
      </c>
      <c r="P242" s="106" t="str">
        <f aca="false">IF(J242="","",J242&amp;"|"&amp;A242&amp;"|"&amp;K242)</f>
        <v>R079|HD Fowler|1</v>
      </c>
    </row>
    <row r="243" customFormat="false" ht="15" hidden="false" customHeight="false" outlineLevel="0" collapsed="false">
      <c r="A243" s="98" t="s">
        <v>23</v>
      </c>
      <c r="B243" s="99" t="s">
        <v>1329</v>
      </c>
      <c r="C243" s="99" t="s">
        <v>130</v>
      </c>
      <c r="D243" s="98" t="s">
        <v>1297</v>
      </c>
      <c r="E243" s="100" t="s">
        <v>1295</v>
      </c>
      <c r="F243" s="101" t="n">
        <v>5</v>
      </c>
      <c r="G243" s="101" t="s">
        <v>133</v>
      </c>
      <c r="H243" s="102" t="n">
        <v>22.84</v>
      </c>
      <c r="I243" s="103" t="n">
        <v>114.2</v>
      </c>
      <c r="J243" s="104" t="s">
        <v>315</v>
      </c>
      <c r="K243" s="104" t="n">
        <v>2</v>
      </c>
      <c r="L243" s="101" t="n">
        <v>5</v>
      </c>
      <c r="M243" s="104" t="s">
        <v>902</v>
      </c>
      <c r="N243" s="98"/>
      <c r="O243" s="105" t="n">
        <f aca="false">IF(M243="Y",I243,IF(ISNUMBER(H243),H243*L243,0))</f>
        <v>114.2</v>
      </c>
      <c r="P243" s="106" t="str">
        <f aca="false">IF(J243="","",J243&amp;"|"&amp;A243&amp;"|"&amp;K243)</f>
        <v>R079|HD Fowler|2</v>
      </c>
    </row>
    <row r="244" customFormat="false" ht="15" hidden="false" customHeight="false" outlineLevel="0" collapsed="false">
      <c r="A244" s="98" t="s">
        <v>23</v>
      </c>
      <c r="B244" s="99" t="s">
        <v>1330</v>
      </c>
      <c r="C244" s="99" t="s">
        <v>130</v>
      </c>
      <c r="D244" s="98" t="s">
        <v>1331</v>
      </c>
      <c r="E244" s="100" t="s">
        <v>1332</v>
      </c>
      <c r="F244" s="101" t="n">
        <v>1</v>
      </c>
      <c r="G244" s="101" t="s">
        <v>133</v>
      </c>
      <c r="H244" s="102" t="n">
        <v>612.7</v>
      </c>
      <c r="I244" s="103" t="n">
        <v>612.7</v>
      </c>
      <c r="J244" s="104" t="s">
        <v>243</v>
      </c>
      <c r="K244" s="104" t="n">
        <v>1</v>
      </c>
      <c r="L244" s="101" t="n">
        <v>1</v>
      </c>
      <c r="M244" s="104" t="s">
        <v>902</v>
      </c>
      <c r="N244" s="98"/>
      <c r="O244" s="105" t="n">
        <f aca="false">IF(M244="Y",I244,IF(ISNUMBER(H244),H244*L244,0))</f>
        <v>612.7</v>
      </c>
      <c r="P244" s="106" t="str">
        <f aca="false">IF(J244="","",J244&amp;"|"&amp;A244&amp;"|"&amp;K244)</f>
        <v>R051|HD Fowler|1</v>
      </c>
    </row>
    <row r="245" customFormat="false" ht="15" hidden="false" customHeight="false" outlineLevel="0" collapsed="false">
      <c r="A245" s="98" t="s">
        <v>23</v>
      </c>
      <c r="B245" s="99" t="s">
        <v>1333</v>
      </c>
      <c r="C245" s="99" t="s">
        <v>130</v>
      </c>
      <c r="D245" s="98" t="s">
        <v>1331</v>
      </c>
      <c r="E245" s="100" t="s">
        <v>1334</v>
      </c>
      <c r="F245" s="101" t="n">
        <v>1</v>
      </c>
      <c r="G245" s="101" t="s">
        <v>133</v>
      </c>
      <c r="H245" s="102" t="n">
        <v>467.02</v>
      </c>
      <c r="I245" s="103" t="n">
        <v>467.02</v>
      </c>
      <c r="J245" s="104" t="s">
        <v>149</v>
      </c>
      <c r="K245" s="104" t="n">
        <v>1</v>
      </c>
      <c r="L245" s="101" t="n">
        <v>1</v>
      </c>
      <c r="M245" s="104" t="s">
        <v>902</v>
      </c>
      <c r="N245" s="98"/>
      <c r="O245" s="105" t="n">
        <f aca="false">IF(M245="Y",I245,IF(ISNUMBER(H245),H245*L245,0))</f>
        <v>467.02</v>
      </c>
      <c r="P245" s="106" t="str">
        <f aca="false">IF(J245="","",J245&amp;"|"&amp;A245&amp;"|"&amp;K245)</f>
        <v>R008|HD Fowler|1</v>
      </c>
    </row>
    <row r="246" customFormat="false" ht="15" hidden="false" customHeight="false" outlineLevel="0" collapsed="false">
      <c r="A246" s="98" t="s">
        <v>23</v>
      </c>
      <c r="B246" s="99" t="s">
        <v>1335</v>
      </c>
      <c r="C246" s="99" t="s">
        <v>130</v>
      </c>
      <c r="D246" s="98" t="s">
        <v>1331</v>
      </c>
      <c r="E246" s="100" t="s">
        <v>1336</v>
      </c>
      <c r="F246" s="101" t="n">
        <v>1</v>
      </c>
      <c r="G246" s="101" t="s">
        <v>133</v>
      </c>
      <c r="H246" s="102" t="n">
        <v>20302.53</v>
      </c>
      <c r="I246" s="103" t="n">
        <v>20302.53</v>
      </c>
      <c r="J246" s="104" t="s">
        <v>239</v>
      </c>
      <c r="K246" s="104" t="n">
        <v>1</v>
      </c>
      <c r="L246" s="101" t="n">
        <v>1</v>
      </c>
      <c r="M246" s="104" t="s">
        <v>902</v>
      </c>
      <c r="N246" s="98"/>
      <c r="O246" s="105" t="n">
        <f aca="false">IF(M246="Y",I246,IF(ISNUMBER(H246),H246*L246,0))</f>
        <v>20302.53</v>
      </c>
      <c r="P246" s="106" t="str">
        <f aca="false">IF(J246="","",J246&amp;"|"&amp;A246&amp;"|"&amp;K246)</f>
        <v>R050|HD Fowler|1</v>
      </c>
    </row>
    <row r="247" customFormat="false" ht="15" hidden="false" customHeight="false" outlineLevel="0" collapsed="false">
      <c r="A247" s="98" t="s">
        <v>23</v>
      </c>
      <c r="B247" s="99" t="s">
        <v>1337</v>
      </c>
      <c r="C247" s="99" t="s">
        <v>130</v>
      </c>
      <c r="D247" s="98" t="s">
        <v>1331</v>
      </c>
      <c r="E247" s="100" t="s">
        <v>1338</v>
      </c>
      <c r="F247" s="101" t="n">
        <v>1</v>
      </c>
      <c r="G247" s="101" t="s">
        <v>133</v>
      </c>
      <c r="H247" s="102" t="n">
        <v>8153.08</v>
      </c>
      <c r="I247" s="103" t="n">
        <v>8153.08</v>
      </c>
      <c r="J247" s="104" t="s">
        <v>239</v>
      </c>
      <c r="K247" s="104" t="n">
        <v>2</v>
      </c>
      <c r="L247" s="101" t="n">
        <v>1</v>
      </c>
      <c r="M247" s="104" t="s">
        <v>902</v>
      </c>
      <c r="N247" s="98"/>
      <c r="O247" s="105" t="n">
        <f aca="false">IF(M247="Y",I247,IF(ISNUMBER(H247),H247*L247,0))</f>
        <v>8153.08</v>
      </c>
      <c r="P247" s="106" t="str">
        <f aca="false">IF(J247="","",J247&amp;"|"&amp;A247&amp;"|"&amp;K247)</f>
        <v>R050|HD Fowler|2</v>
      </c>
    </row>
    <row r="248" customFormat="false" ht="15" hidden="false" customHeight="false" outlineLevel="0" collapsed="false">
      <c r="A248" s="98" t="s">
        <v>23</v>
      </c>
      <c r="B248" s="99" t="s">
        <v>1339</v>
      </c>
      <c r="C248" s="99" t="s">
        <v>130</v>
      </c>
      <c r="D248" s="98" t="s">
        <v>1331</v>
      </c>
      <c r="E248" s="100" t="s">
        <v>1340</v>
      </c>
      <c r="F248" s="101" t="n">
        <v>1</v>
      </c>
      <c r="G248" s="101" t="s">
        <v>133</v>
      </c>
      <c r="H248" s="102" t="n">
        <v>741.76</v>
      </c>
      <c r="I248" s="103" t="n">
        <v>741.76</v>
      </c>
      <c r="J248" s="104" t="s">
        <v>211</v>
      </c>
      <c r="K248" s="104" t="n">
        <v>1</v>
      </c>
      <c r="L248" s="101" t="n">
        <v>1</v>
      </c>
      <c r="M248" s="104" t="s">
        <v>902</v>
      </c>
      <c r="N248" s="98"/>
      <c r="O248" s="105" t="n">
        <f aca="false">IF(M248="Y",I248,IF(ISNUMBER(H248),H248*L248,0))</f>
        <v>741.76</v>
      </c>
      <c r="P248" s="106" t="str">
        <f aca="false">IF(J248="","",J248&amp;"|"&amp;A248&amp;"|"&amp;K248)</f>
        <v>R036|HD Fowler|1</v>
      </c>
    </row>
    <row r="249" customFormat="false" ht="15" hidden="false" customHeight="false" outlineLevel="0" collapsed="false">
      <c r="A249" s="98" t="s">
        <v>23</v>
      </c>
      <c r="B249" s="99" t="s">
        <v>1341</v>
      </c>
      <c r="C249" s="99" t="s">
        <v>130</v>
      </c>
      <c r="D249" s="98" t="s">
        <v>1331</v>
      </c>
      <c r="E249" s="100" t="s">
        <v>1334</v>
      </c>
      <c r="F249" s="101" t="n">
        <v>1</v>
      </c>
      <c r="G249" s="101" t="s">
        <v>133</v>
      </c>
      <c r="H249" s="102" t="n">
        <v>467.02</v>
      </c>
      <c r="I249" s="103" t="n">
        <v>467.02</v>
      </c>
      <c r="J249" s="104" t="s">
        <v>149</v>
      </c>
      <c r="K249" s="104" t="n">
        <v>1</v>
      </c>
      <c r="L249" s="101" t="n">
        <v>1</v>
      </c>
      <c r="M249" s="104" t="s">
        <v>902</v>
      </c>
      <c r="N249" s="98"/>
      <c r="O249" s="105" t="n">
        <f aca="false">IF(M249="Y",I249,IF(ISNUMBER(H249),H249*L249,0))</f>
        <v>467.02</v>
      </c>
      <c r="P249" s="106" t="str">
        <f aca="false">IF(J249="","",J249&amp;"|"&amp;A249&amp;"|"&amp;K249)</f>
        <v>R008|HD Fowler|1</v>
      </c>
    </row>
    <row r="250" customFormat="false" ht="15" hidden="false" customHeight="false" outlineLevel="0" collapsed="false">
      <c r="A250" s="98" t="s">
        <v>23</v>
      </c>
      <c r="B250" s="99" t="s">
        <v>1342</v>
      </c>
      <c r="C250" s="99" t="s">
        <v>130</v>
      </c>
      <c r="D250" s="98" t="s">
        <v>1331</v>
      </c>
      <c r="E250" s="100" t="s">
        <v>1332</v>
      </c>
      <c r="F250" s="101" t="n">
        <v>1</v>
      </c>
      <c r="G250" s="101" t="s">
        <v>133</v>
      </c>
      <c r="H250" s="102" t="n">
        <v>612.7</v>
      </c>
      <c r="I250" s="103" t="n">
        <v>612.7</v>
      </c>
      <c r="J250" s="104" t="s">
        <v>243</v>
      </c>
      <c r="K250" s="104" t="n">
        <v>1</v>
      </c>
      <c r="L250" s="101" t="n">
        <v>1</v>
      </c>
      <c r="M250" s="104" t="s">
        <v>902</v>
      </c>
      <c r="N250" s="98"/>
      <c r="O250" s="105" t="n">
        <f aca="false">IF(M250="Y",I250,IF(ISNUMBER(H250),H250*L250,0))</f>
        <v>612.7</v>
      </c>
      <c r="P250" s="106" t="str">
        <f aca="false">IF(J250="","",J250&amp;"|"&amp;A250&amp;"|"&amp;K250)</f>
        <v>R051|HD Fowler|1</v>
      </c>
    </row>
    <row r="251" customFormat="false" ht="15" hidden="false" customHeight="false" outlineLevel="0" collapsed="false">
      <c r="A251" s="98" t="s">
        <v>23</v>
      </c>
      <c r="B251" s="99" t="s">
        <v>1343</v>
      </c>
      <c r="C251" s="99" t="s">
        <v>130</v>
      </c>
      <c r="D251" s="98" t="s">
        <v>1331</v>
      </c>
      <c r="E251" s="100" t="s">
        <v>1344</v>
      </c>
      <c r="F251" s="101" t="n">
        <v>3</v>
      </c>
      <c r="G251" s="101" t="s">
        <v>133</v>
      </c>
      <c r="H251" s="102" t="n">
        <v>14.13</v>
      </c>
      <c r="I251" s="103" t="n">
        <v>42.39</v>
      </c>
      <c r="J251" s="104" t="s">
        <v>317</v>
      </c>
      <c r="K251" s="104" t="n">
        <v>2</v>
      </c>
      <c r="L251" s="101" t="n">
        <v>3</v>
      </c>
      <c r="M251" s="104" t="s">
        <v>902</v>
      </c>
      <c r="N251" s="98"/>
      <c r="O251" s="105" t="n">
        <f aca="false">IF(M251="Y",I251,IF(ISNUMBER(H251),H251*L251,0))</f>
        <v>42.39</v>
      </c>
      <c r="P251" s="106" t="str">
        <f aca="false">IF(J251="","",J251&amp;"|"&amp;A251&amp;"|"&amp;K251)</f>
        <v>R080|HD Fowler|2</v>
      </c>
    </row>
    <row r="252" customFormat="false" ht="15" hidden="false" customHeight="false" outlineLevel="0" collapsed="false">
      <c r="A252" s="98" t="s">
        <v>23</v>
      </c>
      <c r="B252" s="99" t="s">
        <v>1345</v>
      </c>
      <c r="C252" s="99" t="s">
        <v>130</v>
      </c>
      <c r="D252" s="98" t="s">
        <v>1331</v>
      </c>
      <c r="E252" s="100" t="s">
        <v>1346</v>
      </c>
      <c r="F252" s="101" t="n">
        <v>2</v>
      </c>
      <c r="G252" s="101" t="s">
        <v>133</v>
      </c>
      <c r="H252" s="102" t="n">
        <v>33.27</v>
      </c>
      <c r="I252" s="103" t="n">
        <v>66.54</v>
      </c>
      <c r="J252" s="104" t="s">
        <v>320</v>
      </c>
      <c r="K252" s="104" t="n">
        <v>1</v>
      </c>
      <c r="L252" s="101" t="n">
        <v>2</v>
      </c>
      <c r="M252" s="104" t="s">
        <v>902</v>
      </c>
      <c r="N252" s="98"/>
      <c r="O252" s="105" t="n">
        <f aca="false">IF(M252="Y",I252,IF(ISNUMBER(H252),H252*L252,0))</f>
        <v>66.54</v>
      </c>
      <c r="P252" s="106" t="str">
        <f aca="false">IF(J252="","",J252&amp;"|"&amp;A252&amp;"|"&amp;K252)</f>
        <v>R081|HD Fowler|1</v>
      </c>
    </row>
    <row r="253" customFormat="false" ht="15" hidden="false" customHeight="false" outlineLevel="0" collapsed="false">
      <c r="A253" s="98" t="s">
        <v>23</v>
      </c>
      <c r="B253" s="99" t="s">
        <v>1347</v>
      </c>
      <c r="C253" s="99" t="s">
        <v>130</v>
      </c>
      <c r="D253" s="98" t="s">
        <v>1331</v>
      </c>
      <c r="E253" s="100" t="s">
        <v>1348</v>
      </c>
      <c r="F253" s="101" t="n">
        <v>7</v>
      </c>
      <c r="G253" s="101" t="s">
        <v>133</v>
      </c>
      <c r="H253" s="102" t="n">
        <v>17.3</v>
      </c>
      <c r="I253" s="103" t="n">
        <v>121.1</v>
      </c>
      <c r="J253" s="104" t="s">
        <v>317</v>
      </c>
      <c r="K253" s="104" t="n">
        <v>1</v>
      </c>
      <c r="L253" s="101" t="n">
        <v>7</v>
      </c>
      <c r="M253" s="104" t="s">
        <v>902</v>
      </c>
      <c r="N253" s="98"/>
      <c r="O253" s="105" t="n">
        <f aca="false">IF(M253="Y",I253,IF(ISNUMBER(H253),H253*L253,0))</f>
        <v>121.1</v>
      </c>
      <c r="P253" s="106" t="str">
        <f aca="false">IF(J253="","",J253&amp;"|"&amp;A253&amp;"|"&amp;K253)</f>
        <v>R080|HD Fowler|1</v>
      </c>
    </row>
    <row r="254" customFormat="false" ht="15" hidden="false" customHeight="false" outlineLevel="0" collapsed="false">
      <c r="A254" s="98" t="s">
        <v>23</v>
      </c>
      <c r="B254" s="99" t="s">
        <v>1349</v>
      </c>
      <c r="C254" s="99" t="s">
        <v>130</v>
      </c>
      <c r="D254" s="98" t="s">
        <v>1350</v>
      </c>
      <c r="E254" s="100" t="s">
        <v>1351</v>
      </c>
      <c r="F254" s="101" t="n">
        <v>2</v>
      </c>
      <c r="G254" s="101" t="s">
        <v>133</v>
      </c>
      <c r="H254" s="102" t="n">
        <v>362.57</v>
      </c>
      <c r="I254" s="103" t="n">
        <v>725.14</v>
      </c>
      <c r="J254" s="104" t="s">
        <v>173</v>
      </c>
      <c r="K254" s="104" t="n">
        <v>1</v>
      </c>
      <c r="L254" s="101" t="n">
        <v>2</v>
      </c>
      <c r="M254" s="104" t="s">
        <v>902</v>
      </c>
      <c r="N254" s="98"/>
      <c r="O254" s="105" t="n">
        <f aca="false">IF(M254="Y",I254,IF(ISNUMBER(H254),H254*L254,0))</f>
        <v>725.14</v>
      </c>
      <c r="P254" s="106" t="str">
        <f aca="false">IF(J254="","",J254&amp;"|"&amp;A254&amp;"|"&amp;K254)</f>
        <v>R019|HD Fowler|1</v>
      </c>
    </row>
    <row r="255" customFormat="false" ht="15" hidden="false" customHeight="false" outlineLevel="0" collapsed="false">
      <c r="A255" s="98" t="s">
        <v>23</v>
      </c>
      <c r="B255" s="99" t="s">
        <v>1352</v>
      </c>
      <c r="C255" s="99" t="s">
        <v>130</v>
      </c>
      <c r="D255" s="98" t="s">
        <v>1350</v>
      </c>
      <c r="E255" s="100" t="s">
        <v>1353</v>
      </c>
      <c r="F255" s="101" t="n">
        <v>2</v>
      </c>
      <c r="G255" s="101" t="s">
        <v>133</v>
      </c>
      <c r="H255" s="102" t="n">
        <v>3.69</v>
      </c>
      <c r="I255" s="103" t="n">
        <v>7.38</v>
      </c>
      <c r="J255" s="104" t="s">
        <v>404</v>
      </c>
      <c r="K255" s="104" t="n">
        <v>1</v>
      </c>
      <c r="L255" s="101" t="n">
        <v>2</v>
      </c>
      <c r="M255" s="104" t="s">
        <v>902</v>
      </c>
      <c r="N255" s="98"/>
      <c r="O255" s="105" t="n">
        <f aca="false">IF(M255="Y",I255,IF(ISNUMBER(H255),H255*L255,0))</f>
        <v>7.38</v>
      </c>
      <c r="P255" s="106" t="str">
        <f aca="false">IF(J255="","",J255&amp;"|"&amp;A255&amp;"|"&amp;K255)</f>
        <v>R115|HD Fowler|1</v>
      </c>
    </row>
    <row r="256" customFormat="false" ht="15" hidden="false" customHeight="false" outlineLevel="0" collapsed="false">
      <c r="A256" s="98" t="s">
        <v>23</v>
      </c>
      <c r="B256" s="99" t="s">
        <v>1354</v>
      </c>
      <c r="C256" s="99" t="s">
        <v>130</v>
      </c>
      <c r="D256" s="98" t="s">
        <v>1350</v>
      </c>
      <c r="E256" s="100" t="s">
        <v>1355</v>
      </c>
      <c r="F256" s="101" t="n">
        <v>1</v>
      </c>
      <c r="G256" s="101" t="s">
        <v>133</v>
      </c>
      <c r="H256" s="102" t="n">
        <v>13.9</v>
      </c>
      <c r="I256" s="103" t="n">
        <v>13.9</v>
      </c>
      <c r="J256" s="104" t="s">
        <v>424</v>
      </c>
      <c r="K256" s="104" t="n">
        <v>1</v>
      </c>
      <c r="L256" s="101" t="n">
        <v>1</v>
      </c>
      <c r="M256" s="104" t="s">
        <v>902</v>
      </c>
      <c r="N256" s="98"/>
      <c r="O256" s="105" t="n">
        <f aca="false">IF(M256="Y",I256,IF(ISNUMBER(H256),H256*L256,0))</f>
        <v>13.9</v>
      </c>
      <c r="P256" s="106" t="str">
        <f aca="false">IF(J256="","",J256&amp;"|"&amp;A256&amp;"|"&amp;K256)</f>
        <v>R124|HD Fowler|1</v>
      </c>
    </row>
    <row r="257" customFormat="false" ht="15" hidden="false" customHeight="false" outlineLevel="0" collapsed="false">
      <c r="A257" s="98" t="s">
        <v>23</v>
      </c>
      <c r="B257" s="99" t="s">
        <v>1356</v>
      </c>
      <c r="C257" s="99" t="s">
        <v>130</v>
      </c>
      <c r="D257" s="98" t="s">
        <v>1350</v>
      </c>
      <c r="E257" s="100" t="s">
        <v>1357</v>
      </c>
      <c r="F257" s="101" t="n">
        <v>1</v>
      </c>
      <c r="G257" s="101" t="s">
        <v>133</v>
      </c>
      <c r="H257" s="102" t="n">
        <v>1.88</v>
      </c>
      <c r="I257" s="103" t="n">
        <v>1.88</v>
      </c>
      <c r="J257" s="104" t="s">
        <v>430</v>
      </c>
      <c r="K257" s="104" t="n">
        <v>1</v>
      </c>
      <c r="L257" s="101" t="n">
        <v>1</v>
      </c>
      <c r="M257" s="104" t="s">
        <v>902</v>
      </c>
      <c r="N257" s="98"/>
      <c r="O257" s="105" t="n">
        <f aca="false">IF(M257="Y",I257,IF(ISNUMBER(H257),H257*L257,0))</f>
        <v>1.88</v>
      </c>
      <c r="P257" s="106" t="str">
        <f aca="false">IF(J257="","",J257&amp;"|"&amp;A257&amp;"|"&amp;K257)</f>
        <v>R127|HD Fowler|1</v>
      </c>
    </row>
    <row r="258" customFormat="false" ht="15" hidden="false" customHeight="false" outlineLevel="0" collapsed="false">
      <c r="A258" s="98" t="s">
        <v>23</v>
      </c>
      <c r="B258" s="99" t="s">
        <v>1358</v>
      </c>
      <c r="C258" s="99" t="s">
        <v>130</v>
      </c>
      <c r="D258" s="98" t="s">
        <v>1350</v>
      </c>
      <c r="E258" s="100" t="s">
        <v>1359</v>
      </c>
      <c r="F258" s="101" t="n">
        <v>1</v>
      </c>
      <c r="G258" s="101" t="s">
        <v>133</v>
      </c>
      <c r="H258" s="102" t="n">
        <v>45.81</v>
      </c>
      <c r="I258" s="103" t="n">
        <v>45.81</v>
      </c>
      <c r="J258" s="104" t="s">
        <v>271</v>
      </c>
      <c r="K258" s="104" t="n">
        <v>1</v>
      </c>
      <c r="L258" s="101" t="n">
        <v>1</v>
      </c>
      <c r="M258" s="104" t="s">
        <v>902</v>
      </c>
      <c r="N258" s="98"/>
      <c r="O258" s="105" t="n">
        <f aca="false">IF(M258="Y",I258,IF(ISNUMBER(H258),H258*L258,0))</f>
        <v>45.81</v>
      </c>
      <c r="P258" s="106" t="str">
        <f aca="false">IF(J258="","",J258&amp;"|"&amp;A258&amp;"|"&amp;K258)</f>
        <v>R062|HD Fowler|1</v>
      </c>
    </row>
    <row r="259" customFormat="false" ht="15" hidden="false" customHeight="false" outlineLevel="0" collapsed="false">
      <c r="A259" s="107" t="s">
        <v>23</v>
      </c>
      <c r="B259" s="108" t="s">
        <v>1360</v>
      </c>
      <c r="C259" s="108" t="s">
        <v>130</v>
      </c>
      <c r="D259" s="107" t="s">
        <v>1350</v>
      </c>
      <c r="E259" s="109" t="s">
        <v>1361</v>
      </c>
      <c r="F259" s="110" t="n">
        <v>1</v>
      </c>
      <c r="G259" s="110" t="s">
        <v>133</v>
      </c>
      <c r="H259" s="111"/>
      <c r="I259" s="112"/>
      <c r="J259" s="113"/>
      <c r="K259" s="113"/>
      <c r="L259" s="110" t="n">
        <v>0</v>
      </c>
      <c r="M259" s="113" t="s">
        <v>1362</v>
      </c>
      <c r="N259" s="107" t="s">
        <v>1363</v>
      </c>
      <c r="O259" s="114" t="n">
        <f aca="false">IF(M259="Y",I259,IF(ISNUMBER(H259),H259*L259,0))</f>
        <v>0</v>
      </c>
      <c r="P259" s="115" t="str">
        <f aca="false">IF(J259="","",J259&amp;"|"&amp;A259&amp;"|"&amp;K259)</f>
        <v/>
      </c>
    </row>
    <row r="260" customFormat="false" ht="15" hidden="false" customHeight="false" outlineLevel="0" collapsed="false">
      <c r="A260" s="98" t="s">
        <v>23</v>
      </c>
      <c r="B260" s="99" t="s">
        <v>1364</v>
      </c>
      <c r="C260" s="99" t="s">
        <v>130</v>
      </c>
      <c r="D260" s="98" t="s">
        <v>1350</v>
      </c>
      <c r="E260" s="100" t="s">
        <v>1353</v>
      </c>
      <c r="F260" s="101" t="n">
        <v>1</v>
      </c>
      <c r="G260" s="101" t="s">
        <v>133</v>
      </c>
      <c r="H260" s="102" t="n">
        <v>3.69</v>
      </c>
      <c r="I260" s="103" t="n">
        <v>3.69</v>
      </c>
      <c r="J260" s="104" t="s">
        <v>404</v>
      </c>
      <c r="K260" s="104" t="n">
        <v>1</v>
      </c>
      <c r="L260" s="101" t="n">
        <v>1</v>
      </c>
      <c r="M260" s="104" t="s">
        <v>902</v>
      </c>
      <c r="N260" s="98"/>
      <c r="O260" s="105" t="n">
        <f aca="false">IF(M260="Y",I260,IF(ISNUMBER(H260),H260*L260,0))</f>
        <v>3.69</v>
      </c>
      <c r="P260" s="106" t="str">
        <f aca="false">IF(J260="","",J260&amp;"|"&amp;A260&amp;"|"&amp;K260)</f>
        <v>R115|HD Fowler|1</v>
      </c>
    </row>
    <row r="261" customFormat="false" ht="15" hidden="false" customHeight="false" outlineLevel="0" collapsed="false">
      <c r="A261" s="98" t="s">
        <v>23</v>
      </c>
      <c r="B261" s="99" t="s">
        <v>1365</v>
      </c>
      <c r="C261" s="99" t="s">
        <v>130</v>
      </c>
      <c r="D261" s="98" t="s">
        <v>1350</v>
      </c>
      <c r="E261" s="100" t="s">
        <v>1366</v>
      </c>
      <c r="F261" s="101" t="n">
        <v>2</v>
      </c>
      <c r="G261" s="101" t="s">
        <v>133</v>
      </c>
      <c r="H261" s="102" t="n">
        <v>131.97</v>
      </c>
      <c r="I261" s="103" t="n">
        <v>263.94</v>
      </c>
      <c r="J261" s="104" t="s">
        <v>266</v>
      </c>
      <c r="K261" s="104" t="n">
        <v>1</v>
      </c>
      <c r="L261" s="101" t="n">
        <v>2</v>
      </c>
      <c r="M261" s="104" t="s">
        <v>902</v>
      </c>
      <c r="N261" s="98"/>
      <c r="O261" s="105" t="n">
        <f aca="false">IF(M261="Y",I261,IF(ISNUMBER(H261),H261*L261,0))</f>
        <v>263.94</v>
      </c>
      <c r="P261" s="106" t="str">
        <f aca="false">IF(J261="","",J261&amp;"|"&amp;A261&amp;"|"&amp;K261)</f>
        <v>R060|HD Fowler|1</v>
      </c>
    </row>
    <row r="262" customFormat="false" ht="15" hidden="false" customHeight="false" outlineLevel="0" collapsed="false">
      <c r="A262" s="98" t="s">
        <v>23</v>
      </c>
      <c r="B262" s="99" t="s">
        <v>1367</v>
      </c>
      <c r="C262" s="99" t="s">
        <v>130</v>
      </c>
      <c r="D262" s="98" t="s">
        <v>1350</v>
      </c>
      <c r="E262" s="100" t="s">
        <v>1353</v>
      </c>
      <c r="F262" s="101" t="n">
        <v>2</v>
      </c>
      <c r="G262" s="101" t="s">
        <v>133</v>
      </c>
      <c r="H262" s="102" t="n">
        <v>3.69</v>
      </c>
      <c r="I262" s="103" t="n">
        <v>7.38</v>
      </c>
      <c r="J262" s="104" t="s">
        <v>404</v>
      </c>
      <c r="K262" s="104" t="n">
        <v>1</v>
      </c>
      <c r="L262" s="101" t="n">
        <v>2</v>
      </c>
      <c r="M262" s="104" t="s">
        <v>902</v>
      </c>
      <c r="N262" s="98"/>
      <c r="O262" s="105" t="n">
        <f aca="false">IF(M262="Y",I262,IF(ISNUMBER(H262),H262*L262,0))</f>
        <v>7.38</v>
      </c>
      <c r="P262" s="106" t="str">
        <f aca="false">IF(J262="","",J262&amp;"|"&amp;A262&amp;"|"&amp;K262)</f>
        <v>R115|HD Fowler|1</v>
      </c>
    </row>
    <row r="263" customFormat="false" ht="15" hidden="false" customHeight="false" outlineLevel="0" collapsed="false">
      <c r="A263" s="98" t="s">
        <v>23</v>
      </c>
      <c r="B263" s="99" t="s">
        <v>1368</v>
      </c>
      <c r="C263" s="99" t="s">
        <v>130</v>
      </c>
      <c r="D263" s="98" t="s">
        <v>1350</v>
      </c>
      <c r="E263" s="100" t="s">
        <v>1369</v>
      </c>
      <c r="F263" s="101" t="n">
        <v>2</v>
      </c>
      <c r="G263" s="101" t="s">
        <v>133</v>
      </c>
      <c r="H263" s="102" t="n">
        <v>1162.47</v>
      </c>
      <c r="I263" s="103" t="n">
        <v>2324.94</v>
      </c>
      <c r="J263" s="104" t="s">
        <v>260</v>
      </c>
      <c r="K263" s="104" t="n">
        <v>1</v>
      </c>
      <c r="L263" s="101" t="n">
        <v>2</v>
      </c>
      <c r="M263" s="104" t="s">
        <v>902</v>
      </c>
      <c r="N263" s="98"/>
      <c r="O263" s="105" t="n">
        <f aca="false">IF(M263="Y",I263,IF(ISNUMBER(H263),H263*L263,0))</f>
        <v>2324.94</v>
      </c>
      <c r="P263" s="106" t="str">
        <f aca="false">IF(J263="","",J263&amp;"|"&amp;A263&amp;"|"&amp;K263)</f>
        <v>R058|HD Fowler|1</v>
      </c>
    </row>
    <row r="264" customFormat="false" ht="15" hidden="false" customHeight="false" outlineLevel="0" collapsed="false">
      <c r="A264" s="98" t="s">
        <v>23</v>
      </c>
      <c r="B264" s="99" t="s">
        <v>1370</v>
      </c>
      <c r="C264" s="99" t="s">
        <v>130</v>
      </c>
      <c r="D264" s="98" t="s">
        <v>1350</v>
      </c>
      <c r="E264" s="100" t="s">
        <v>1371</v>
      </c>
      <c r="F264" s="101" t="n">
        <v>42</v>
      </c>
      <c r="G264" s="101" t="s">
        <v>178</v>
      </c>
      <c r="H264" s="102" t="n">
        <v>8.44</v>
      </c>
      <c r="I264" s="103" t="n">
        <v>354.48</v>
      </c>
      <c r="J264" s="104" t="s">
        <v>352</v>
      </c>
      <c r="K264" s="104" t="n">
        <v>1</v>
      </c>
      <c r="L264" s="101" t="n">
        <v>42</v>
      </c>
      <c r="M264" s="104" t="s">
        <v>902</v>
      </c>
      <c r="N264" s="98"/>
      <c r="O264" s="105" t="n">
        <f aca="false">IF(M264="Y",I264,IF(ISNUMBER(H264),H264*L264,0))</f>
        <v>354.48</v>
      </c>
      <c r="P264" s="106" t="str">
        <f aca="false">IF(J264="","",J264&amp;"|"&amp;A264&amp;"|"&amp;K264)</f>
        <v>R094|HD Fowler|1</v>
      </c>
    </row>
    <row r="265" customFormat="false" ht="15" hidden="false" customHeight="false" outlineLevel="0" collapsed="false">
      <c r="A265" s="98" t="s">
        <v>23</v>
      </c>
      <c r="B265" s="99" t="s">
        <v>1372</v>
      </c>
      <c r="C265" s="99" t="s">
        <v>130</v>
      </c>
      <c r="D265" s="98" t="s">
        <v>1350</v>
      </c>
      <c r="E265" s="100" t="s">
        <v>1373</v>
      </c>
      <c r="F265" s="101" t="n">
        <v>4</v>
      </c>
      <c r="G265" s="101" t="s">
        <v>133</v>
      </c>
      <c r="H265" s="102" t="n">
        <v>10.17</v>
      </c>
      <c r="I265" s="103" t="n">
        <v>40.68</v>
      </c>
      <c r="J265" s="104" t="s">
        <v>401</v>
      </c>
      <c r="K265" s="104" t="n">
        <v>1</v>
      </c>
      <c r="L265" s="101" t="n">
        <v>4</v>
      </c>
      <c r="M265" s="104" t="s">
        <v>902</v>
      </c>
      <c r="N265" s="98"/>
      <c r="O265" s="105" t="n">
        <f aca="false">IF(M265="Y",I265,IF(ISNUMBER(H265),H265*L265,0))</f>
        <v>40.68</v>
      </c>
      <c r="P265" s="106" t="str">
        <f aca="false">IF(J265="","",J265&amp;"|"&amp;A265&amp;"|"&amp;K265)</f>
        <v>R114|HD Fowler|1</v>
      </c>
    </row>
    <row r="266" customFormat="false" ht="15" hidden="false" customHeight="false" outlineLevel="0" collapsed="false">
      <c r="A266" s="98" t="s">
        <v>23</v>
      </c>
      <c r="B266" s="99" t="s">
        <v>1374</v>
      </c>
      <c r="C266" s="99" t="s">
        <v>130</v>
      </c>
      <c r="D266" s="98" t="s">
        <v>1350</v>
      </c>
      <c r="E266" s="100" t="s">
        <v>1375</v>
      </c>
      <c r="F266" s="101" t="n">
        <v>2</v>
      </c>
      <c r="G266" s="101" t="s">
        <v>133</v>
      </c>
      <c r="H266" s="102" t="n">
        <v>58.75</v>
      </c>
      <c r="I266" s="103" t="n">
        <v>117.5</v>
      </c>
      <c r="J266" s="104" t="s">
        <v>398</v>
      </c>
      <c r="K266" s="104" t="n">
        <v>1</v>
      </c>
      <c r="L266" s="101" t="n">
        <v>2</v>
      </c>
      <c r="M266" s="104" t="s">
        <v>902</v>
      </c>
      <c r="N266" s="98"/>
      <c r="O266" s="105" t="n">
        <f aca="false">IF(M266="Y",I266,IF(ISNUMBER(H266),H266*L266,0))</f>
        <v>117.5</v>
      </c>
      <c r="P266" s="106" t="str">
        <f aca="false">IF(J266="","",J266&amp;"|"&amp;A266&amp;"|"&amp;K266)</f>
        <v>R113|HD Fowler|1</v>
      </c>
    </row>
    <row r="267" customFormat="false" ht="15" hidden="false" customHeight="false" outlineLevel="0" collapsed="false">
      <c r="A267" s="98" t="s">
        <v>23</v>
      </c>
      <c r="B267" s="99" t="s">
        <v>1376</v>
      </c>
      <c r="C267" s="99" t="s">
        <v>130</v>
      </c>
      <c r="D267" s="98" t="s">
        <v>1350</v>
      </c>
      <c r="E267" s="100" t="s">
        <v>1293</v>
      </c>
      <c r="F267" s="101" t="n">
        <v>2</v>
      </c>
      <c r="G267" s="101" t="s">
        <v>133</v>
      </c>
      <c r="H267" s="102" t="n">
        <v>35.6</v>
      </c>
      <c r="I267" s="103" t="n">
        <v>71.2</v>
      </c>
      <c r="J267" s="104" t="s">
        <v>315</v>
      </c>
      <c r="K267" s="104" t="n">
        <v>1</v>
      </c>
      <c r="L267" s="101" t="n">
        <v>2</v>
      </c>
      <c r="M267" s="104" t="s">
        <v>902</v>
      </c>
      <c r="N267" s="98"/>
      <c r="O267" s="105" t="n">
        <f aca="false">IF(M267="Y",I267,IF(ISNUMBER(H267),H267*L267,0))</f>
        <v>71.2</v>
      </c>
      <c r="P267" s="106" t="str">
        <f aca="false">IF(J267="","",J267&amp;"|"&amp;A267&amp;"|"&amp;K267)</f>
        <v>R079|HD Fowler|1</v>
      </c>
    </row>
    <row r="268" customFormat="false" ht="15" hidden="false" customHeight="false" outlineLevel="0" collapsed="false">
      <c r="A268" s="98" t="s">
        <v>23</v>
      </c>
      <c r="B268" s="99" t="s">
        <v>1377</v>
      </c>
      <c r="C268" s="99" t="s">
        <v>130</v>
      </c>
      <c r="D268" s="98" t="s">
        <v>1350</v>
      </c>
      <c r="E268" s="100" t="s">
        <v>1295</v>
      </c>
      <c r="F268" s="101" t="n">
        <v>2</v>
      </c>
      <c r="G268" s="101" t="s">
        <v>133</v>
      </c>
      <c r="H268" s="102" t="n">
        <v>22.84</v>
      </c>
      <c r="I268" s="103" t="n">
        <v>45.68</v>
      </c>
      <c r="J268" s="104" t="s">
        <v>315</v>
      </c>
      <c r="K268" s="104" t="n">
        <v>2</v>
      </c>
      <c r="L268" s="101" t="n">
        <v>2</v>
      </c>
      <c r="M268" s="104" t="s">
        <v>902</v>
      </c>
      <c r="N268" s="98"/>
      <c r="O268" s="105" t="n">
        <f aca="false">IF(M268="Y",I268,IF(ISNUMBER(H268),H268*L268,0))</f>
        <v>45.68</v>
      </c>
      <c r="P268" s="106" t="str">
        <f aca="false">IF(J268="","",J268&amp;"|"&amp;A268&amp;"|"&amp;K268)</f>
        <v>R079|HD Fowler|2</v>
      </c>
    </row>
    <row r="269" customFormat="false" ht="15" hidden="false" customHeight="false" outlineLevel="0" collapsed="false">
      <c r="A269" s="98" t="s">
        <v>23</v>
      </c>
      <c r="B269" s="99" t="s">
        <v>1378</v>
      </c>
      <c r="C269" s="99" t="s">
        <v>130</v>
      </c>
      <c r="D269" s="98" t="s">
        <v>1050</v>
      </c>
      <c r="E269" s="100" t="s">
        <v>1379</v>
      </c>
      <c r="F269" s="101" t="n">
        <v>1</v>
      </c>
      <c r="G269" s="101" t="s">
        <v>133</v>
      </c>
      <c r="H269" s="102" t="n">
        <v>1935.16</v>
      </c>
      <c r="I269" s="103" t="n">
        <v>1935.16</v>
      </c>
      <c r="J269" s="104" t="s">
        <v>213</v>
      </c>
      <c r="K269" s="104" t="n">
        <v>1</v>
      </c>
      <c r="L269" s="101" t="n">
        <v>1</v>
      </c>
      <c r="M269" s="104" t="s">
        <v>902</v>
      </c>
      <c r="N269" s="98"/>
      <c r="O269" s="105" t="n">
        <f aca="false">IF(M269="Y",I269,IF(ISNUMBER(H269),H269*L269,0))</f>
        <v>1935.16</v>
      </c>
      <c r="P269" s="106" t="str">
        <f aca="false">IF(J269="","",J269&amp;"|"&amp;A269&amp;"|"&amp;K269)</f>
        <v>R037|HD Fowler|1</v>
      </c>
    </row>
    <row r="270" customFormat="false" ht="15" hidden="false" customHeight="false" outlineLevel="0" collapsed="false">
      <c r="A270" s="98" t="s">
        <v>23</v>
      </c>
      <c r="B270" s="99" t="s">
        <v>1380</v>
      </c>
      <c r="C270" s="99" t="s">
        <v>130</v>
      </c>
      <c r="D270" s="98" t="s">
        <v>1050</v>
      </c>
      <c r="E270" s="100" t="s">
        <v>1381</v>
      </c>
      <c r="F270" s="101" t="n">
        <v>1</v>
      </c>
      <c r="G270" s="101" t="s">
        <v>133</v>
      </c>
      <c r="H270" s="102" t="n">
        <v>18442.4</v>
      </c>
      <c r="I270" s="103" t="n">
        <v>18442.4</v>
      </c>
      <c r="J270" s="104" t="s">
        <v>245</v>
      </c>
      <c r="K270" s="104" t="n">
        <v>1</v>
      </c>
      <c r="L270" s="101" t="n">
        <v>1</v>
      </c>
      <c r="M270" s="104" t="s">
        <v>902</v>
      </c>
      <c r="N270" s="98"/>
      <c r="O270" s="105" t="n">
        <f aca="false">IF(M270="Y",I270,IF(ISNUMBER(H270),H270*L270,0))</f>
        <v>18442.4</v>
      </c>
      <c r="P270" s="106" t="str">
        <f aca="false">IF(J270="","",J270&amp;"|"&amp;A270&amp;"|"&amp;K270)</f>
        <v>R052|HD Fowler|1</v>
      </c>
    </row>
    <row r="271" customFormat="false" ht="15" hidden="false" customHeight="false" outlineLevel="0" collapsed="false">
      <c r="A271" s="98" t="s">
        <v>23</v>
      </c>
      <c r="B271" s="99" t="s">
        <v>1382</v>
      </c>
      <c r="C271" s="99" t="s">
        <v>130</v>
      </c>
      <c r="D271" s="98" t="s">
        <v>1050</v>
      </c>
      <c r="E271" s="100" t="s">
        <v>1383</v>
      </c>
      <c r="F271" s="101" t="n">
        <v>1</v>
      </c>
      <c r="G271" s="101" t="s">
        <v>133</v>
      </c>
      <c r="H271" s="102" t="n">
        <v>697.8</v>
      </c>
      <c r="I271" s="103" t="n">
        <v>697.8</v>
      </c>
      <c r="J271" s="104" t="s">
        <v>231</v>
      </c>
      <c r="K271" s="104" t="n">
        <v>1</v>
      </c>
      <c r="L271" s="101" t="n">
        <v>1</v>
      </c>
      <c r="M271" s="104" t="s">
        <v>902</v>
      </c>
      <c r="N271" s="98"/>
      <c r="O271" s="105" t="n">
        <f aca="false">IF(M271="Y",I271,IF(ISNUMBER(H271),H271*L271,0))</f>
        <v>697.8</v>
      </c>
      <c r="P271" s="106" t="str">
        <f aca="false">IF(J271="","",J271&amp;"|"&amp;A271&amp;"|"&amp;K271)</f>
        <v>R046|HD Fowler|1</v>
      </c>
    </row>
    <row r="272" customFormat="false" ht="15" hidden="false" customHeight="false" outlineLevel="0" collapsed="false">
      <c r="A272" s="98" t="s">
        <v>23</v>
      </c>
      <c r="B272" s="99" t="s">
        <v>1384</v>
      </c>
      <c r="C272" s="99" t="s">
        <v>130</v>
      </c>
      <c r="D272" s="98" t="s">
        <v>1050</v>
      </c>
      <c r="E272" s="100" t="s">
        <v>1385</v>
      </c>
      <c r="F272" s="101" t="n">
        <v>1</v>
      </c>
      <c r="G272" s="101" t="s">
        <v>133</v>
      </c>
      <c r="H272" s="102" t="n">
        <v>385.48</v>
      </c>
      <c r="I272" s="103" t="n">
        <v>385.48</v>
      </c>
      <c r="J272" s="104" t="s">
        <v>162</v>
      </c>
      <c r="K272" s="104" t="n">
        <v>1</v>
      </c>
      <c r="L272" s="101" t="n">
        <v>1</v>
      </c>
      <c r="M272" s="104" t="s">
        <v>902</v>
      </c>
      <c r="N272" s="98"/>
      <c r="O272" s="105" t="n">
        <f aca="false">IF(M272="Y",I272,IF(ISNUMBER(H272),H272*L272,0))</f>
        <v>385.48</v>
      </c>
      <c r="P272" s="106" t="str">
        <f aca="false">IF(J272="","",J272&amp;"|"&amp;A272&amp;"|"&amp;K272)</f>
        <v>R014|HD Fowler|1</v>
      </c>
    </row>
    <row r="273" customFormat="false" ht="15" hidden="false" customHeight="false" outlineLevel="0" collapsed="false">
      <c r="A273" s="98" t="s">
        <v>23</v>
      </c>
      <c r="B273" s="99" t="s">
        <v>1386</v>
      </c>
      <c r="C273" s="99" t="s">
        <v>130</v>
      </c>
      <c r="D273" s="98" t="s">
        <v>1050</v>
      </c>
      <c r="E273" s="100" t="s">
        <v>1387</v>
      </c>
      <c r="F273" s="101" t="n">
        <v>1</v>
      </c>
      <c r="G273" s="101" t="s">
        <v>133</v>
      </c>
      <c r="H273" s="102" t="n">
        <v>1294.51</v>
      </c>
      <c r="I273" s="103" t="n">
        <v>1294.51</v>
      </c>
      <c r="J273" s="104" t="s">
        <v>219</v>
      </c>
      <c r="K273" s="104" t="n">
        <v>1</v>
      </c>
      <c r="L273" s="101" t="n">
        <v>1</v>
      </c>
      <c r="M273" s="104" t="s">
        <v>902</v>
      </c>
      <c r="N273" s="98"/>
      <c r="O273" s="105" t="n">
        <f aca="false">IF(M273="Y",I273,IF(ISNUMBER(H273),H273*L273,0))</f>
        <v>1294.51</v>
      </c>
      <c r="P273" s="106" t="str">
        <f aca="false">IF(J273="","",J273&amp;"|"&amp;A273&amp;"|"&amp;K273)</f>
        <v>R040|HD Fowler|1</v>
      </c>
    </row>
    <row r="274" customFormat="false" ht="15" hidden="false" customHeight="false" outlineLevel="0" collapsed="false">
      <c r="A274" s="98" t="s">
        <v>23</v>
      </c>
      <c r="B274" s="99" t="s">
        <v>1388</v>
      </c>
      <c r="C274" s="99" t="s">
        <v>130</v>
      </c>
      <c r="D274" s="98" t="s">
        <v>1050</v>
      </c>
      <c r="E274" s="100" t="s">
        <v>1389</v>
      </c>
      <c r="F274" s="101" t="n">
        <v>1</v>
      </c>
      <c r="G274" s="101" t="s">
        <v>133</v>
      </c>
      <c r="H274" s="102" t="n">
        <v>665.15</v>
      </c>
      <c r="I274" s="103" t="n">
        <v>665.15</v>
      </c>
      <c r="J274" s="104" t="s">
        <v>154</v>
      </c>
      <c r="K274" s="104" t="n">
        <v>1</v>
      </c>
      <c r="L274" s="101" t="n">
        <v>1</v>
      </c>
      <c r="M274" s="104" t="s">
        <v>902</v>
      </c>
      <c r="N274" s="98"/>
      <c r="O274" s="105" t="n">
        <f aca="false">IF(M274="Y",I274,IF(ISNUMBER(H274),H274*L274,0))</f>
        <v>665.15</v>
      </c>
      <c r="P274" s="106" t="str">
        <f aca="false">IF(J274="","",J274&amp;"|"&amp;A274&amp;"|"&amp;K274)</f>
        <v>R010|HD Fowler|1</v>
      </c>
    </row>
    <row r="275" customFormat="false" ht="15" hidden="false" customHeight="false" outlineLevel="0" collapsed="false">
      <c r="A275" s="98" t="s">
        <v>23</v>
      </c>
      <c r="B275" s="99" t="s">
        <v>1390</v>
      </c>
      <c r="C275" s="99" t="s">
        <v>130</v>
      </c>
      <c r="D275" s="98" t="s">
        <v>1050</v>
      </c>
      <c r="E275" s="100" t="s">
        <v>1391</v>
      </c>
      <c r="F275" s="101" t="n">
        <v>1</v>
      </c>
      <c r="G275" s="101" t="s">
        <v>133</v>
      </c>
      <c r="H275" s="102" t="n">
        <v>418.5</v>
      </c>
      <c r="I275" s="103" t="n">
        <v>418.5</v>
      </c>
      <c r="J275" s="104" t="s">
        <v>156</v>
      </c>
      <c r="K275" s="104" t="n">
        <v>1</v>
      </c>
      <c r="L275" s="101" t="n">
        <v>1</v>
      </c>
      <c r="M275" s="104" t="s">
        <v>902</v>
      </c>
      <c r="N275" s="98"/>
      <c r="O275" s="105" t="n">
        <f aca="false">IF(M275="Y",I275,IF(ISNUMBER(H275),H275*L275,0))</f>
        <v>418.5</v>
      </c>
      <c r="P275" s="106" t="str">
        <f aca="false">IF(J275="","",J275&amp;"|"&amp;A275&amp;"|"&amp;K275)</f>
        <v>R011|HD Fowler|1</v>
      </c>
    </row>
    <row r="276" customFormat="false" ht="15" hidden="false" customHeight="false" outlineLevel="0" collapsed="false">
      <c r="A276" s="98" t="s">
        <v>23</v>
      </c>
      <c r="B276" s="99" t="s">
        <v>1392</v>
      </c>
      <c r="C276" s="99" t="s">
        <v>130</v>
      </c>
      <c r="D276" s="98" t="s">
        <v>1050</v>
      </c>
      <c r="E276" s="100" t="s">
        <v>1321</v>
      </c>
      <c r="F276" s="101" t="n">
        <v>5</v>
      </c>
      <c r="G276" s="101" t="s">
        <v>133</v>
      </c>
      <c r="H276" s="102" t="n">
        <v>167.73</v>
      </c>
      <c r="I276" s="103" t="n">
        <v>838.65</v>
      </c>
      <c r="J276" s="104" t="s">
        <v>299</v>
      </c>
      <c r="K276" s="104" t="n">
        <v>1</v>
      </c>
      <c r="L276" s="101" t="n">
        <v>5</v>
      </c>
      <c r="M276" s="104" t="s">
        <v>902</v>
      </c>
      <c r="N276" s="98"/>
      <c r="O276" s="105" t="n">
        <f aca="false">IF(M276="Y",I276,IF(ISNUMBER(H276),H276*L276,0))</f>
        <v>838.65</v>
      </c>
      <c r="P276" s="106" t="str">
        <f aca="false">IF(J276="","",J276&amp;"|"&amp;A276&amp;"|"&amp;K276)</f>
        <v>R073|HD Fowler|1</v>
      </c>
    </row>
    <row r="277" customFormat="false" ht="15" hidden="false" customHeight="false" outlineLevel="0" collapsed="false">
      <c r="A277" s="98" t="s">
        <v>23</v>
      </c>
      <c r="B277" s="99" t="s">
        <v>1393</v>
      </c>
      <c r="C277" s="99" t="s">
        <v>130</v>
      </c>
      <c r="D277" s="98" t="s">
        <v>1050</v>
      </c>
      <c r="E277" s="100" t="s">
        <v>1325</v>
      </c>
      <c r="F277" s="101" t="n">
        <v>3</v>
      </c>
      <c r="G277" s="101" t="s">
        <v>133</v>
      </c>
      <c r="H277" s="102" t="n">
        <v>35.6</v>
      </c>
      <c r="I277" s="103" t="n">
        <v>106.8</v>
      </c>
      <c r="J277" s="104" t="s">
        <v>312</v>
      </c>
      <c r="K277" s="104" t="n">
        <v>1</v>
      </c>
      <c r="L277" s="101" t="n">
        <v>3</v>
      </c>
      <c r="M277" s="104" t="s">
        <v>902</v>
      </c>
      <c r="N277" s="98"/>
      <c r="O277" s="105" t="n">
        <f aca="false">IF(M277="Y",I277,IF(ISNUMBER(H277),H277*L277,0))</f>
        <v>106.8</v>
      </c>
      <c r="P277" s="106" t="str">
        <f aca="false">IF(J277="","",J277&amp;"|"&amp;A277&amp;"|"&amp;K277)</f>
        <v>R078|HD Fowler|1</v>
      </c>
    </row>
    <row r="278" customFormat="false" ht="15" hidden="false" customHeight="false" outlineLevel="0" collapsed="false">
      <c r="A278" s="98" t="s">
        <v>23</v>
      </c>
      <c r="B278" s="99" t="s">
        <v>1394</v>
      </c>
      <c r="C278" s="99" t="s">
        <v>130</v>
      </c>
      <c r="D278" s="98" t="s">
        <v>1050</v>
      </c>
      <c r="E278" s="100" t="s">
        <v>1327</v>
      </c>
      <c r="F278" s="101" t="n">
        <v>3</v>
      </c>
      <c r="G278" s="101" t="s">
        <v>133</v>
      </c>
      <c r="H278" s="102" t="n">
        <v>24.38</v>
      </c>
      <c r="I278" s="103" t="n">
        <v>73.14</v>
      </c>
      <c r="J278" s="104" t="s">
        <v>312</v>
      </c>
      <c r="K278" s="104" t="n">
        <v>2</v>
      </c>
      <c r="L278" s="101" t="n">
        <v>3</v>
      </c>
      <c r="M278" s="104" t="s">
        <v>902</v>
      </c>
      <c r="N278" s="98"/>
      <c r="O278" s="105" t="n">
        <f aca="false">IF(M278="Y",I278,IF(ISNUMBER(H278),H278*L278,0))</f>
        <v>73.14</v>
      </c>
      <c r="P278" s="106" t="str">
        <f aca="false">IF(J278="","",J278&amp;"|"&amp;A278&amp;"|"&amp;K278)</f>
        <v>R078|HD Fowler|2</v>
      </c>
    </row>
    <row r="279" customFormat="false" ht="15" hidden="false" customHeight="false" outlineLevel="0" collapsed="false">
      <c r="A279" s="98" t="s">
        <v>23</v>
      </c>
      <c r="B279" s="99" t="s">
        <v>1395</v>
      </c>
      <c r="C279" s="99" t="s">
        <v>130</v>
      </c>
      <c r="D279" s="98" t="s">
        <v>1050</v>
      </c>
      <c r="E279" s="100" t="s">
        <v>1396</v>
      </c>
      <c r="F279" s="101" t="n">
        <v>30</v>
      </c>
      <c r="G279" s="101" t="s">
        <v>133</v>
      </c>
      <c r="H279" s="102" t="n">
        <v>45.92</v>
      </c>
      <c r="I279" s="103" t="n">
        <v>1377.6</v>
      </c>
      <c r="J279" s="104" t="s">
        <v>333</v>
      </c>
      <c r="K279" s="104" t="n">
        <v>1</v>
      </c>
      <c r="L279" s="101" t="n">
        <v>30</v>
      </c>
      <c r="M279" s="104" t="s">
        <v>902</v>
      </c>
      <c r="N279" s="98"/>
      <c r="O279" s="105" t="n">
        <f aca="false">IF(M279="Y",I279,IF(ISNUMBER(H279),H279*L279,0))</f>
        <v>1377.6</v>
      </c>
      <c r="P279" s="106" t="str">
        <f aca="false">IF(J279="","",J279&amp;"|"&amp;A279&amp;"|"&amp;K279)</f>
        <v>R086|HD Fowler|1</v>
      </c>
    </row>
    <row r="280" customFormat="false" ht="15" hidden="false" customHeight="false" outlineLevel="0" collapsed="false">
      <c r="A280" s="98" t="s">
        <v>23</v>
      </c>
      <c r="B280" s="99" t="s">
        <v>1397</v>
      </c>
      <c r="C280" s="99" t="s">
        <v>130</v>
      </c>
      <c r="D280" s="98" t="s">
        <v>900</v>
      </c>
      <c r="E280" s="100" t="s">
        <v>1398</v>
      </c>
      <c r="F280" s="101" t="n">
        <v>1</v>
      </c>
      <c r="G280" s="101" t="s">
        <v>133</v>
      </c>
      <c r="H280" s="102" t="n">
        <v>542.5</v>
      </c>
      <c r="I280" s="103" t="n">
        <v>542.5</v>
      </c>
      <c r="J280" s="104" t="s">
        <v>140</v>
      </c>
      <c r="K280" s="104" t="n">
        <v>1</v>
      </c>
      <c r="L280" s="101" t="n">
        <v>1</v>
      </c>
      <c r="M280" s="104" t="s">
        <v>902</v>
      </c>
      <c r="N280" s="98"/>
      <c r="O280" s="105" t="n">
        <f aca="false">IF(M280="Y",I280,IF(ISNUMBER(H280),H280*L280,0))</f>
        <v>542.5</v>
      </c>
      <c r="P280" s="106" t="str">
        <f aca="false">IF(J280="","",J280&amp;"|"&amp;A280&amp;"|"&amp;K280)</f>
        <v>R004|HD Fowler|1</v>
      </c>
    </row>
    <row r="281" customFormat="false" ht="15" hidden="false" customHeight="false" outlineLevel="0" collapsed="false">
      <c r="A281" s="98" t="s">
        <v>23</v>
      </c>
      <c r="B281" s="99" t="s">
        <v>1399</v>
      </c>
      <c r="C281" s="99" t="s">
        <v>130</v>
      </c>
      <c r="D281" s="98" t="s">
        <v>900</v>
      </c>
      <c r="E281" s="100" t="s">
        <v>1400</v>
      </c>
      <c r="F281" s="101" t="n">
        <v>1</v>
      </c>
      <c r="G281" s="101" t="s">
        <v>133</v>
      </c>
      <c r="H281" s="102" t="n">
        <v>867.03</v>
      </c>
      <c r="I281" s="103" t="n">
        <v>867.03</v>
      </c>
      <c r="J281" s="104" t="s">
        <v>227</v>
      </c>
      <c r="K281" s="104" t="n">
        <v>1</v>
      </c>
      <c r="L281" s="101" t="n">
        <v>1</v>
      </c>
      <c r="M281" s="104" t="s">
        <v>902</v>
      </c>
      <c r="N281" s="98"/>
      <c r="O281" s="105" t="n">
        <f aca="false">IF(M281="Y",I281,IF(ISNUMBER(H281),H281*L281,0))</f>
        <v>867.03</v>
      </c>
      <c r="P281" s="106" t="str">
        <f aca="false">IF(J281="","",J281&amp;"|"&amp;A281&amp;"|"&amp;K281)</f>
        <v>R044|HD Fowler|1</v>
      </c>
    </row>
    <row r="282" customFormat="false" ht="15" hidden="false" customHeight="false" outlineLevel="0" collapsed="false">
      <c r="A282" s="98" t="s">
        <v>23</v>
      </c>
      <c r="B282" s="99" t="s">
        <v>1401</v>
      </c>
      <c r="C282" s="99" t="s">
        <v>130</v>
      </c>
      <c r="D282" s="98" t="s">
        <v>1402</v>
      </c>
      <c r="E282" s="100" t="s">
        <v>1403</v>
      </c>
      <c r="F282" s="101" t="n">
        <v>1</v>
      </c>
      <c r="G282" s="101" t="s">
        <v>133</v>
      </c>
      <c r="H282" s="102" t="n">
        <v>352.89</v>
      </c>
      <c r="I282" s="103" t="n">
        <v>352.89</v>
      </c>
      <c r="J282" s="104" t="s">
        <v>284</v>
      </c>
      <c r="K282" s="104" t="n">
        <v>1</v>
      </c>
      <c r="L282" s="101" t="n">
        <v>1</v>
      </c>
      <c r="M282" s="104" t="s">
        <v>902</v>
      </c>
      <c r="N282" s="98"/>
      <c r="O282" s="105" t="n">
        <f aca="false">IF(M282="Y",I282,IF(ISNUMBER(H282),H282*L282,0))</f>
        <v>352.89</v>
      </c>
      <c r="P282" s="106" t="str">
        <f aca="false">IF(J282="","",J282&amp;"|"&amp;A282&amp;"|"&amp;K282)</f>
        <v>R068|HD Fowler|1</v>
      </c>
    </row>
    <row r="283" customFormat="false" ht="15" hidden="false" customHeight="false" outlineLevel="0" collapsed="false">
      <c r="A283" s="98" t="s">
        <v>23</v>
      </c>
      <c r="B283" s="99" t="s">
        <v>1404</v>
      </c>
      <c r="C283" s="99" t="s">
        <v>130</v>
      </c>
      <c r="D283" s="98" t="s">
        <v>1402</v>
      </c>
      <c r="E283" s="100" t="s">
        <v>1405</v>
      </c>
      <c r="F283" s="101" t="n">
        <v>1</v>
      </c>
      <c r="G283" s="101" t="s">
        <v>133</v>
      </c>
      <c r="H283" s="102" t="n">
        <v>14.71</v>
      </c>
      <c r="I283" s="103" t="n">
        <v>14.71</v>
      </c>
      <c r="J283" s="104" t="s">
        <v>386</v>
      </c>
      <c r="K283" s="104" t="n">
        <v>1</v>
      </c>
      <c r="L283" s="101" t="n">
        <v>1</v>
      </c>
      <c r="M283" s="104" t="s">
        <v>902</v>
      </c>
      <c r="N283" s="98"/>
      <c r="O283" s="105" t="n">
        <f aca="false">IF(M283="Y",I283,IF(ISNUMBER(H283),H283*L283,0))</f>
        <v>14.71</v>
      </c>
      <c r="P283" s="106" t="str">
        <f aca="false">IF(J283="","",J283&amp;"|"&amp;A283&amp;"|"&amp;K283)</f>
        <v>R108|HD Fowler|1</v>
      </c>
    </row>
    <row r="284" customFormat="false" ht="15" hidden="false" customHeight="false" outlineLevel="0" collapsed="false">
      <c r="A284" s="98" t="s">
        <v>23</v>
      </c>
      <c r="B284" s="99" t="s">
        <v>1406</v>
      </c>
      <c r="C284" s="99" t="s">
        <v>130</v>
      </c>
      <c r="D284" s="98" t="s">
        <v>1402</v>
      </c>
      <c r="E284" s="100" t="s">
        <v>1407</v>
      </c>
      <c r="F284" s="101" t="n">
        <v>80</v>
      </c>
      <c r="G284" s="101" t="s">
        <v>178</v>
      </c>
      <c r="H284" s="102" t="n">
        <v>1.76</v>
      </c>
      <c r="I284" s="103" t="n">
        <v>140.8</v>
      </c>
      <c r="J284" s="104" t="s">
        <v>339</v>
      </c>
      <c r="K284" s="104" t="n">
        <v>1</v>
      </c>
      <c r="L284" s="101" t="n">
        <v>80</v>
      </c>
      <c r="M284" s="104" t="s">
        <v>902</v>
      </c>
      <c r="N284" s="98"/>
      <c r="O284" s="105" t="n">
        <f aca="false">IF(M284="Y",I284,IF(ISNUMBER(H284),H284*L284,0))</f>
        <v>140.8</v>
      </c>
      <c r="P284" s="106" t="str">
        <f aca="false">IF(J284="","",J284&amp;"|"&amp;A284&amp;"|"&amp;K284)</f>
        <v>R089|HD Fowler|1</v>
      </c>
    </row>
    <row r="285" customFormat="false" ht="15" hidden="false" customHeight="false" outlineLevel="0" collapsed="false">
      <c r="A285" s="98" t="s">
        <v>23</v>
      </c>
      <c r="B285" s="99" t="s">
        <v>1408</v>
      </c>
      <c r="C285" s="99" t="s">
        <v>130</v>
      </c>
      <c r="D285" s="98" t="s">
        <v>1402</v>
      </c>
      <c r="E285" s="100" t="s">
        <v>1409</v>
      </c>
      <c r="F285" s="101" t="n">
        <v>2</v>
      </c>
      <c r="G285" s="101" t="s">
        <v>133</v>
      </c>
      <c r="H285" s="102" t="n">
        <v>12.63</v>
      </c>
      <c r="I285" s="103" t="n">
        <v>25.26</v>
      </c>
      <c r="J285" s="104" t="s">
        <v>384</v>
      </c>
      <c r="K285" s="104" t="n">
        <v>1</v>
      </c>
      <c r="L285" s="101" t="n">
        <v>2</v>
      </c>
      <c r="M285" s="104" t="s">
        <v>902</v>
      </c>
      <c r="N285" s="98"/>
      <c r="O285" s="105" t="n">
        <f aca="false">IF(M285="Y",I285,IF(ISNUMBER(H285),H285*L285,0))</f>
        <v>25.26</v>
      </c>
      <c r="P285" s="106" t="str">
        <f aca="false">IF(J285="","",J285&amp;"|"&amp;A285&amp;"|"&amp;K285)</f>
        <v>R107|HD Fowler|1</v>
      </c>
    </row>
    <row r="286" customFormat="false" ht="15" hidden="false" customHeight="false" outlineLevel="0" collapsed="false">
      <c r="A286" s="98" t="s">
        <v>23</v>
      </c>
      <c r="B286" s="99" t="s">
        <v>1410</v>
      </c>
      <c r="C286" s="99" t="s">
        <v>130</v>
      </c>
      <c r="D286" s="98" t="s">
        <v>1402</v>
      </c>
      <c r="E286" s="100" t="s">
        <v>1411</v>
      </c>
      <c r="F286" s="101" t="n">
        <v>1</v>
      </c>
      <c r="G286" s="101" t="s">
        <v>133</v>
      </c>
      <c r="H286" s="102" t="n">
        <v>610.99</v>
      </c>
      <c r="I286" s="103" t="n">
        <v>610.99</v>
      </c>
      <c r="J286" s="104" t="s">
        <v>233</v>
      </c>
      <c r="K286" s="104" t="n">
        <v>1</v>
      </c>
      <c r="L286" s="101" t="n">
        <v>1</v>
      </c>
      <c r="M286" s="104" t="s">
        <v>902</v>
      </c>
      <c r="N286" s="98"/>
      <c r="O286" s="105" t="n">
        <f aca="false">IF(M286="Y",I286,IF(ISNUMBER(H286),H286*L286,0))</f>
        <v>610.99</v>
      </c>
      <c r="P286" s="106" t="str">
        <f aca="false">IF(J286="","",J286&amp;"|"&amp;A286&amp;"|"&amp;K286)</f>
        <v>R047|HD Fowler|1</v>
      </c>
    </row>
    <row r="287" customFormat="false" ht="15" hidden="false" customHeight="false" outlineLevel="0" collapsed="false">
      <c r="A287" s="98" t="s">
        <v>23</v>
      </c>
      <c r="B287" s="99" t="s">
        <v>1412</v>
      </c>
      <c r="C287" s="99" t="s">
        <v>130</v>
      </c>
      <c r="D287" s="98" t="s">
        <v>1402</v>
      </c>
      <c r="E287" s="100" t="s">
        <v>1385</v>
      </c>
      <c r="F287" s="101" t="n">
        <v>1</v>
      </c>
      <c r="G287" s="101" t="s">
        <v>133</v>
      </c>
      <c r="H287" s="102" t="n">
        <v>385.48</v>
      </c>
      <c r="I287" s="103" t="n">
        <v>385.48</v>
      </c>
      <c r="J287" s="104" t="s">
        <v>162</v>
      </c>
      <c r="K287" s="104" t="n">
        <v>1</v>
      </c>
      <c r="L287" s="101" t="n">
        <v>1</v>
      </c>
      <c r="M287" s="104" t="s">
        <v>902</v>
      </c>
      <c r="N287" s="98"/>
      <c r="O287" s="105" t="n">
        <f aca="false">IF(M287="Y",I287,IF(ISNUMBER(H287),H287*L287,0))</f>
        <v>385.48</v>
      </c>
      <c r="P287" s="106" t="str">
        <f aca="false">IF(J287="","",J287&amp;"|"&amp;A287&amp;"|"&amp;K287)</f>
        <v>R014|HD Fowler|1</v>
      </c>
    </row>
    <row r="288" customFormat="false" ht="15" hidden="false" customHeight="false" outlineLevel="0" collapsed="false">
      <c r="A288" s="98" t="s">
        <v>23</v>
      </c>
      <c r="B288" s="99" t="s">
        <v>1413</v>
      </c>
      <c r="C288" s="99" t="s">
        <v>130</v>
      </c>
      <c r="D288" s="98" t="s">
        <v>1402</v>
      </c>
      <c r="E288" s="100" t="s">
        <v>1414</v>
      </c>
      <c r="F288" s="101" t="n">
        <v>1</v>
      </c>
      <c r="G288" s="101" t="s">
        <v>133</v>
      </c>
      <c r="H288" s="102" t="n">
        <v>727.47</v>
      </c>
      <c r="I288" s="103" t="n">
        <v>727.47</v>
      </c>
      <c r="J288" s="104" t="s">
        <v>237</v>
      </c>
      <c r="K288" s="104" t="n">
        <v>1</v>
      </c>
      <c r="L288" s="101" t="n">
        <v>1</v>
      </c>
      <c r="M288" s="104" t="s">
        <v>902</v>
      </c>
      <c r="N288" s="98"/>
      <c r="O288" s="105" t="n">
        <f aca="false">IF(M288="Y",I288,IF(ISNUMBER(H288),H288*L288,0))</f>
        <v>727.47</v>
      </c>
      <c r="P288" s="106" t="str">
        <f aca="false">IF(J288="","",J288&amp;"|"&amp;A288&amp;"|"&amp;K288)</f>
        <v>R049|HD Fowler|1</v>
      </c>
    </row>
    <row r="289" customFormat="false" ht="15" hidden="false" customHeight="false" outlineLevel="0" collapsed="false">
      <c r="A289" s="98" t="s">
        <v>23</v>
      </c>
      <c r="B289" s="99" t="s">
        <v>1415</v>
      </c>
      <c r="C289" s="99" t="s">
        <v>130</v>
      </c>
      <c r="D289" s="98" t="s">
        <v>1402</v>
      </c>
      <c r="E289" s="100" t="s">
        <v>1398</v>
      </c>
      <c r="F289" s="101" t="n">
        <v>1</v>
      </c>
      <c r="G289" s="101" t="s">
        <v>133</v>
      </c>
      <c r="H289" s="102" t="n">
        <v>542.5</v>
      </c>
      <c r="I289" s="103" t="n">
        <v>542.5</v>
      </c>
      <c r="J289" s="104" t="s">
        <v>140</v>
      </c>
      <c r="K289" s="104" t="n">
        <v>1</v>
      </c>
      <c r="L289" s="101" t="n">
        <v>1</v>
      </c>
      <c r="M289" s="104" t="s">
        <v>902</v>
      </c>
      <c r="N289" s="98"/>
      <c r="O289" s="105" t="n">
        <f aca="false">IF(M289="Y",I289,IF(ISNUMBER(H289),H289*L289,0))</f>
        <v>542.5</v>
      </c>
      <c r="P289" s="106" t="str">
        <f aca="false">IF(J289="","",J289&amp;"|"&amp;A289&amp;"|"&amp;K289)</f>
        <v>R004|HD Fowler|1</v>
      </c>
    </row>
    <row r="290" customFormat="false" ht="15" hidden="false" customHeight="false" outlineLevel="0" collapsed="false">
      <c r="A290" s="98" t="s">
        <v>23</v>
      </c>
      <c r="B290" s="99" t="s">
        <v>1416</v>
      </c>
      <c r="C290" s="99" t="s">
        <v>130</v>
      </c>
      <c r="D290" s="98" t="s">
        <v>1402</v>
      </c>
      <c r="E290" s="100" t="s">
        <v>1417</v>
      </c>
      <c r="F290" s="101" t="n">
        <v>2</v>
      </c>
      <c r="G290" s="101" t="s">
        <v>133</v>
      </c>
      <c r="H290" s="102" t="n">
        <v>345.91</v>
      </c>
      <c r="I290" s="103" t="n">
        <v>691.82</v>
      </c>
      <c r="J290" s="104" t="s">
        <v>293</v>
      </c>
      <c r="K290" s="104" t="n">
        <v>1</v>
      </c>
      <c r="L290" s="101" t="n">
        <v>2</v>
      </c>
      <c r="M290" s="104" t="s">
        <v>902</v>
      </c>
      <c r="N290" s="98"/>
      <c r="O290" s="105" t="n">
        <f aca="false">IF(M290="Y",I290,IF(ISNUMBER(H290),H290*L290,0))</f>
        <v>691.82</v>
      </c>
      <c r="P290" s="106" t="str">
        <f aca="false">IF(J290="","",J290&amp;"|"&amp;A290&amp;"|"&amp;K290)</f>
        <v>R071|HD Fowler|1</v>
      </c>
    </row>
    <row r="291" customFormat="false" ht="15" hidden="false" customHeight="false" outlineLevel="0" collapsed="false">
      <c r="A291" s="98" t="s">
        <v>23</v>
      </c>
      <c r="B291" s="99" t="s">
        <v>1418</v>
      </c>
      <c r="C291" s="99" t="s">
        <v>130</v>
      </c>
      <c r="D291" s="98" t="s">
        <v>1402</v>
      </c>
      <c r="E291" s="100" t="s">
        <v>1321</v>
      </c>
      <c r="F291" s="101" t="n">
        <v>4</v>
      </c>
      <c r="G291" s="101" t="s">
        <v>133</v>
      </c>
      <c r="H291" s="102" t="n">
        <v>167.73</v>
      </c>
      <c r="I291" s="103" t="n">
        <v>670.92</v>
      </c>
      <c r="J291" s="104" t="s">
        <v>299</v>
      </c>
      <c r="K291" s="104" t="n">
        <v>1</v>
      </c>
      <c r="L291" s="101" t="n">
        <v>4</v>
      </c>
      <c r="M291" s="104" t="s">
        <v>902</v>
      </c>
      <c r="N291" s="98"/>
      <c r="O291" s="105" t="n">
        <f aca="false">IF(M291="Y",I291,IF(ISNUMBER(H291),H291*L291,0))</f>
        <v>670.92</v>
      </c>
      <c r="P291" s="106" t="str">
        <f aca="false">IF(J291="","",J291&amp;"|"&amp;A291&amp;"|"&amp;K291)</f>
        <v>R073|HD Fowler|1</v>
      </c>
    </row>
    <row r="292" customFormat="false" ht="15" hidden="false" customHeight="false" outlineLevel="0" collapsed="false">
      <c r="A292" s="98" t="s">
        <v>23</v>
      </c>
      <c r="B292" s="99" t="s">
        <v>1419</v>
      </c>
      <c r="C292" s="99" t="s">
        <v>130</v>
      </c>
      <c r="D292" s="98" t="s">
        <v>1402</v>
      </c>
      <c r="E292" s="100" t="s">
        <v>1325</v>
      </c>
      <c r="F292" s="101" t="n">
        <v>3</v>
      </c>
      <c r="G292" s="101" t="s">
        <v>133</v>
      </c>
      <c r="H292" s="102" t="n">
        <v>35.6</v>
      </c>
      <c r="I292" s="103" t="n">
        <v>106.8</v>
      </c>
      <c r="J292" s="104" t="s">
        <v>312</v>
      </c>
      <c r="K292" s="104" t="n">
        <v>1</v>
      </c>
      <c r="L292" s="101" t="n">
        <v>3</v>
      </c>
      <c r="M292" s="104" t="s">
        <v>902</v>
      </c>
      <c r="N292" s="98"/>
      <c r="O292" s="105" t="n">
        <f aca="false">IF(M292="Y",I292,IF(ISNUMBER(H292),H292*L292,0))</f>
        <v>106.8</v>
      </c>
      <c r="P292" s="106" t="str">
        <f aca="false">IF(J292="","",J292&amp;"|"&amp;A292&amp;"|"&amp;K292)</f>
        <v>R078|HD Fowler|1</v>
      </c>
    </row>
    <row r="293" customFormat="false" ht="15" hidden="false" customHeight="false" outlineLevel="0" collapsed="false">
      <c r="A293" s="98" t="s">
        <v>23</v>
      </c>
      <c r="B293" s="99" t="s">
        <v>1420</v>
      </c>
      <c r="C293" s="99" t="s">
        <v>130</v>
      </c>
      <c r="D293" s="98" t="s">
        <v>1402</v>
      </c>
      <c r="E293" s="100" t="s">
        <v>1327</v>
      </c>
      <c r="F293" s="101" t="n">
        <v>3</v>
      </c>
      <c r="G293" s="101" t="s">
        <v>133</v>
      </c>
      <c r="H293" s="102" t="n">
        <v>24.38</v>
      </c>
      <c r="I293" s="103" t="n">
        <v>73.14</v>
      </c>
      <c r="J293" s="104" t="s">
        <v>312</v>
      </c>
      <c r="K293" s="104" t="n">
        <v>2</v>
      </c>
      <c r="L293" s="101" t="n">
        <v>3</v>
      </c>
      <c r="M293" s="104" t="s">
        <v>902</v>
      </c>
      <c r="N293" s="98"/>
      <c r="O293" s="105" t="n">
        <f aca="false">IF(M293="Y",I293,IF(ISNUMBER(H293),H293*L293,0))</f>
        <v>73.14</v>
      </c>
      <c r="P293" s="106" t="str">
        <f aca="false">IF(J293="","",J293&amp;"|"&amp;A293&amp;"|"&amp;K293)</f>
        <v>R078|HD Fowler|2</v>
      </c>
    </row>
    <row r="294" customFormat="false" ht="15" hidden="false" customHeight="false" outlineLevel="0" collapsed="false">
      <c r="A294" s="98" t="s">
        <v>23</v>
      </c>
      <c r="B294" s="99" t="s">
        <v>1421</v>
      </c>
      <c r="C294" s="99" t="s">
        <v>130</v>
      </c>
      <c r="D294" s="98" t="s">
        <v>1402</v>
      </c>
      <c r="E294" s="100" t="s">
        <v>1396</v>
      </c>
      <c r="F294" s="101" t="n">
        <v>30</v>
      </c>
      <c r="G294" s="101" t="s">
        <v>133</v>
      </c>
      <c r="H294" s="102" t="n">
        <v>45.92</v>
      </c>
      <c r="I294" s="103" t="n">
        <v>1377.6</v>
      </c>
      <c r="J294" s="104" t="s">
        <v>333</v>
      </c>
      <c r="K294" s="104" t="n">
        <v>1</v>
      </c>
      <c r="L294" s="101" t="n">
        <v>30</v>
      </c>
      <c r="M294" s="104" t="s">
        <v>902</v>
      </c>
      <c r="N294" s="98"/>
      <c r="O294" s="105" t="n">
        <f aca="false">IF(M294="Y",I294,IF(ISNUMBER(H294),H294*L294,0))</f>
        <v>1377.6</v>
      </c>
      <c r="P294" s="106" t="str">
        <f aca="false">IF(J294="","",J294&amp;"|"&amp;A294&amp;"|"&amp;K294)</f>
        <v>R086|HD Fowler|1</v>
      </c>
    </row>
    <row r="295" customFormat="false" ht="15" hidden="false" customHeight="false" outlineLevel="0" collapsed="false">
      <c r="A295" s="98" t="s">
        <v>23</v>
      </c>
      <c r="B295" s="99" t="s">
        <v>1422</v>
      </c>
      <c r="C295" s="99" t="s">
        <v>130</v>
      </c>
      <c r="D295" s="98" t="s">
        <v>1402</v>
      </c>
      <c r="E295" s="100" t="s">
        <v>1423</v>
      </c>
      <c r="F295" s="101" t="n">
        <v>1</v>
      </c>
      <c r="G295" s="101" t="s">
        <v>133</v>
      </c>
      <c r="H295" s="102" t="n">
        <v>372.41</v>
      </c>
      <c r="I295" s="103" t="n">
        <v>372.41</v>
      </c>
      <c r="J295" s="104" t="s">
        <v>392</v>
      </c>
      <c r="K295" s="104" t="n">
        <v>1</v>
      </c>
      <c r="L295" s="101" t="n">
        <v>1</v>
      </c>
      <c r="M295" s="104" t="s">
        <v>902</v>
      </c>
      <c r="N295" s="98"/>
      <c r="O295" s="105" t="n">
        <f aca="false">IF(M295="Y",I295,IF(ISNUMBER(H295),H295*L295,0))</f>
        <v>372.41</v>
      </c>
      <c r="P295" s="106" t="str">
        <f aca="false">IF(J295="","",J295&amp;"|"&amp;A295&amp;"|"&amp;K295)</f>
        <v>R111|HD Fowler|1</v>
      </c>
    </row>
    <row r="296" customFormat="false" ht="15" hidden="false" customHeight="false" outlineLevel="0" collapsed="false">
      <c r="A296" s="98" t="s">
        <v>23</v>
      </c>
      <c r="B296" s="99" t="s">
        <v>1424</v>
      </c>
      <c r="C296" s="99" t="s">
        <v>130</v>
      </c>
      <c r="D296" s="98" t="s">
        <v>1425</v>
      </c>
      <c r="E296" s="100" t="s">
        <v>1426</v>
      </c>
      <c r="F296" s="101" t="n">
        <v>120</v>
      </c>
      <c r="G296" s="101" t="s">
        <v>178</v>
      </c>
      <c r="H296" s="102" t="n">
        <v>4.88</v>
      </c>
      <c r="I296" s="103" t="n">
        <v>585.6</v>
      </c>
      <c r="J296" s="104" t="s">
        <v>345</v>
      </c>
      <c r="K296" s="104" t="n">
        <v>1</v>
      </c>
      <c r="L296" s="101" t="n">
        <v>120</v>
      </c>
      <c r="M296" s="104" t="s">
        <v>902</v>
      </c>
      <c r="N296" s="98"/>
      <c r="O296" s="105" t="n">
        <f aca="false">IF(M296="Y",I296,IF(ISNUMBER(H296),H296*L296,0))</f>
        <v>585.6</v>
      </c>
      <c r="P296" s="106" t="str">
        <f aca="false">IF(J296="","",J296&amp;"|"&amp;A296&amp;"|"&amp;K296)</f>
        <v>R091|HD Fowler|1</v>
      </c>
    </row>
    <row r="297" customFormat="false" ht="15" hidden="false" customHeight="false" outlineLevel="0" collapsed="false">
      <c r="A297" s="98" t="s">
        <v>23</v>
      </c>
      <c r="B297" s="99" t="s">
        <v>1427</v>
      </c>
      <c r="C297" s="99" t="s">
        <v>130</v>
      </c>
      <c r="D297" s="98" t="s">
        <v>1425</v>
      </c>
      <c r="E297" s="100" t="s">
        <v>1428</v>
      </c>
      <c r="F297" s="101" t="n">
        <v>18.25</v>
      </c>
      <c r="G297" s="101" t="s">
        <v>178</v>
      </c>
      <c r="H297" s="102" t="n">
        <v>39.49</v>
      </c>
      <c r="I297" s="103" t="n">
        <v>720.69</v>
      </c>
      <c r="J297" s="104" t="s">
        <v>175</v>
      </c>
      <c r="K297" s="104" t="n">
        <v>1</v>
      </c>
      <c r="L297" s="101" t="n">
        <v>18.25</v>
      </c>
      <c r="M297" s="104" t="s">
        <v>902</v>
      </c>
      <c r="N297" s="98"/>
      <c r="O297" s="105" t="n">
        <f aca="false">IF(M297="Y",I297,IF(ISNUMBER(H297),H297*L297,0))</f>
        <v>720.69</v>
      </c>
      <c r="P297" s="106" t="str">
        <f aca="false">IF(J297="","",J297&amp;"|"&amp;A297&amp;"|"&amp;K297)</f>
        <v>R020|HD Fowler|1</v>
      </c>
    </row>
    <row r="298" customFormat="false" ht="15" hidden="false" customHeight="false" outlineLevel="0" collapsed="false">
      <c r="A298" s="98" t="s">
        <v>23</v>
      </c>
      <c r="B298" s="99" t="s">
        <v>1429</v>
      </c>
      <c r="C298" s="99" t="s">
        <v>130</v>
      </c>
      <c r="D298" s="98" t="s">
        <v>1425</v>
      </c>
      <c r="E298" s="100" t="s">
        <v>1407</v>
      </c>
      <c r="F298" s="101" t="n">
        <v>20</v>
      </c>
      <c r="G298" s="101" t="s">
        <v>178</v>
      </c>
      <c r="H298" s="102" t="n">
        <v>1.76</v>
      </c>
      <c r="I298" s="103" t="n">
        <v>35.2</v>
      </c>
      <c r="J298" s="104" t="s">
        <v>339</v>
      </c>
      <c r="K298" s="104" t="n">
        <v>1</v>
      </c>
      <c r="L298" s="101" t="n">
        <v>20</v>
      </c>
      <c r="M298" s="104" t="s">
        <v>902</v>
      </c>
      <c r="N298" s="98"/>
      <c r="O298" s="105" t="n">
        <f aca="false">IF(M298="Y",I298,IF(ISNUMBER(H298),H298*L298,0))</f>
        <v>35.2</v>
      </c>
      <c r="P298" s="106" t="str">
        <f aca="false">IF(J298="","",J298&amp;"|"&amp;A298&amp;"|"&amp;K298)</f>
        <v>R089|HD Fowler|1</v>
      </c>
    </row>
    <row r="299" customFormat="false" ht="15" hidden="false" customHeight="false" outlineLevel="0" collapsed="false">
      <c r="A299" s="98" t="s">
        <v>23</v>
      </c>
      <c r="B299" s="99" t="s">
        <v>1430</v>
      </c>
      <c r="C299" s="99" t="s">
        <v>130</v>
      </c>
      <c r="D299" s="98" t="s">
        <v>1425</v>
      </c>
      <c r="E299" s="100" t="s">
        <v>1431</v>
      </c>
      <c r="F299" s="101" t="n">
        <v>1</v>
      </c>
      <c r="G299" s="101" t="s">
        <v>133</v>
      </c>
      <c r="H299" s="102" t="n">
        <v>48.31</v>
      </c>
      <c r="I299" s="103" t="n">
        <v>48.31</v>
      </c>
      <c r="J299" s="104" t="s">
        <v>362</v>
      </c>
      <c r="K299" s="104" t="n">
        <v>1</v>
      </c>
      <c r="L299" s="101" t="n">
        <v>1</v>
      </c>
      <c r="M299" s="104" t="s">
        <v>902</v>
      </c>
      <c r="N299" s="98"/>
      <c r="O299" s="105" t="n">
        <f aca="false">IF(M299="Y",I299,IF(ISNUMBER(H299),H299*L299,0))</f>
        <v>48.31</v>
      </c>
      <c r="P299" s="106" t="str">
        <f aca="false">IF(J299="","",J299&amp;"|"&amp;A299&amp;"|"&amp;K299)</f>
        <v>R098|HD Fowler|1</v>
      </c>
    </row>
    <row r="300" customFormat="false" ht="15" hidden="false" customHeight="false" outlineLevel="0" collapsed="false">
      <c r="A300" s="98" t="s">
        <v>23</v>
      </c>
      <c r="B300" s="99" t="s">
        <v>1432</v>
      </c>
      <c r="C300" s="99" t="s">
        <v>130</v>
      </c>
      <c r="D300" s="98" t="s">
        <v>1425</v>
      </c>
      <c r="E300" s="100" t="s">
        <v>1433</v>
      </c>
      <c r="F300" s="101" t="n">
        <v>1</v>
      </c>
      <c r="G300" s="101" t="s">
        <v>133</v>
      </c>
      <c r="H300" s="102" t="n">
        <v>30</v>
      </c>
      <c r="I300" s="103" t="n">
        <v>30</v>
      </c>
      <c r="J300" s="104" t="s">
        <v>360</v>
      </c>
      <c r="K300" s="104" t="n">
        <v>1</v>
      </c>
      <c r="L300" s="101" t="n">
        <v>1</v>
      </c>
      <c r="M300" s="104" t="s">
        <v>902</v>
      </c>
      <c r="N300" s="98"/>
      <c r="O300" s="105" t="n">
        <f aca="false">IF(M300="Y",I300,IF(ISNUMBER(H300),H300*L300,0))</f>
        <v>30</v>
      </c>
      <c r="P300" s="106" t="str">
        <f aca="false">IF(J300="","",J300&amp;"|"&amp;A300&amp;"|"&amp;K300)</f>
        <v>R097|HD Fowler|1</v>
      </c>
    </row>
    <row r="301" customFormat="false" ht="15" hidden="false" customHeight="false" outlineLevel="0" collapsed="false">
      <c r="A301" s="98" t="s">
        <v>23</v>
      </c>
      <c r="B301" s="99" t="s">
        <v>1434</v>
      </c>
      <c r="C301" s="99" t="s">
        <v>130</v>
      </c>
      <c r="D301" s="98" t="s">
        <v>1425</v>
      </c>
      <c r="E301" s="100" t="s">
        <v>1435</v>
      </c>
      <c r="F301" s="101" t="n">
        <v>2</v>
      </c>
      <c r="G301" s="101" t="s">
        <v>133</v>
      </c>
      <c r="H301" s="102" t="n">
        <v>21.41</v>
      </c>
      <c r="I301" s="103" t="n">
        <v>42.82</v>
      </c>
      <c r="J301" s="104" t="s">
        <v>354</v>
      </c>
      <c r="K301" s="104" t="n">
        <v>1</v>
      </c>
      <c r="L301" s="101" t="n">
        <v>2</v>
      </c>
      <c r="M301" s="104" t="s">
        <v>902</v>
      </c>
      <c r="N301" s="98"/>
      <c r="O301" s="105" t="n">
        <f aca="false">IF(M301="Y",I301,IF(ISNUMBER(H301),H301*L301,0))</f>
        <v>42.82</v>
      </c>
      <c r="P301" s="106" t="str">
        <f aca="false">IF(J301="","",J301&amp;"|"&amp;A301&amp;"|"&amp;K301)</f>
        <v>R095|HD Fowler|1</v>
      </c>
    </row>
    <row r="302" customFormat="false" ht="15" hidden="false" customHeight="false" outlineLevel="0" collapsed="false">
      <c r="A302" s="98" t="s">
        <v>23</v>
      </c>
      <c r="B302" s="99" t="s">
        <v>1436</v>
      </c>
      <c r="C302" s="99" t="s">
        <v>130</v>
      </c>
      <c r="D302" s="98" t="s">
        <v>1425</v>
      </c>
      <c r="E302" s="100" t="s">
        <v>1437</v>
      </c>
      <c r="F302" s="101" t="n">
        <v>2</v>
      </c>
      <c r="G302" s="101" t="s">
        <v>133</v>
      </c>
      <c r="H302" s="102" t="n">
        <v>58.13</v>
      </c>
      <c r="I302" s="103" t="n">
        <v>116.26</v>
      </c>
      <c r="J302" s="104" t="s">
        <v>357</v>
      </c>
      <c r="K302" s="104" t="n">
        <v>1</v>
      </c>
      <c r="L302" s="101" t="n">
        <v>2</v>
      </c>
      <c r="M302" s="104" t="s">
        <v>902</v>
      </c>
      <c r="N302" s="98"/>
      <c r="O302" s="105" t="n">
        <f aca="false">IF(M302="Y",I302,IF(ISNUMBER(H302),H302*L302,0))</f>
        <v>116.26</v>
      </c>
      <c r="P302" s="106" t="str">
        <f aca="false">IF(J302="","",J302&amp;"|"&amp;A302&amp;"|"&amp;K302)</f>
        <v>R096|HD Fowler|1</v>
      </c>
    </row>
    <row r="303" customFormat="false" ht="15" hidden="false" customHeight="false" outlineLevel="0" collapsed="false">
      <c r="A303" s="98" t="s">
        <v>23</v>
      </c>
      <c r="B303" s="99" t="s">
        <v>1438</v>
      </c>
      <c r="C303" s="99" t="s">
        <v>130</v>
      </c>
      <c r="D303" s="98" t="s">
        <v>1425</v>
      </c>
      <c r="E303" s="100" t="s">
        <v>1439</v>
      </c>
      <c r="F303" s="101" t="n">
        <v>1</v>
      </c>
      <c r="G303" s="101" t="s">
        <v>133</v>
      </c>
      <c r="H303" s="102" t="n">
        <v>23.57</v>
      </c>
      <c r="I303" s="103" t="n">
        <v>23.57</v>
      </c>
      <c r="J303" s="104" t="s">
        <v>372</v>
      </c>
      <c r="K303" s="104" t="n">
        <v>1</v>
      </c>
      <c r="L303" s="101" t="n">
        <v>1</v>
      </c>
      <c r="M303" s="104" t="s">
        <v>902</v>
      </c>
      <c r="N303" s="98"/>
      <c r="O303" s="105" t="n">
        <f aca="false">IF(M303="Y",I303,IF(ISNUMBER(H303),H303*L303,0))</f>
        <v>23.57</v>
      </c>
      <c r="P303" s="106" t="str">
        <f aca="false">IF(J303="","",J303&amp;"|"&amp;A303&amp;"|"&amp;K303)</f>
        <v>R102|HD Fowler|1</v>
      </c>
    </row>
    <row r="304" customFormat="false" ht="15" hidden="false" customHeight="false" outlineLevel="0" collapsed="false">
      <c r="A304" s="98" t="s">
        <v>23</v>
      </c>
      <c r="B304" s="99" t="s">
        <v>1440</v>
      </c>
      <c r="C304" s="99" t="s">
        <v>130</v>
      </c>
      <c r="D304" s="98" t="s">
        <v>1425</v>
      </c>
      <c r="E304" s="100" t="s">
        <v>1441</v>
      </c>
      <c r="F304" s="101" t="n">
        <v>1</v>
      </c>
      <c r="G304" s="101" t="s">
        <v>133</v>
      </c>
      <c r="H304" s="102" t="n">
        <v>29.11</v>
      </c>
      <c r="I304" s="103" t="n">
        <v>29.11</v>
      </c>
      <c r="J304" s="104" t="s">
        <v>369</v>
      </c>
      <c r="K304" s="104" t="n">
        <v>1</v>
      </c>
      <c r="L304" s="101" t="n">
        <v>1</v>
      </c>
      <c r="M304" s="104" t="s">
        <v>902</v>
      </c>
      <c r="N304" s="98"/>
      <c r="O304" s="105" t="n">
        <f aca="false">IF(M304="Y",I304,IF(ISNUMBER(H304),H304*L304,0))</f>
        <v>29.11</v>
      </c>
      <c r="P304" s="106" t="str">
        <f aca="false">IF(J304="","",J304&amp;"|"&amp;A304&amp;"|"&amp;K304)</f>
        <v>R101|HD Fowler|1</v>
      </c>
    </row>
    <row r="305" customFormat="false" ht="15" hidden="false" customHeight="false" outlineLevel="0" collapsed="false">
      <c r="A305" s="98" t="s">
        <v>23</v>
      </c>
      <c r="B305" s="99" t="s">
        <v>1442</v>
      </c>
      <c r="C305" s="99" t="s">
        <v>130</v>
      </c>
      <c r="D305" s="98" t="s">
        <v>1425</v>
      </c>
      <c r="E305" s="100" t="s">
        <v>1443</v>
      </c>
      <c r="F305" s="101" t="n">
        <v>1</v>
      </c>
      <c r="G305" s="101" t="s">
        <v>133</v>
      </c>
      <c r="H305" s="102" t="n">
        <v>378.56</v>
      </c>
      <c r="I305" s="103" t="n">
        <v>378.56</v>
      </c>
      <c r="J305" s="104" t="s">
        <v>377</v>
      </c>
      <c r="K305" s="104" t="n">
        <v>1</v>
      </c>
      <c r="L305" s="101" t="n">
        <v>1</v>
      </c>
      <c r="M305" s="104" t="s">
        <v>902</v>
      </c>
      <c r="N305" s="98"/>
      <c r="O305" s="105" t="n">
        <f aca="false">IF(M305="Y",I305,IF(ISNUMBER(H305),H305*L305,0))</f>
        <v>378.56</v>
      </c>
      <c r="P305" s="106" t="str">
        <f aca="false">IF(J305="","",J305&amp;"|"&amp;A305&amp;"|"&amp;K305)</f>
        <v>R104|HD Fowler|1</v>
      </c>
    </row>
    <row r="306" customFormat="false" ht="15" hidden="false" customHeight="false" outlineLevel="0" collapsed="false">
      <c r="A306" s="98" t="s">
        <v>23</v>
      </c>
      <c r="B306" s="99" t="s">
        <v>1444</v>
      </c>
      <c r="C306" s="99" t="s">
        <v>130</v>
      </c>
      <c r="D306" s="98" t="s">
        <v>1425</v>
      </c>
      <c r="E306" s="100" t="s">
        <v>1445</v>
      </c>
      <c r="F306" s="101" t="n">
        <v>1</v>
      </c>
      <c r="G306" s="101" t="s">
        <v>133</v>
      </c>
      <c r="H306" s="102" t="n">
        <v>4.44</v>
      </c>
      <c r="I306" s="103" t="n">
        <v>4.44</v>
      </c>
      <c r="J306" s="104" t="s">
        <v>382</v>
      </c>
      <c r="K306" s="104" t="n">
        <v>1</v>
      </c>
      <c r="L306" s="101" t="n">
        <v>1</v>
      </c>
      <c r="M306" s="104" t="s">
        <v>902</v>
      </c>
      <c r="N306" s="98"/>
      <c r="O306" s="105" t="n">
        <f aca="false">IF(M306="Y",I306,IF(ISNUMBER(H306),H306*L306,0))</f>
        <v>4.44</v>
      </c>
      <c r="P306" s="106" t="str">
        <f aca="false">IF(J306="","",J306&amp;"|"&amp;A306&amp;"|"&amp;K306)</f>
        <v>R106|HD Fowler|1</v>
      </c>
    </row>
    <row r="307" customFormat="false" ht="15" hidden="false" customHeight="false" outlineLevel="0" collapsed="false">
      <c r="A307" s="98" t="s">
        <v>23</v>
      </c>
      <c r="B307" s="99" t="s">
        <v>1446</v>
      </c>
      <c r="C307" s="99" t="s">
        <v>130</v>
      </c>
      <c r="D307" s="98" t="s">
        <v>1425</v>
      </c>
      <c r="E307" s="100" t="s">
        <v>1447</v>
      </c>
      <c r="F307" s="101" t="n">
        <v>1</v>
      </c>
      <c r="G307" s="101" t="s">
        <v>133</v>
      </c>
      <c r="H307" s="102" t="n">
        <v>70</v>
      </c>
      <c r="I307" s="103" t="n">
        <v>70</v>
      </c>
      <c r="J307" s="104" t="s">
        <v>395</v>
      </c>
      <c r="K307" s="104" t="n">
        <v>1</v>
      </c>
      <c r="L307" s="101" t="n">
        <v>1</v>
      </c>
      <c r="M307" s="104" t="s">
        <v>902</v>
      </c>
      <c r="N307" s="98"/>
      <c r="O307" s="105" t="n">
        <f aca="false">IF(M307="Y",I307,IF(ISNUMBER(H307),H307*L307,0))</f>
        <v>70</v>
      </c>
      <c r="P307" s="106" t="str">
        <f aca="false">IF(J307="","",J307&amp;"|"&amp;A307&amp;"|"&amp;K307)</f>
        <v>R112|HD Fowler|1</v>
      </c>
    </row>
    <row r="308" customFormat="false" ht="15" hidden="false" customHeight="false" outlineLevel="0" collapsed="false">
      <c r="A308" s="98" t="s">
        <v>23</v>
      </c>
      <c r="B308" s="99" t="s">
        <v>1448</v>
      </c>
      <c r="C308" s="99" t="s">
        <v>130</v>
      </c>
      <c r="D308" s="98" t="s">
        <v>1425</v>
      </c>
      <c r="E308" s="100" t="s">
        <v>1375</v>
      </c>
      <c r="F308" s="101" t="n">
        <v>1</v>
      </c>
      <c r="G308" s="101" t="s">
        <v>133</v>
      </c>
      <c r="H308" s="102" t="n">
        <v>58.75</v>
      </c>
      <c r="I308" s="103" t="n">
        <v>58.75</v>
      </c>
      <c r="J308" s="104" t="s">
        <v>398</v>
      </c>
      <c r="K308" s="104" t="n">
        <v>1</v>
      </c>
      <c r="L308" s="101" t="n">
        <v>1</v>
      </c>
      <c r="M308" s="104" t="s">
        <v>902</v>
      </c>
      <c r="N308" s="98"/>
      <c r="O308" s="105" t="n">
        <f aca="false">IF(M308="Y",I308,IF(ISNUMBER(H308),H308*L308,0))</f>
        <v>58.75</v>
      </c>
      <c r="P308" s="106" t="str">
        <f aca="false">IF(J308="","",J308&amp;"|"&amp;A308&amp;"|"&amp;K308)</f>
        <v>R113|HD Fowler|1</v>
      </c>
    </row>
    <row r="309" customFormat="false" ht="15" hidden="false" customHeight="false" outlineLevel="0" collapsed="false">
      <c r="A309" s="98" t="s">
        <v>23</v>
      </c>
      <c r="B309" s="99" t="s">
        <v>1449</v>
      </c>
      <c r="C309" s="99" t="s">
        <v>130</v>
      </c>
      <c r="D309" s="98" t="s">
        <v>1425</v>
      </c>
      <c r="E309" s="100" t="s">
        <v>1450</v>
      </c>
      <c r="F309" s="101" t="n">
        <v>3</v>
      </c>
      <c r="G309" s="101" t="s">
        <v>133</v>
      </c>
      <c r="H309" s="102" t="n">
        <v>29.28</v>
      </c>
      <c r="I309" s="103" t="n">
        <v>87.84</v>
      </c>
      <c r="J309" s="104" t="s">
        <v>374</v>
      </c>
      <c r="K309" s="104" t="n">
        <v>1</v>
      </c>
      <c r="L309" s="101" t="n">
        <v>3</v>
      </c>
      <c r="M309" s="104" t="s">
        <v>902</v>
      </c>
      <c r="N309" s="98"/>
      <c r="O309" s="105" t="n">
        <f aca="false">IF(M309="Y",I309,IF(ISNUMBER(H309),H309*L309,0))</f>
        <v>87.84</v>
      </c>
      <c r="P309" s="106" t="str">
        <f aca="false">IF(J309="","",J309&amp;"|"&amp;A309&amp;"|"&amp;K309)</f>
        <v>R103|HD Fowler|1</v>
      </c>
    </row>
    <row r="310" customFormat="false" ht="15" hidden="false" customHeight="false" outlineLevel="0" collapsed="false">
      <c r="A310" s="98" t="s">
        <v>23</v>
      </c>
      <c r="B310" s="99" t="s">
        <v>1451</v>
      </c>
      <c r="C310" s="99" t="s">
        <v>130</v>
      </c>
      <c r="D310" s="98" t="s">
        <v>1425</v>
      </c>
      <c r="E310" s="100" t="s">
        <v>1423</v>
      </c>
      <c r="F310" s="101" t="n">
        <v>3</v>
      </c>
      <c r="G310" s="101" t="s">
        <v>133</v>
      </c>
      <c r="H310" s="102" t="n">
        <v>372.41</v>
      </c>
      <c r="I310" s="103" t="n">
        <v>1117.23</v>
      </c>
      <c r="J310" s="104" t="s">
        <v>392</v>
      </c>
      <c r="K310" s="104" t="n">
        <v>1</v>
      </c>
      <c r="L310" s="101" t="n">
        <v>3</v>
      </c>
      <c r="M310" s="104" t="s">
        <v>902</v>
      </c>
      <c r="N310" s="98"/>
      <c r="O310" s="105" t="n">
        <f aca="false">IF(M310="Y",I310,IF(ISNUMBER(H310),H310*L310,0))</f>
        <v>1117.23</v>
      </c>
      <c r="P310" s="106" t="str">
        <f aca="false">IF(J310="","",J310&amp;"|"&amp;A310&amp;"|"&amp;K310)</f>
        <v>R111|HD Fowler|1</v>
      </c>
    </row>
    <row r="311" customFormat="false" ht="15" hidden="false" customHeight="false" outlineLevel="0" collapsed="false">
      <c r="A311" s="98" t="s">
        <v>23</v>
      </c>
      <c r="B311" s="99" t="s">
        <v>1452</v>
      </c>
      <c r="C311" s="99" t="s">
        <v>457</v>
      </c>
      <c r="D311" s="98"/>
      <c r="E311" s="100" t="s">
        <v>1453</v>
      </c>
      <c r="F311" s="101" t="n">
        <v>560</v>
      </c>
      <c r="G311" s="101" t="s">
        <v>178</v>
      </c>
      <c r="H311" s="102" t="n">
        <v>8.26</v>
      </c>
      <c r="I311" s="103" t="n">
        <v>4625.6</v>
      </c>
      <c r="J311" s="104" t="s">
        <v>456</v>
      </c>
      <c r="K311" s="104" t="n">
        <v>1</v>
      </c>
      <c r="L311" s="101" t="n">
        <v>560</v>
      </c>
      <c r="M311" s="104" t="s">
        <v>902</v>
      </c>
      <c r="N311" s="98"/>
      <c r="O311" s="105" t="n">
        <f aca="false">IF(M311="Y",I311,IF(ISNUMBER(H311),H311*L311,0))</f>
        <v>4625.6</v>
      </c>
      <c r="P311" s="106" t="str">
        <f aca="false">IF(J311="","",J311&amp;"|"&amp;A311&amp;"|"&amp;K311)</f>
        <v>R139|HD Fowler|1</v>
      </c>
    </row>
    <row r="312" customFormat="false" ht="15" hidden="false" customHeight="false" outlineLevel="0" collapsed="false">
      <c r="A312" s="107" t="s">
        <v>23</v>
      </c>
      <c r="B312" s="108" t="s">
        <v>1454</v>
      </c>
      <c r="C312" s="108" t="s">
        <v>457</v>
      </c>
      <c r="D312" s="107"/>
      <c r="E312" s="109" t="s">
        <v>1455</v>
      </c>
      <c r="F312" s="110" t="s">
        <v>1456</v>
      </c>
      <c r="G312" s="110" t="s">
        <v>133</v>
      </c>
      <c r="H312" s="111" t="n">
        <v>71.83</v>
      </c>
      <c r="I312" s="112"/>
      <c r="J312" s="113" t="s">
        <v>465</v>
      </c>
      <c r="K312" s="113" t="n">
        <v>1</v>
      </c>
      <c r="L312" s="110" t="n">
        <v>1</v>
      </c>
      <c r="M312" s="113" t="s">
        <v>1362</v>
      </c>
      <c r="N312" s="107" t="s">
        <v>1457</v>
      </c>
      <c r="O312" s="114" t="n">
        <f aca="false">IF(M312="Y",I312,IF(ISNUMBER(H312),H312*L312,0))</f>
        <v>71.83</v>
      </c>
      <c r="P312" s="115" t="str">
        <f aca="false">IF(J312="","",J312&amp;"|"&amp;A312&amp;"|"&amp;K312)</f>
        <v>R142|HD Fowler|1</v>
      </c>
    </row>
    <row r="313" customFormat="false" ht="15" hidden="false" customHeight="false" outlineLevel="0" collapsed="false">
      <c r="A313" s="98" t="s">
        <v>23</v>
      </c>
      <c r="B313" s="99" t="s">
        <v>1458</v>
      </c>
      <c r="C313" s="99" t="s">
        <v>457</v>
      </c>
      <c r="D313" s="98"/>
      <c r="E313" s="100" t="s">
        <v>1459</v>
      </c>
      <c r="F313" s="101" t="n">
        <v>1000</v>
      </c>
      <c r="G313" s="101" t="s">
        <v>473</v>
      </c>
      <c r="H313" s="102" t="n">
        <v>128.36</v>
      </c>
      <c r="I313" s="103" t="n">
        <v>256.72</v>
      </c>
      <c r="J313" s="104" t="s">
        <v>459</v>
      </c>
      <c r="K313" s="104" t="n">
        <v>1</v>
      </c>
      <c r="L313" s="101" t="n">
        <v>1000</v>
      </c>
      <c r="M313" s="104" t="s">
        <v>902</v>
      </c>
      <c r="N313" s="98" t="s">
        <v>1460</v>
      </c>
      <c r="O313" s="105" t="n">
        <f aca="false">IF(M313="Y",I313,IF(ISNUMBER(H313),H313*L313,0))</f>
        <v>256.72</v>
      </c>
      <c r="P313" s="106" t="str">
        <f aca="false">IF(J313="","",J313&amp;"|"&amp;A313&amp;"|"&amp;K313)</f>
        <v>R140|HD Fowler|1</v>
      </c>
    </row>
    <row r="314" customFormat="false" ht="15" hidden="false" customHeight="false" outlineLevel="0" collapsed="false">
      <c r="A314" s="98" t="s">
        <v>23</v>
      </c>
      <c r="B314" s="99" t="s">
        <v>1461</v>
      </c>
      <c r="C314" s="99" t="s">
        <v>457</v>
      </c>
      <c r="D314" s="98"/>
      <c r="E314" s="100" t="s">
        <v>1462</v>
      </c>
      <c r="F314" s="101" t="n">
        <v>1</v>
      </c>
      <c r="G314" s="101" t="s">
        <v>133</v>
      </c>
      <c r="H314" s="102" t="n">
        <v>47.6</v>
      </c>
      <c r="I314" s="103" t="n">
        <v>47.6</v>
      </c>
      <c r="J314" s="104" t="s">
        <v>463</v>
      </c>
      <c r="K314" s="104" t="n">
        <v>1</v>
      </c>
      <c r="L314" s="101" t="n">
        <v>1</v>
      </c>
      <c r="M314" s="104" t="s">
        <v>902</v>
      </c>
      <c r="N314" s="98"/>
      <c r="O314" s="105" t="n">
        <f aca="false">IF(M314="Y",I314,IF(ISNUMBER(H314),H314*L314,0))</f>
        <v>47.6</v>
      </c>
      <c r="P314" s="106" t="str">
        <f aca="false">IF(J314="","",J314&amp;"|"&amp;A314&amp;"|"&amp;K314)</f>
        <v>R141|HD Fowler|1</v>
      </c>
    </row>
    <row r="315" customFormat="false" ht="15" hidden="false" customHeight="false" outlineLevel="0" collapsed="false">
      <c r="A315" s="98" t="s">
        <v>23</v>
      </c>
      <c r="B315" s="99" t="s">
        <v>1463</v>
      </c>
      <c r="C315" s="99" t="s">
        <v>457</v>
      </c>
      <c r="D315" s="98"/>
      <c r="E315" s="100" t="s">
        <v>1464</v>
      </c>
      <c r="F315" s="101" t="n">
        <v>340</v>
      </c>
      <c r="G315" s="101" t="s">
        <v>178</v>
      </c>
      <c r="H315" s="102" t="n">
        <v>0.59</v>
      </c>
      <c r="I315" s="103" t="n">
        <v>200.6</v>
      </c>
      <c r="J315" s="104" t="s">
        <v>468</v>
      </c>
      <c r="K315" s="104" t="n">
        <v>1</v>
      </c>
      <c r="L315" s="101" t="n">
        <v>340</v>
      </c>
      <c r="M315" s="104" t="s">
        <v>902</v>
      </c>
      <c r="N315" s="98"/>
      <c r="O315" s="105" t="n">
        <f aca="false">IF(M315="Y",I315,IF(ISNUMBER(H315),H315*L315,0))</f>
        <v>200.6</v>
      </c>
      <c r="P315" s="106" t="str">
        <f aca="false">IF(J315="","",J315&amp;"|"&amp;A315&amp;"|"&amp;K315)</f>
        <v>R143|HD Fowler|1</v>
      </c>
    </row>
    <row r="316" customFormat="false" ht="15" hidden="false" customHeight="false" outlineLevel="0" collapsed="false">
      <c r="A316" s="98" t="s">
        <v>23</v>
      </c>
      <c r="B316" s="99" t="s">
        <v>1465</v>
      </c>
      <c r="C316" s="99" t="s">
        <v>457</v>
      </c>
      <c r="D316" s="98"/>
      <c r="E316" s="100" t="s">
        <v>1466</v>
      </c>
      <c r="F316" s="101" t="n">
        <v>5</v>
      </c>
      <c r="G316" s="101" t="s">
        <v>473</v>
      </c>
      <c r="H316" s="102" t="n">
        <v>6.64</v>
      </c>
      <c r="I316" s="103" t="n">
        <v>33.2</v>
      </c>
      <c r="J316" s="104" t="s">
        <v>471</v>
      </c>
      <c r="K316" s="104" t="n">
        <v>1</v>
      </c>
      <c r="L316" s="101" t="n">
        <v>5</v>
      </c>
      <c r="M316" s="104" t="s">
        <v>902</v>
      </c>
      <c r="N316" s="98"/>
      <c r="O316" s="105" t="n">
        <f aca="false">IF(M316="Y",I316,IF(ISNUMBER(H316),H316*L316,0))</f>
        <v>33.2</v>
      </c>
      <c r="P316" s="106" t="str">
        <f aca="false">IF(J316="","",J316&amp;"|"&amp;A316&amp;"|"&amp;K316)</f>
        <v>R144|HD Fowler|1</v>
      </c>
    </row>
    <row r="317" customFormat="false" ht="15" hidden="false" customHeight="false" outlineLevel="0" collapsed="false">
      <c r="A317" s="107" t="s">
        <v>23</v>
      </c>
      <c r="B317" s="108" t="s">
        <v>1467</v>
      </c>
      <c r="C317" s="108" t="s">
        <v>457</v>
      </c>
      <c r="D317" s="107"/>
      <c r="E317" s="109" t="s">
        <v>1468</v>
      </c>
      <c r="F317" s="110" t="s">
        <v>1456</v>
      </c>
      <c r="G317" s="110" t="s">
        <v>133</v>
      </c>
      <c r="H317" s="111" t="n">
        <v>647.81</v>
      </c>
      <c r="I317" s="112"/>
      <c r="J317" s="113" t="s">
        <v>476</v>
      </c>
      <c r="K317" s="113" t="n">
        <v>1</v>
      </c>
      <c r="L317" s="110" t="n">
        <v>1</v>
      </c>
      <c r="M317" s="113" t="s">
        <v>1362</v>
      </c>
      <c r="N317" s="107" t="s">
        <v>1457</v>
      </c>
      <c r="O317" s="114" t="n">
        <f aca="false">IF(M317="Y",I317,IF(ISNUMBER(H317),H317*L317,0))</f>
        <v>647.81</v>
      </c>
      <c r="P317" s="115" t="str">
        <f aca="false">IF(J317="","",J317&amp;"|"&amp;A317&amp;"|"&amp;K317)</f>
        <v>R146|HD Fowler|1</v>
      </c>
    </row>
    <row r="318" customFormat="false" ht="15" hidden="false" customHeight="false" outlineLevel="0" collapsed="false">
      <c r="A318" s="98" t="s">
        <v>23</v>
      </c>
      <c r="B318" s="99" t="s">
        <v>1469</v>
      </c>
      <c r="C318" s="99" t="s">
        <v>457</v>
      </c>
      <c r="D318" s="98"/>
      <c r="E318" s="100" t="s">
        <v>1470</v>
      </c>
      <c r="F318" s="101" t="n">
        <v>2</v>
      </c>
      <c r="G318" s="101" t="s">
        <v>133</v>
      </c>
      <c r="H318" s="102" t="n">
        <v>42.82</v>
      </c>
      <c r="I318" s="103" t="n">
        <v>85.64</v>
      </c>
      <c r="J318" s="104" t="s">
        <v>474</v>
      </c>
      <c r="K318" s="104" t="n">
        <v>1</v>
      </c>
      <c r="L318" s="101" t="n">
        <v>2</v>
      </c>
      <c r="M318" s="104" t="s">
        <v>902</v>
      </c>
      <c r="N318" s="98"/>
      <c r="O318" s="105" t="n">
        <f aca="false">IF(M318="Y",I318,IF(ISNUMBER(H318),H318*L318,0))</f>
        <v>85.64</v>
      </c>
      <c r="P318" s="106" t="str">
        <f aca="false">IF(J318="","",J318&amp;"|"&amp;A318&amp;"|"&amp;K318)</f>
        <v>R145|HD Fowler|1</v>
      </c>
    </row>
    <row r="319" customFormat="false" ht="15" hidden="false" customHeight="false" outlineLevel="0" collapsed="false">
      <c r="A319" s="98" t="s">
        <v>23</v>
      </c>
      <c r="B319" s="99" t="s">
        <v>1471</v>
      </c>
      <c r="C319" s="99" t="s">
        <v>481</v>
      </c>
      <c r="D319" s="98"/>
      <c r="E319" s="100" t="s">
        <v>1472</v>
      </c>
      <c r="F319" s="101" t="n">
        <v>3000</v>
      </c>
      <c r="G319" s="101" t="s">
        <v>178</v>
      </c>
      <c r="H319" s="102" t="n">
        <v>38.83</v>
      </c>
      <c r="I319" s="103" t="n">
        <v>116490</v>
      </c>
      <c r="J319" s="104" t="s">
        <v>480</v>
      </c>
      <c r="K319" s="104" t="n">
        <v>1</v>
      </c>
      <c r="L319" s="101" t="n">
        <v>3000</v>
      </c>
      <c r="M319" s="104" t="s">
        <v>902</v>
      </c>
      <c r="N319" s="98"/>
      <c r="O319" s="105" t="n">
        <f aca="false">IF(M319="Y",I319,IF(ISNUMBER(H319),H319*L319,0))</f>
        <v>116490</v>
      </c>
      <c r="P319" s="106" t="str">
        <f aca="false">IF(J319="","",J319&amp;"|"&amp;A319&amp;"|"&amp;K319)</f>
        <v>R147|HD Fowler|1</v>
      </c>
    </row>
    <row r="320" customFormat="false" ht="15" hidden="false" customHeight="false" outlineLevel="0" collapsed="false">
      <c r="A320" s="107" t="s">
        <v>23</v>
      </c>
      <c r="B320" s="108" t="s">
        <v>1473</v>
      </c>
      <c r="C320" s="108" t="s">
        <v>481</v>
      </c>
      <c r="D320" s="107"/>
      <c r="E320" s="109" t="s">
        <v>1474</v>
      </c>
      <c r="F320" s="110" t="s">
        <v>1456</v>
      </c>
      <c r="G320" s="110" t="s">
        <v>133</v>
      </c>
      <c r="H320" s="111" t="n">
        <v>528.22</v>
      </c>
      <c r="I320" s="112"/>
      <c r="J320" s="113" t="s">
        <v>486</v>
      </c>
      <c r="K320" s="113" t="n">
        <v>1</v>
      </c>
      <c r="L320" s="110" t="n">
        <v>1</v>
      </c>
      <c r="M320" s="113" t="s">
        <v>1362</v>
      </c>
      <c r="N320" s="107" t="s">
        <v>1457</v>
      </c>
      <c r="O320" s="114" t="n">
        <f aca="false">IF(M320="Y",I320,IF(ISNUMBER(H320),H320*L320,0))</f>
        <v>528.22</v>
      </c>
      <c r="P320" s="115" t="str">
        <f aca="false">IF(J320="","",J320&amp;"|"&amp;A320&amp;"|"&amp;K320)</f>
        <v>R150|HD Fowler|1</v>
      </c>
    </row>
    <row r="321" customFormat="false" ht="15" hidden="false" customHeight="false" outlineLevel="0" collapsed="false">
      <c r="A321" s="98" t="s">
        <v>23</v>
      </c>
      <c r="B321" s="99" t="s">
        <v>1475</v>
      </c>
      <c r="C321" s="99" t="s">
        <v>481</v>
      </c>
      <c r="D321" s="98"/>
      <c r="E321" s="100" t="s">
        <v>1459</v>
      </c>
      <c r="F321" s="101" t="n">
        <v>3500</v>
      </c>
      <c r="G321" s="101" t="s">
        <v>473</v>
      </c>
      <c r="H321" s="102" t="n">
        <v>128.36</v>
      </c>
      <c r="I321" s="103" t="n">
        <v>898.52</v>
      </c>
      <c r="J321" s="104" t="s">
        <v>484</v>
      </c>
      <c r="K321" s="104" t="n">
        <v>1</v>
      </c>
      <c r="L321" s="101" t="n">
        <v>3500</v>
      </c>
      <c r="M321" s="104" t="s">
        <v>902</v>
      </c>
      <c r="N321" s="98" t="s">
        <v>1460</v>
      </c>
      <c r="O321" s="105" t="n">
        <f aca="false">IF(M321="Y",I321,IF(ISNUMBER(H321),H321*L321,0))</f>
        <v>898.52</v>
      </c>
      <c r="P321" s="106" t="str">
        <f aca="false">IF(J321="","",J321&amp;"|"&amp;A321&amp;"|"&amp;K321)</f>
        <v>R148|HD Fowler|1</v>
      </c>
    </row>
    <row r="322" customFormat="false" ht="15" hidden="false" customHeight="false" outlineLevel="0" collapsed="false">
      <c r="A322" s="98" t="s">
        <v>23</v>
      </c>
      <c r="B322" s="99" t="s">
        <v>1476</v>
      </c>
      <c r="C322" s="99" t="s">
        <v>481</v>
      </c>
      <c r="D322" s="98"/>
      <c r="E322" s="100" t="s">
        <v>1462</v>
      </c>
      <c r="F322" s="101" t="n">
        <v>4</v>
      </c>
      <c r="G322" s="101" t="s">
        <v>133</v>
      </c>
      <c r="H322" s="102" t="n">
        <v>47.6</v>
      </c>
      <c r="I322" s="103" t="n">
        <v>190.4</v>
      </c>
      <c r="J322" s="104" t="s">
        <v>485</v>
      </c>
      <c r="K322" s="104" t="n">
        <v>1</v>
      </c>
      <c r="L322" s="101" t="n">
        <v>4</v>
      </c>
      <c r="M322" s="104" t="s">
        <v>902</v>
      </c>
      <c r="N322" s="98"/>
      <c r="O322" s="105" t="n">
        <f aca="false">IF(M322="Y",I322,IF(ISNUMBER(H322),H322*L322,0))</f>
        <v>190.4</v>
      </c>
      <c r="P322" s="106" t="str">
        <f aca="false">IF(J322="","",J322&amp;"|"&amp;A322&amp;"|"&amp;K322)</f>
        <v>R149|HD Fowler|1</v>
      </c>
    </row>
    <row r="323" customFormat="false" ht="15" hidden="false" customHeight="false" outlineLevel="0" collapsed="false">
      <c r="A323" s="98" t="s">
        <v>23</v>
      </c>
      <c r="B323" s="99" t="s">
        <v>1477</v>
      </c>
      <c r="C323" s="99" t="s">
        <v>481</v>
      </c>
      <c r="D323" s="98"/>
      <c r="E323" s="100" t="s">
        <v>1478</v>
      </c>
      <c r="F323" s="101" t="n">
        <v>1</v>
      </c>
      <c r="G323" s="101" t="s">
        <v>133</v>
      </c>
      <c r="H323" s="102" t="n">
        <v>736.59</v>
      </c>
      <c r="I323" s="103" t="n">
        <v>736.59</v>
      </c>
      <c r="J323" s="104" t="s">
        <v>606</v>
      </c>
      <c r="K323" s="104" t="n">
        <v>1</v>
      </c>
      <c r="L323" s="101" t="n">
        <v>1</v>
      </c>
      <c r="M323" s="104" t="s">
        <v>902</v>
      </c>
      <c r="N323" s="98"/>
      <c r="O323" s="105" t="n">
        <f aca="false">IF(M323="Y",I323,IF(ISNUMBER(H323),H323*L323,0))</f>
        <v>736.59</v>
      </c>
      <c r="P323" s="106" t="str">
        <f aca="false">IF(J323="","",J323&amp;"|"&amp;A323&amp;"|"&amp;K323)</f>
        <v>R208|HD Fowler|1</v>
      </c>
    </row>
    <row r="324" customFormat="false" ht="15" hidden="false" customHeight="false" outlineLevel="0" collapsed="false">
      <c r="A324" s="98" t="s">
        <v>23</v>
      </c>
      <c r="B324" s="99" t="s">
        <v>1479</v>
      </c>
      <c r="C324" s="99" t="s">
        <v>481</v>
      </c>
      <c r="D324" s="98"/>
      <c r="E324" s="100" t="s">
        <v>1480</v>
      </c>
      <c r="F324" s="101" t="n">
        <v>1</v>
      </c>
      <c r="G324" s="101" t="s">
        <v>133</v>
      </c>
      <c r="H324" s="102" t="n">
        <v>410.41</v>
      </c>
      <c r="I324" s="103" t="n">
        <v>410.41</v>
      </c>
      <c r="J324" s="104" t="s">
        <v>489</v>
      </c>
      <c r="K324" s="104" t="n">
        <v>1</v>
      </c>
      <c r="L324" s="101" t="n">
        <v>1</v>
      </c>
      <c r="M324" s="104" t="s">
        <v>902</v>
      </c>
      <c r="N324" s="98"/>
      <c r="O324" s="105" t="n">
        <f aca="false">IF(M324="Y",I324,IF(ISNUMBER(H324),H324*L324,0))</f>
        <v>410.41</v>
      </c>
      <c r="P324" s="106" t="str">
        <f aca="false">IF(J324="","",J324&amp;"|"&amp;A324&amp;"|"&amp;K324)</f>
        <v>R151|HD Fowler|1</v>
      </c>
    </row>
    <row r="325" customFormat="false" ht="15" hidden="false" customHeight="false" outlineLevel="0" collapsed="false">
      <c r="A325" s="98" t="s">
        <v>23</v>
      </c>
      <c r="B325" s="99" t="s">
        <v>1481</v>
      </c>
      <c r="C325" s="99" t="s">
        <v>481</v>
      </c>
      <c r="D325" s="98"/>
      <c r="E325" s="100" t="s">
        <v>1417</v>
      </c>
      <c r="F325" s="101" t="n">
        <v>3</v>
      </c>
      <c r="G325" s="101" t="s">
        <v>133</v>
      </c>
      <c r="H325" s="102" t="n">
        <v>345.91</v>
      </c>
      <c r="I325" s="103" t="n">
        <v>1037.73</v>
      </c>
      <c r="J325" s="104" t="s">
        <v>609</v>
      </c>
      <c r="K325" s="104" t="n">
        <v>1</v>
      </c>
      <c r="L325" s="101" t="n">
        <v>3</v>
      </c>
      <c r="M325" s="104" t="s">
        <v>902</v>
      </c>
      <c r="N325" s="98"/>
      <c r="O325" s="105" t="n">
        <f aca="false">IF(M325="Y",I325,IF(ISNUMBER(H325),H325*L325,0))</f>
        <v>1037.73</v>
      </c>
      <c r="P325" s="106" t="str">
        <f aca="false">IF(J325="","",J325&amp;"|"&amp;A325&amp;"|"&amp;K325)</f>
        <v>R209|HD Fowler|1</v>
      </c>
    </row>
    <row r="326" customFormat="false" ht="15" hidden="false" customHeight="false" outlineLevel="0" collapsed="false">
      <c r="A326" s="98" t="s">
        <v>23</v>
      </c>
      <c r="B326" s="99" t="s">
        <v>1482</v>
      </c>
      <c r="C326" s="99" t="s">
        <v>481</v>
      </c>
      <c r="D326" s="98"/>
      <c r="E326" s="100" t="s">
        <v>1483</v>
      </c>
      <c r="F326" s="101" t="n">
        <v>340</v>
      </c>
      <c r="G326" s="101" t="s">
        <v>178</v>
      </c>
      <c r="H326" s="102" t="n">
        <v>1.04</v>
      </c>
      <c r="I326" s="103" t="n">
        <v>353.6</v>
      </c>
      <c r="J326" s="104" t="s">
        <v>491</v>
      </c>
      <c r="K326" s="104" t="n">
        <v>1</v>
      </c>
      <c r="L326" s="101" t="n">
        <v>340</v>
      </c>
      <c r="M326" s="104" t="s">
        <v>902</v>
      </c>
      <c r="N326" s="98"/>
      <c r="O326" s="105" t="n">
        <f aca="false">IF(M326="Y",I326,IF(ISNUMBER(H326),H326*L326,0))</f>
        <v>353.6</v>
      </c>
      <c r="P326" s="106" t="str">
        <f aca="false">IF(J326="","",J326&amp;"|"&amp;A326&amp;"|"&amp;K326)</f>
        <v>R152|HD Fowler|1</v>
      </c>
    </row>
    <row r="327" customFormat="false" ht="15" hidden="false" customHeight="false" outlineLevel="0" collapsed="false">
      <c r="A327" s="98" t="s">
        <v>23</v>
      </c>
      <c r="B327" s="99" t="s">
        <v>1484</v>
      </c>
      <c r="C327" s="99" t="s">
        <v>481</v>
      </c>
      <c r="D327" s="98"/>
      <c r="E327" s="100" t="s">
        <v>1466</v>
      </c>
      <c r="F327" s="101" t="n">
        <v>5</v>
      </c>
      <c r="G327" s="101" t="s">
        <v>473</v>
      </c>
      <c r="H327" s="102" t="n">
        <v>6.64</v>
      </c>
      <c r="I327" s="103" t="n">
        <v>33.2</v>
      </c>
      <c r="J327" s="104" t="s">
        <v>493</v>
      </c>
      <c r="K327" s="104" t="n">
        <v>1</v>
      </c>
      <c r="L327" s="101" t="n">
        <v>5</v>
      </c>
      <c r="M327" s="104" t="s">
        <v>902</v>
      </c>
      <c r="N327" s="98"/>
      <c r="O327" s="105" t="n">
        <f aca="false">IF(M327="Y",I327,IF(ISNUMBER(H327),H327*L327,0))</f>
        <v>33.2</v>
      </c>
      <c r="P327" s="106" t="str">
        <f aca="false">IF(J327="","",J327&amp;"|"&amp;A327&amp;"|"&amp;K327)</f>
        <v>R153|HD Fowler|1</v>
      </c>
    </row>
    <row r="328" customFormat="false" ht="15" hidden="false" customHeight="false" outlineLevel="0" collapsed="false">
      <c r="A328" s="107" t="s">
        <v>23</v>
      </c>
      <c r="B328" s="108" t="s">
        <v>1485</v>
      </c>
      <c r="C328" s="108" t="s">
        <v>481</v>
      </c>
      <c r="D328" s="107"/>
      <c r="E328" s="109" t="s">
        <v>1468</v>
      </c>
      <c r="F328" s="110" t="s">
        <v>1456</v>
      </c>
      <c r="G328" s="110" t="s">
        <v>133</v>
      </c>
      <c r="H328" s="111" t="n">
        <v>647.81</v>
      </c>
      <c r="I328" s="112"/>
      <c r="J328" s="113" t="s">
        <v>495</v>
      </c>
      <c r="K328" s="113" t="n">
        <v>1</v>
      </c>
      <c r="L328" s="110" t="n">
        <v>1</v>
      </c>
      <c r="M328" s="113" t="s">
        <v>1362</v>
      </c>
      <c r="N328" s="107" t="s">
        <v>1457</v>
      </c>
      <c r="O328" s="114" t="n">
        <f aca="false">IF(M328="Y",I328,IF(ISNUMBER(H328),H328*L328,0))</f>
        <v>647.81</v>
      </c>
      <c r="P328" s="115" t="str">
        <f aca="false">IF(J328="","",J328&amp;"|"&amp;A328&amp;"|"&amp;K328)</f>
        <v>R155|HD Fowler|1</v>
      </c>
    </row>
    <row r="329" customFormat="false" ht="15" hidden="false" customHeight="false" outlineLevel="0" collapsed="false">
      <c r="A329" s="98" t="s">
        <v>23</v>
      </c>
      <c r="B329" s="99" t="s">
        <v>1486</v>
      </c>
      <c r="C329" s="99" t="s">
        <v>481</v>
      </c>
      <c r="D329" s="98"/>
      <c r="E329" s="100" t="s">
        <v>1470</v>
      </c>
      <c r="F329" s="101" t="n">
        <v>9</v>
      </c>
      <c r="G329" s="101" t="s">
        <v>133</v>
      </c>
      <c r="H329" s="102" t="n">
        <v>42.82</v>
      </c>
      <c r="I329" s="103" t="n">
        <v>385.38</v>
      </c>
      <c r="J329" s="104" t="s">
        <v>494</v>
      </c>
      <c r="K329" s="104" t="n">
        <v>1</v>
      </c>
      <c r="L329" s="101" t="n">
        <v>9</v>
      </c>
      <c r="M329" s="104" t="s">
        <v>902</v>
      </c>
      <c r="N329" s="98"/>
      <c r="O329" s="105" t="n">
        <f aca="false">IF(M329="Y",I329,IF(ISNUMBER(H329),H329*L329,0))</f>
        <v>385.38</v>
      </c>
      <c r="P329" s="106" t="str">
        <f aca="false">IF(J329="","",J329&amp;"|"&amp;A329&amp;"|"&amp;K329)</f>
        <v>R154|HD Fowler|1</v>
      </c>
    </row>
    <row r="330" customFormat="false" ht="15" hidden="false" customHeight="false" outlineLevel="0" collapsed="false">
      <c r="A330" s="98" t="s">
        <v>23</v>
      </c>
      <c r="B330" s="99" t="s">
        <v>1487</v>
      </c>
      <c r="C330" s="99" t="s">
        <v>498</v>
      </c>
      <c r="D330" s="98"/>
      <c r="E330" s="100" t="s">
        <v>1488</v>
      </c>
      <c r="F330" s="101" t="n">
        <v>12500</v>
      </c>
      <c r="G330" s="101" t="s">
        <v>178</v>
      </c>
      <c r="H330" s="102" t="n">
        <v>30.07</v>
      </c>
      <c r="I330" s="103" t="n">
        <v>375875</v>
      </c>
      <c r="J330" s="104" t="s">
        <v>497</v>
      </c>
      <c r="K330" s="104" t="n">
        <v>1</v>
      </c>
      <c r="L330" s="101" t="n">
        <v>12500</v>
      </c>
      <c r="M330" s="104" t="s">
        <v>902</v>
      </c>
      <c r="N330" s="98"/>
      <c r="O330" s="105" t="n">
        <f aca="false">IF(M330="Y",I330,IF(ISNUMBER(H330),H330*L330,0))</f>
        <v>375875</v>
      </c>
      <c r="P330" s="106" t="str">
        <f aca="false">IF(J330="","",J330&amp;"|"&amp;A330&amp;"|"&amp;K330)</f>
        <v>R156|HD Fowler|1</v>
      </c>
    </row>
    <row r="331" customFormat="false" ht="15" hidden="false" customHeight="false" outlineLevel="0" collapsed="false">
      <c r="A331" s="107" t="s">
        <v>23</v>
      </c>
      <c r="B331" s="108" t="s">
        <v>1489</v>
      </c>
      <c r="C331" s="108" t="s">
        <v>498</v>
      </c>
      <c r="D331" s="107"/>
      <c r="E331" s="109" t="s">
        <v>1490</v>
      </c>
      <c r="F331" s="110" t="s">
        <v>1456</v>
      </c>
      <c r="G331" s="110" t="s">
        <v>133</v>
      </c>
      <c r="H331" s="111" t="n">
        <v>227.7</v>
      </c>
      <c r="I331" s="112"/>
      <c r="J331" s="113" t="s">
        <v>502</v>
      </c>
      <c r="K331" s="113" t="n">
        <v>1</v>
      </c>
      <c r="L331" s="110" t="n">
        <v>1</v>
      </c>
      <c r="M331" s="113" t="s">
        <v>1362</v>
      </c>
      <c r="N331" s="107" t="s">
        <v>1457</v>
      </c>
      <c r="O331" s="114" t="n">
        <f aca="false">IF(M331="Y",I331,IF(ISNUMBER(H331),H331*L331,0))</f>
        <v>227.7</v>
      </c>
      <c r="P331" s="115" t="str">
        <f aca="false">IF(J331="","",J331&amp;"|"&amp;A331&amp;"|"&amp;K331)</f>
        <v>R159|HD Fowler|1</v>
      </c>
    </row>
    <row r="332" customFormat="false" ht="15" hidden="false" customHeight="false" outlineLevel="0" collapsed="false">
      <c r="A332" s="98" t="s">
        <v>23</v>
      </c>
      <c r="B332" s="99" t="s">
        <v>1491</v>
      </c>
      <c r="C332" s="99" t="s">
        <v>498</v>
      </c>
      <c r="D332" s="98"/>
      <c r="E332" s="100" t="s">
        <v>1459</v>
      </c>
      <c r="F332" s="101" t="n">
        <v>13000</v>
      </c>
      <c r="G332" s="101" t="s">
        <v>473</v>
      </c>
      <c r="H332" s="102" t="n">
        <v>128.36</v>
      </c>
      <c r="I332" s="103" t="n">
        <v>3337.36</v>
      </c>
      <c r="J332" s="104" t="s">
        <v>500</v>
      </c>
      <c r="K332" s="104" t="n">
        <v>1</v>
      </c>
      <c r="L332" s="101" t="n">
        <v>13000</v>
      </c>
      <c r="M332" s="104" t="s">
        <v>902</v>
      </c>
      <c r="N332" s="98" t="s">
        <v>1460</v>
      </c>
      <c r="O332" s="105" t="n">
        <f aca="false">IF(M332="Y",I332,IF(ISNUMBER(H332),H332*L332,0))</f>
        <v>3337.36</v>
      </c>
      <c r="P332" s="106" t="str">
        <f aca="false">IF(J332="","",J332&amp;"|"&amp;A332&amp;"|"&amp;K332)</f>
        <v>R157|HD Fowler|1</v>
      </c>
    </row>
    <row r="333" customFormat="false" ht="15" hidden="false" customHeight="false" outlineLevel="0" collapsed="false">
      <c r="A333" s="98" t="s">
        <v>23</v>
      </c>
      <c r="B333" s="99" t="s">
        <v>1492</v>
      </c>
      <c r="C333" s="99" t="s">
        <v>498</v>
      </c>
      <c r="D333" s="98"/>
      <c r="E333" s="100" t="s">
        <v>1462</v>
      </c>
      <c r="F333" s="101" t="n">
        <v>13</v>
      </c>
      <c r="G333" s="101" t="s">
        <v>133</v>
      </c>
      <c r="H333" s="102" t="n">
        <v>47.6</v>
      </c>
      <c r="I333" s="103" t="n">
        <v>618.8</v>
      </c>
      <c r="J333" s="104" t="s">
        <v>501</v>
      </c>
      <c r="K333" s="104" t="n">
        <v>1</v>
      </c>
      <c r="L333" s="101" t="n">
        <v>13</v>
      </c>
      <c r="M333" s="104" t="s">
        <v>902</v>
      </c>
      <c r="N333" s="98"/>
      <c r="O333" s="105" t="n">
        <f aca="false">IF(M333="Y",I333,IF(ISNUMBER(H333),H333*L333,0))</f>
        <v>618.8</v>
      </c>
      <c r="P333" s="106" t="str">
        <f aca="false">IF(J333="","",J333&amp;"|"&amp;A333&amp;"|"&amp;K333)</f>
        <v>R158|HD Fowler|1</v>
      </c>
    </row>
    <row r="334" customFormat="false" ht="15" hidden="false" customHeight="false" outlineLevel="0" collapsed="false">
      <c r="A334" s="98" t="s">
        <v>23</v>
      </c>
      <c r="B334" s="99" t="s">
        <v>1493</v>
      </c>
      <c r="C334" s="99" t="s">
        <v>498</v>
      </c>
      <c r="D334" s="98"/>
      <c r="E334" s="100" t="s">
        <v>1494</v>
      </c>
      <c r="F334" s="101" t="n">
        <v>7</v>
      </c>
      <c r="G334" s="101" t="s">
        <v>133</v>
      </c>
      <c r="H334" s="102" t="n">
        <v>438.72</v>
      </c>
      <c r="I334" s="103" t="n">
        <v>3071.04</v>
      </c>
      <c r="J334" s="104" t="s">
        <v>583</v>
      </c>
      <c r="K334" s="104" t="n">
        <v>1</v>
      </c>
      <c r="L334" s="101" t="n">
        <v>7</v>
      </c>
      <c r="M334" s="104" t="s">
        <v>902</v>
      </c>
      <c r="N334" s="98"/>
      <c r="O334" s="105" t="n">
        <f aca="false">IF(M334="Y",I334,IF(ISNUMBER(H334),H334*L334,0))</f>
        <v>3071.04</v>
      </c>
      <c r="P334" s="106" t="str">
        <f aca="false">IF(J334="","",J334&amp;"|"&amp;A334&amp;"|"&amp;K334)</f>
        <v>R197|HD Fowler|1</v>
      </c>
    </row>
    <row r="335" customFormat="false" ht="15" hidden="false" customHeight="false" outlineLevel="0" collapsed="false">
      <c r="A335" s="98" t="s">
        <v>23</v>
      </c>
      <c r="B335" s="99" t="s">
        <v>1495</v>
      </c>
      <c r="C335" s="99" t="s">
        <v>498</v>
      </c>
      <c r="D335" s="98"/>
      <c r="E335" s="100" t="s">
        <v>1321</v>
      </c>
      <c r="F335" s="101" t="n">
        <v>7</v>
      </c>
      <c r="G335" s="101" t="s">
        <v>133</v>
      </c>
      <c r="H335" s="102" t="n">
        <v>167.73</v>
      </c>
      <c r="I335" s="103" t="n">
        <v>1174.11</v>
      </c>
      <c r="J335" s="104" t="s">
        <v>585</v>
      </c>
      <c r="K335" s="104" t="n">
        <v>1</v>
      </c>
      <c r="L335" s="101" t="n">
        <v>7</v>
      </c>
      <c r="M335" s="104" t="s">
        <v>902</v>
      </c>
      <c r="N335" s="98"/>
      <c r="O335" s="105" t="n">
        <f aca="false">IF(M335="Y",I335,IF(ISNUMBER(H335),H335*L335,0))</f>
        <v>1174.11</v>
      </c>
      <c r="P335" s="106" t="str">
        <f aca="false">IF(J335="","",J335&amp;"|"&amp;A335&amp;"|"&amp;K335)</f>
        <v>R198|HD Fowler|1</v>
      </c>
    </row>
    <row r="336" customFormat="false" ht="15" hidden="false" customHeight="false" outlineLevel="0" collapsed="false">
      <c r="A336" s="98" t="s">
        <v>23</v>
      </c>
      <c r="B336" s="99" t="s">
        <v>1496</v>
      </c>
      <c r="C336" s="99" t="s">
        <v>498</v>
      </c>
      <c r="D336" s="98"/>
      <c r="E336" s="100" t="s">
        <v>1325</v>
      </c>
      <c r="F336" s="101" t="n">
        <v>7</v>
      </c>
      <c r="G336" s="101" t="s">
        <v>133</v>
      </c>
      <c r="H336" s="102" t="n">
        <v>35.6</v>
      </c>
      <c r="I336" s="103" t="n">
        <v>249.2</v>
      </c>
      <c r="J336" s="104" t="s">
        <v>586</v>
      </c>
      <c r="K336" s="104" t="n">
        <v>1</v>
      </c>
      <c r="L336" s="101" t="n">
        <v>7</v>
      </c>
      <c r="M336" s="104" t="s">
        <v>902</v>
      </c>
      <c r="N336" s="98"/>
      <c r="O336" s="105" t="n">
        <f aca="false">IF(M336="Y",I336,IF(ISNUMBER(H336),H336*L336,0))</f>
        <v>249.2</v>
      </c>
      <c r="P336" s="106" t="str">
        <f aca="false">IF(J336="","",J336&amp;"|"&amp;A336&amp;"|"&amp;K336)</f>
        <v>R199|HD Fowler|1</v>
      </c>
    </row>
    <row r="337" customFormat="false" ht="15" hidden="false" customHeight="false" outlineLevel="0" collapsed="false">
      <c r="A337" s="98" t="s">
        <v>23</v>
      </c>
      <c r="B337" s="99" t="s">
        <v>1497</v>
      </c>
      <c r="C337" s="99" t="s">
        <v>498</v>
      </c>
      <c r="D337" s="98"/>
      <c r="E337" s="100" t="s">
        <v>1327</v>
      </c>
      <c r="F337" s="101" t="n">
        <v>7</v>
      </c>
      <c r="G337" s="101" t="s">
        <v>133</v>
      </c>
      <c r="H337" s="102" t="n">
        <v>24.38</v>
      </c>
      <c r="I337" s="103" t="n">
        <v>170.66</v>
      </c>
      <c r="J337" s="104" t="s">
        <v>586</v>
      </c>
      <c r="K337" s="104" t="n">
        <v>2</v>
      </c>
      <c r="L337" s="101" t="n">
        <v>7</v>
      </c>
      <c r="M337" s="104" t="s">
        <v>902</v>
      </c>
      <c r="N337" s="98"/>
      <c r="O337" s="105" t="n">
        <f aca="false">IF(M337="Y",I337,IF(ISNUMBER(H337),H337*L337,0))</f>
        <v>170.66</v>
      </c>
      <c r="P337" s="106" t="str">
        <f aca="false">IF(J337="","",J337&amp;"|"&amp;A337&amp;"|"&amp;K337)</f>
        <v>R199|HD Fowler|2</v>
      </c>
    </row>
    <row r="338" customFormat="false" ht="15" hidden="false" customHeight="false" outlineLevel="0" collapsed="false">
      <c r="A338" s="98" t="s">
        <v>23</v>
      </c>
      <c r="B338" s="99" t="s">
        <v>1498</v>
      </c>
      <c r="C338" s="99" t="s">
        <v>498</v>
      </c>
      <c r="D338" s="98"/>
      <c r="E338" s="100" t="s">
        <v>1483</v>
      </c>
      <c r="F338" s="101" t="n">
        <v>340</v>
      </c>
      <c r="G338" s="101" t="s">
        <v>178</v>
      </c>
      <c r="H338" s="102" t="n">
        <v>1.04</v>
      </c>
      <c r="I338" s="103" t="n">
        <v>353.6</v>
      </c>
      <c r="J338" s="104" t="s">
        <v>505</v>
      </c>
      <c r="K338" s="104" t="n">
        <v>1</v>
      </c>
      <c r="L338" s="101" t="n">
        <v>340</v>
      </c>
      <c r="M338" s="104" t="s">
        <v>902</v>
      </c>
      <c r="N338" s="98"/>
      <c r="O338" s="105" t="n">
        <f aca="false">IF(M338="Y",I338,IF(ISNUMBER(H338),H338*L338,0))</f>
        <v>353.6</v>
      </c>
      <c r="P338" s="106" t="str">
        <f aca="false">IF(J338="","",J338&amp;"|"&amp;A338&amp;"|"&amp;K338)</f>
        <v>R160|HD Fowler|1</v>
      </c>
    </row>
    <row r="339" customFormat="false" ht="15" hidden="false" customHeight="false" outlineLevel="0" collapsed="false">
      <c r="A339" s="98" t="s">
        <v>23</v>
      </c>
      <c r="B339" s="99" t="s">
        <v>1499</v>
      </c>
      <c r="C339" s="99" t="s">
        <v>498</v>
      </c>
      <c r="D339" s="98"/>
      <c r="E339" s="100" t="s">
        <v>1466</v>
      </c>
      <c r="F339" s="101" t="n">
        <v>5</v>
      </c>
      <c r="G339" s="101" t="s">
        <v>473</v>
      </c>
      <c r="H339" s="102" t="n">
        <v>6.64</v>
      </c>
      <c r="I339" s="103" t="n">
        <v>33.2</v>
      </c>
      <c r="J339" s="104" t="s">
        <v>506</v>
      </c>
      <c r="K339" s="104" t="n">
        <v>1</v>
      </c>
      <c r="L339" s="101" t="n">
        <v>5</v>
      </c>
      <c r="M339" s="104" t="s">
        <v>902</v>
      </c>
      <c r="N339" s="98"/>
      <c r="O339" s="105" t="n">
        <f aca="false">IF(M339="Y",I339,IF(ISNUMBER(H339),H339*L339,0))</f>
        <v>33.2</v>
      </c>
      <c r="P339" s="106" t="str">
        <f aca="false">IF(J339="","",J339&amp;"|"&amp;A339&amp;"|"&amp;K339)</f>
        <v>R161|HD Fowler|1</v>
      </c>
    </row>
    <row r="340" customFormat="false" ht="15" hidden="false" customHeight="false" outlineLevel="0" collapsed="false">
      <c r="A340" s="107" t="s">
        <v>23</v>
      </c>
      <c r="B340" s="108" t="s">
        <v>1500</v>
      </c>
      <c r="C340" s="108" t="s">
        <v>498</v>
      </c>
      <c r="D340" s="107"/>
      <c r="E340" s="109" t="s">
        <v>1468</v>
      </c>
      <c r="F340" s="110" t="s">
        <v>1456</v>
      </c>
      <c r="G340" s="110" t="s">
        <v>133</v>
      </c>
      <c r="H340" s="111" t="n">
        <v>647.81</v>
      </c>
      <c r="I340" s="112"/>
      <c r="J340" s="113" t="s">
        <v>508</v>
      </c>
      <c r="K340" s="113" t="n">
        <v>1</v>
      </c>
      <c r="L340" s="110" t="n">
        <v>1</v>
      </c>
      <c r="M340" s="113" t="s">
        <v>1362</v>
      </c>
      <c r="N340" s="107" t="s">
        <v>1457</v>
      </c>
      <c r="O340" s="114" t="n">
        <f aca="false">IF(M340="Y",I340,IF(ISNUMBER(H340),H340*L340,0))</f>
        <v>647.81</v>
      </c>
      <c r="P340" s="115" t="str">
        <f aca="false">IF(J340="","",J340&amp;"|"&amp;A340&amp;"|"&amp;K340)</f>
        <v>R163|HD Fowler|1</v>
      </c>
    </row>
    <row r="341" customFormat="false" ht="15" hidden="false" customHeight="false" outlineLevel="0" collapsed="false">
      <c r="A341" s="98" t="s">
        <v>23</v>
      </c>
      <c r="B341" s="99" t="s">
        <v>1501</v>
      </c>
      <c r="C341" s="99" t="s">
        <v>498</v>
      </c>
      <c r="D341" s="98"/>
      <c r="E341" s="100" t="s">
        <v>1470</v>
      </c>
      <c r="F341" s="101" t="n">
        <v>25</v>
      </c>
      <c r="G341" s="101" t="s">
        <v>133</v>
      </c>
      <c r="H341" s="102" t="n">
        <v>42.82</v>
      </c>
      <c r="I341" s="103" t="n">
        <v>1070.5</v>
      </c>
      <c r="J341" s="104" t="s">
        <v>507</v>
      </c>
      <c r="K341" s="104" t="n">
        <v>1</v>
      </c>
      <c r="L341" s="101" t="n">
        <v>25</v>
      </c>
      <c r="M341" s="104" t="s">
        <v>902</v>
      </c>
      <c r="N341" s="98"/>
      <c r="O341" s="105" t="n">
        <f aca="false">IF(M341="Y",I341,IF(ISNUMBER(H341),H341*L341,0))</f>
        <v>1070.5</v>
      </c>
      <c r="P341" s="106" t="str">
        <f aca="false">IF(J341="","",J341&amp;"|"&amp;A341&amp;"|"&amp;K341)</f>
        <v>R162|HD Fowler|1</v>
      </c>
    </row>
    <row r="342" customFormat="false" ht="15" hidden="false" customHeight="false" outlineLevel="0" collapsed="false">
      <c r="A342" s="98" t="s">
        <v>23</v>
      </c>
      <c r="B342" s="99" t="s">
        <v>1502</v>
      </c>
      <c r="C342" s="99" t="s">
        <v>511</v>
      </c>
      <c r="D342" s="98"/>
      <c r="E342" s="100" t="s">
        <v>1503</v>
      </c>
      <c r="F342" s="101" t="n">
        <v>16</v>
      </c>
      <c r="G342" s="101" t="s">
        <v>133</v>
      </c>
      <c r="H342" s="102" t="n">
        <v>1061.89</v>
      </c>
      <c r="I342" s="103" t="n">
        <v>16990.24</v>
      </c>
      <c r="J342" s="104" t="s">
        <v>510</v>
      </c>
      <c r="K342" s="104" t="n">
        <v>1</v>
      </c>
      <c r="L342" s="101" t="n">
        <v>16</v>
      </c>
      <c r="M342" s="104" t="s">
        <v>902</v>
      </c>
      <c r="N342" s="98"/>
      <c r="O342" s="105" t="n">
        <f aca="false">IF(M342="Y",I342,IF(ISNUMBER(H342),H342*L342,0))</f>
        <v>16990.24</v>
      </c>
      <c r="P342" s="106" t="str">
        <f aca="false">IF(J342="","",J342&amp;"|"&amp;A342&amp;"|"&amp;K342)</f>
        <v>R164|HD Fowler|1</v>
      </c>
    </row>
    <row r="343" customFormat="false" ht="15" hidden="false" customHeight="false" outlineLevel="0" collapsed="false">
      <c r="A343" s="98" t="s">
        <v>23</v>
      </c>
      <c r="B343" s="99" t="s">
        <v>1504</v>
      </c>
      <c r="C343" s="99" t="s">
        <v>511</v>
      </c>
      <c r="D343" s="98"/>
      <c r="E343" s="100" t="s">
        <v>1315</v>
      </c>
      <c r="F343" s="101" t="n">
        <v>16</v>
      </c>
      <c r="G343" s="101" t="s">
        <v>133</v>
      </c>
      <c r="H343" s="102" t="n">
        <v>79.46</v>
      </c>
      <c r="I343" s="103" t="n">
        <v>1271.36</v>
      </c>
      <c r="J343" s="104" t="s">
        <v>513</v>
      </c>
      <c r="K343" s="104" t="n">
        <v>1</v>
      </c>
      <c r="L343" s="101" t="n">
        <v>16</v>
      </c>
      <c r="M343" s="104" t="s">
        <v>902</v>
      </c>
      <c r="N343" s="98"/>
      <c r="O343" s="105" t="n">
        <f aca="false">IF(M343="Y",I343,IF(ISNUMBER(H343),H343*L343,0))</f>
        <v>1271.36</v>
      </c>
      <c r="P343" s="106" t="str">
        <f aca="false">IF(J343="","",J343&amp;"|"&amp;A343&amp;"|"&amp;K343)</f>
        <v>R165|HD Fowler|1</v>
      </c>
    </row>
    <row r="344" customFormat="false" ht="15" hidden="false" customHeight="false" outlineLevel="0" collapsed="false">
      <c r="A344" s="98" t="s">
        <v>23</v>
      </c>
      <c r="B344" s="99" t="s">
        <v>1505</v>
      </c>
      <c r="C344" s="99" t="s">
        <v>511</v>
      </c>
      <c r="D344" s="98"/>
      <c r="E344" s="100" t="s">
        <v>1317</v>
      </c>
      <c r="F344" s="101" t="n">
        <v>16</v>
      </c>
      <c r="G344" s="101" t="s">
        <v>133</v>
      </c>
      <c r="H344" s="102" t="n">
        <v>46.11</v>
      </c>
      <c r="I344" s="103" t="n">
        <v>737.76</v>
      </c>
      <c r="J344" s="104" t="s">
        <v>513</v>
      </c>
      <c r="K344" s="104" t="n">
        <v>2</v>
      </c>
      <c r="L344" s="101" t="n">
        <v>16</v>
      </c>
      <c r="M344" s="104" t="s">
        <v>902</v>
      </c>
      <c r="N344" s="98"/>
      <c r="O344" s="105" t="n">
        <f aca="false">IF(M344="Y",I344,IF(ISNUMBER(H344),H344*L344,0))</f>
        <v>737.76</v>
      </c>
      <c r="P344" s="106" t="str">
        <f aca="false">IF(J344="","",J344&amp;"|"&amp;A344&amp;"|"&amp;K344)</f>
        <v>R165|HD Fowler|2</v>
      </c>
    </row>
    <row r="345" customFormat="false" ht="15" hidden="false" customHeight="false" outlineLevel="0" collapsed="false">
      <c r="A345" s="98" t="s">
        <v>23</v>
      </c>
      <c r="B345" s="99" t="s">
        <v>1506</v>
      </c>
      <c r="C345" s="99" t="s">
        <v>511</v>
      </c>
      <c r="D345" s="98"/>
      <c r="E345" s="100" t="s">
        <v>1507</v>
      </c>
      <c r="F345" s="101" t="n">
        <v>16</v>
      </c>
      <c r="G345" s="101" t="s">
        <v>133</v>
      </c>
      <c r="H345" s="102" t="n">
        <v>19.76</v>
      </c>
      <c r="I345" s="103" t="n">
        <v>316.16</v>
      </c>
      <c r="J345" s="104" t="s">
        <v>513</v>
      </c>
      <c r="K345" s="104" t="n">
        <v>3</v>
      </c>
      <c r="L345" s="101" t="n">
        <v>16</v>
      </c>
      <c r="M345" s="104" t="s">
        <v>902</v>
      </c>
      <c r="N345" s="98"/>
      <c r="O345" s="105" t="n">
        <f aca="false">IF(M345="Y",I345,IF(ISNUMBER(H345),H345*L345,0))</f>
        <v>316.16</v>
      </c>
      <c r="P345" s="106" t="str">
        <f aca="false">IF(J345="","",J345&amp;"|"&amp;A345&amp;"|"&amp;K345)</f>
        <v>R165|HD Fowler|3</v>
      </c>
    </row>
    <row r="346" customFormat="false" ht="15" hidden="false" customHeight="false" outlineLevel="0" collapsed="false">
      <c r="A346" s="98" t="s">
        <v>23</v>
      </c>
      <c r="B346" s="99" t="s">
        <v>1508</v>
      </c>
      <c r="C346" s="99" t="s">
        <v>511</v>
      </c>
      <c r="D346" s="98"/>
      <c r="E346" s="100" t="s">
        <v>1509</v>
      </c>
      <c r="F346" s="101" t="n">
        <v>16</v>
      </c>
      <c r="G346" s="101" t="s">
        <v>133</v>
      </c>
      <c r="H346" s="102" t="n">
        <v>73.3</v>
      </c>
      <c r="I346" s="103" t="n">
        <v>1172.8</v>
      </c>
      <c r="J346" s="104" t="s">
        <v>516</v>
      </c>
      <c r="K346" s="104" t="n">
        <v>1</v>
      </c>
      <c r="L346" s="101" t="n">
        <v>16</v>
      </c>
      <c r="M346" s="104" t="s">
        <v>902</v>
      </c>
      <c r="N346" s="98"/>
      <c r="O346" s="105" t="n">
        <f aca="false">IF(M346="Y",I346,IF(ISNUMBER(H346),H346*L346,0))</f>
        <v>1172.8</v>
      </c>
      <c r="P346" s="106" t="str">
        <f aca="false">IF(J346="","",J346&amp;"|"&amp;A346&amp;"|"&amp;K346)</f>
        <v>R166|HD Fowler|1</v>
      </c>
    </row>
    <row r="347" customFormat="false" ht="15" hidden="false" customHeight="false" outlineLevel="0" collapsed="false">
      <c r="A347" s="98" t="s">
        <v>23</v>
      </c>
      <c r="B347" s="99" t="s">
        <v>1510</v>
      </c>
      <c r="C347" s="99" t="s">
        <v>511</v>
      </c>
      <c r="D347" s="98"/>
      <c r="E347" s="100" t="s">
        <v>1511</v>
      </c>
      <c r="F347" s="101" t="n">
        <v>16</v>
      </c>
      <c r="G347" s="101" t="s">
        <v>133</v>
      </c>
      <c r="H347" s="102" t="n">
        <v>14.13</v>
      </c>
      <c r="I347" s="103" t="n">
        <v>226.08</v>
      </c>
      <c r="J347" s="104" t="s">
        <v>518</v>
      </c>
      <c r="K347" s="104" t="n">
        <v>1</v>
      </c>
      <c r="L347" s="101" t="n">
        <v>16</v>
      </c>
      <c r="M347" s="104" t="s">
        <v>902</v>
      </c>
      <c r="N347" s="98"/>
      <c r="O347" s="105" t="n">
        <f aca="false">IF(M347="Y",I347,IF(ISNUMBER(H347),H347*L347,0))</f>
        <v>226.08</v>
      </c>
      <c r="P347" s="106" t="str">
        <f aca="false">IF(J347="","",J347&amp;"|"&amp;A347&amp;"|"&amp;K347)</f>
        <v>R167|HD Fowler|1</v>
      </c>
    </row>
    <row r="348" customFormat="false" ht="15" hidden="false" customHeight="false" outlineLevel="0" collapsed="false">
      <c r="A348" s="98" t="s">
        <v>23</v>
      </c>
      <c r="B348" s="99" t="s">
        <v>1512</v>
      </c>
      <c r="C348" s="99" t="s">
        <v>511</v>
      </c>
      <c r="D348" s="98"/>
      <c r="E348" s="100" t="s">
        <v>1513</v>
      </c>
      <c r="F348" s="101" t="n">
        <v>16</v>
      </c>
      <c r="G348" s="101" t="s">
        <v>133</v>
      </c>
      <c r="H348" s="102" t="n">
        <v>12.78</v>
      </c>
      <c r="I348" s="103" t="n">
        <v>204.48</v>
      </c>
      <c r="J348" s="104" t="s">
        <v>518</v>
      </c>
      <c r="K348" s="104" t="n">
        <v>2</v>
      </c>
      <c r="L348" s="101" t="n">
        <v>16</v>
      </c>
      <c r="M348" s="104" t="s">
        <v>902</v>
      </c>
      <c r="N348" s="98"/>
      <c r="O348" s="105" t="n">
        <f aca="false">IF(M348="Y",I348,IF(ISNUMBER(H348),H348*L348,0))</f>
        <v>204.48</v>
      </c>
      <c r="P348" s="106" t="str">
        <f aca="false">IF(J348="","",J348&amp;"|"&amp;A348&amp;"|"&amp;K348)</f>
        <v>R167|HD Fowler|2</v>
      </c>
    </row>
    <row r="349" customFormat="false" ht="15" hidden="false" customHeight="false" outlineLevel="0" collapsed="false">
      <c r="A349" s="98" t="s">
        <v>23</v>
      </c>
      <c r="B349" s="99" t="s">
        <v>1514</v>
      </c>
      <c r="C349" s="99" t="s">
        <v>523</v>
      </c>
      <c r="D349" s="98"/>
      <c r="E349" s="100" t="s">
        <v>1515</v>
      </c>
      <c r="F349" s="101" t="n">
        <v>4</v>
      </c>
      <c r="G349" s="101" t="s">
        <v>133</v>
      </c>
      <c r="H349" s="102" t="n">
        <v>1658.87</v>
      </c>
      <c r="I349" s="103" t="n">
        <v>6635.48</v>
      </c>
      <c r="J349" s="104" t="s">
        <v>522</v>
      </c>
      <c r="K349" s="104" t="n">
        <v>1</v>
      </c>
      <c r="L349" s="101" t="n">
        <v>4</v>
      </c>
      <c r="M349" s="104" t="s">
        <v>902</v>
      </c>
      <c r="N349" s="98"/>
      <c r="O349" s="105" t="n">
        <f aca="false">IF(M349="Y",I349,IF(ISNUMBER(H349),H349*L349,0))</f>
        <v>6635.48</v>
      </c>
      <c r="P349" s="106" t="str">
        <f aca="false">IF(J349="","",J349&amp;"|"&amp;A349&amp;"|"&amp;K349)</f>
        <v>R168|HD Fowler|1</v>
      </c>
    </row>
    <row r="350" customFormat="false" ht="15" hidden="false" customHeight="false" outlineLevel="0" collapsed="false">
      <c r="A350" s="98" t="s">
        <v>23</v>
      </c>
      <c r="B350" s="99" t="s">
        <v>1516</v>
      </c>
      <c r="C350" s="99" t="s">
        <v>523</v>
      </c>
      <c r="D350" s="98"/>
      <c r="E350" s="100" t="s">
        <v>1315</v>
      </c>
      <c r="F350" s="101" t="n">
        <v>4</v>
      </c>
      <c r="G350" s="101" t="s">
        <v>133</v>
      </c>
      <c r="H350" s="102" t="n">
        <v>79.46</v>
      </c>
      <c r="I350" s="103" t="n">
        <v>317.84</v>
      </c>
      <c r="J350" s="104" t="s">
        <v>525</v>
      </c>
      <c r="K350" s="104" t="n">
        <v>1</v>
      </c>
      <c r="L350" s="101" t="n">
        <v>4</v>
      </c>
      <c r="M350" s="104" t="s">
        <v>902</v>
      </c>
      <c r="N350" s="98"/>
      <c r="O350" s="105" t="n">
        <f aca="false">IF(M350="Y",I350,IF(ISNUMBER(H350),H350*L350,0))</f>
        <v>317.84</v>
      </c>
      <c r="P350" s="106" t="str">
        <f aca="false">IF(J350="","",J350&amp;"|"&amp;A350&amp;"|"&amp;K350)</f>
        <v>R169|HD Fowler|1</v>
      </c>
    </row>
    <row r="351" customFormat="false" ht="15" hidden="false" customHeight="false" outlineLevel="0" collapsed="false">
      <c r="A351" s="98" t="s">
        <v>23</v>
      </c>
      <c r="B351" s="99" t="s">
        <v>1517</v>
      </c>
      <c r="C351" s="99" t="s">
        <v>523</v>
      </c>
      <c r="D351" s="98"/>
      <c r="E351" s="100" t="s">
        <v>1317</v>
      </c>
      <c r="F351" s="101" t="n">
        <v>4</v>
      </c>
      <c r="G351" s="101" t="s">
        <v>133</v>
      </c>
      <c r="H351" s="102" t="n">
        <v>46.11</v>
      </c>
      <c r="I351" s="103" t="n">
        <v>184.44</v>
      </c>
      <c r="J351" s="104" t="s">
        <v>525</v>
      </c>
      <c r="K351" s="104" t="n">
        <v>2</v>
      </c>
      <c r="L351" s="101" t="n">
        <v>4</v>
      </c>
      <c r="M351" s="104" t="s">
        <v>902</v>
      </c>
      <c r="N351" s="98"/>
      <c r="O351" s="105" t="n">
        <f aca="false">IF(M351="Y",I351,IF(ISNUMBER(H351),H351*L351,0))</f>
        <v>184.44</v>
      </c>
      <c r="P351" s="106" t="str">
        <f aca="false">IF(J351="","",J351&amp;"|"&amp;A351&amp;"|"&amp;K351)</f>
        <v>R169|HD Fowler|2</v>
      </c>
    </row>
    <row r="352" customFormat="false" ht="15" hidden="false" customHeight="false" outlineLevel="0" collapsed="false">
      <c r="A352" s="98" t="s">
        <v>23</v>
      </c>
      <c r="B352" s="99" t="s">
        <v>1518</v>
      </c>
      <c r="C352" s="99" t="s">
        <v>523</v>
      </c>
      <c r="D352" s="98"/>
      <c r="E352" s="100" t="s">
        <v>1319</v>
      </c>
      <c r="F352" s="101" t="n">
        <v>4</v>
      </c>
      <c r="G352" s="101" t="s">
        <v>133</v>
      </c>
      <c r="H352" s="102" t="n">
        <v>19.76</v>
      </c>
      <c r="I352" s="103" t="n">
        <v>79.04</v>
      </c>
      <c r="J352" s="104" t="s">
        <v>525</v>
      </c>
      <c r="K352" s="104" t="n">
        <v>3</v>
      </c>
      <c r="L352" s="101" t="n">
        <v>4</v>
      </c>
      <c r="M352" s="104" t="s">
        <v>902</v>
      </c>
      <c r="N352" s="98"/>
      <c r="O352" s="105" t="n">
        <f aca="false">IF(M352="Y",I352,IF(ISNUMBER(H352),H352*L352,0))</f>
        <v>79.04</v>
      </c>
      <c r="P352" s="106" t="str">
        <f aca="false">IF(J352="","",J352&amp;"|"&amp;A352&amp;"|"&amp;K352)</f>
        <v>R169|HD Fowler|3</v>
      </c>
    </row>
    <row r="353" customFormat="false" ht="15" hidden="false" customHeight="false" outlineLevel="0" collapsed="false">
      <c r="A353" s="98" t="s">
        <v>23</v>
      </c>
      <c r="B353" s="99" t="s">
        <v>1519</v>
      </c>
      <c r="C353" s="99" t="s">
        <v>523</v>
      </c>
      <c r="D353" s="98"/>
      <c r="E353" s="100" t="s">
        <v>1520</v>
      </c>
      <c r="F353" s="101" t="n">
        <v>4</v>
      </c>
      <c r="G353" s="101" t="s">
        <v>133</v>
      </c>
      <c r="H353" s="102" t="n">
        <v>98.7</v>
      </c>
      <c r="I353" s="103" t="n">
        <v>394.8</v>
      </c>
      <c r="J353" s="104" t="s">
        <v>526</v>
      </c>
      <c r="K353" s="104" t="n">
        <v>1</v>
      </c>
      <c r="L353" s="101" t="n">
        <v>4</v>
      </c>
      <c r="M353" s="104" t="s">
        <v>902</v>
      </c>
      <c r="N353" s="98"/>
      <c r="O353" s="105" t="n">
        <f aca="false">IF(M353="Y",I353,IF(ISNUMBER(H353),H353*L353,0))</f>
        <v>394.8</v>
      </c>
      <c r="P353" s="106" t="str">
        <f aca="false">IF(J353="","",J353&amp;"|"&amp;A353&amp;"|"&amp;K353)</f>
        <v>R170|HD Fowler|1</v>
      </c>
    </row>
    <row r="354" customFormat="false" ht="15" hidden="false" customHeight="false" outlineLevel="0" collapsed="false">
      <c r="A354" s="98" t="s">
        <v>23</v>
      </c>
      <c r="B354" s="99" t="s">
        <v>1521</v>
      </c>
      <c r="C354" s="99" t="s">
        <v>523</v>
      </c>
      <c r="D354" s="98"/>
      <c r="E354" s="100" t="s">
        <v>1344</v>
      </c>
      <c r="F354" s="101" t="n">
        <v>4</v>
      </c>
      <c r="G354" s="101" t="s">
        <v>133</v>
      </c>
      <c r="H354" s="102" t="n">
        <v>14.13</v>
      </c>
      <c r="I354" s="103" t="n">
        <v>56.52</v>
      </c>
      <c r="J354" s="104" t="s">
        <v>530</v>
      </c>
      <c r="K354" s="104" t="n">
        <v>1</v>
      </c>
      <c r="L354" s="101" t="n">
        <v>4</v>
      </c>
      <c r="M354" s="104" t="s">
        <v>902</v>
      </c>
      <c r="N354" s="98"/>
      <c r="O354" s="105" t="n">
        <f aca="false">IF(M354="Y",I354,IF(ISNUMBER(H354),H354*L354,0))</f>
        <v>56.52</v>
      </c>
      <c r="P354" s="106" t="str">
        <f aca="false">IF(J354="","",J354&amp;"|"&amp;A354&amp;"|"&amp;K354)</f>
        <v>R172|HD Fowler|1</v>
      </c>
    </row>
    <row r="355" customFormat="false" ht="15" hidden="false" customHeight="false" outlineLevel="0" collapsed="false">
      <c r="A355" s="98" t="s">
        <v>23</v>
      </c>
      <c r="B355" s="99" t="s">
        <v>1522</v>
      </c>
      <c r="C355" s="99" t="s">
        <v>523</v>
      </c>
      <c r="D355" s="98"/>
      <c r="E355" s="100" t="s">
        <v>1348</v>
      </c>
      <c r="F355" s="101" t="n">
        <v>4</v>
      </c>
      <c r="G355" s="101" t="s">
        <v>133</v>
      </c>
      <c r="H355" s="102" t="n">
        <v>17.3</v>
      </c>
      <c r="I355" s="103" t="n">
        <v>69.2</v>
      </c>
      <c r="J355" s="104" t="s">
        <v>530</v>
      </c>
      <c r="K355" s="104" t="n">
        <v>2</v>
      </c>
      <c r="L355" s="101" t="n">
        <v>4</v>
      </c>
      <c r="M355" s="104" t="s">
        <v>902</v>
      </c>
      <c r="N355" s="98"/>
      <c r="O355" s="105" t="n">
        <f aca="false">IF(M355="Y",I355,IF(ISNUMBER(H355),H355*L355,0))</f>
        <v>69.2</v>
      </c>
      <c r="P355" s="106" t="str">
        <f aca="false">IF(J355="","",J355&amp;"|"&amp;A355&amp;"|"&amp;K355)</f>
        <v>R172|HD Fowler|2</v>
      </c>
    </row>
    <row r="356" customFormat="false" ht="15" hidden="false" customHeight="false" outlineLevel="0" collapsed="false">
      <c r="A356" s="98" t="s">
        <v>23</v>
      </c>
      <c r="B356" s="99" t="s">
        <v>1523</v>
      </c>
      <c r="C356" s="99" t="s">
        <v>540</v>
      </c>
      <c r="D356" s="98"/>
      <c r="E356" s="100" t="s">
        <v>1313</v>
      </c>
      <c r="F356" s="101" t="n">
        <v>16</v>
      </c>
      <c r="G356" s="101" t="s">
        <v>133</v>
      </c>
      <c r="H356" s="102" t="n">
        <v>3181.88</v>
      </c>
      <c r="I356" s="103" t="n">
        <v>50910.08</v>
      </c>
      <c r="J356" s="104" t="s">
        <v>539</v>
      </c>
      <c r="K356" s="104" t="n">
        <v>1</v>
      </c>
      <c r="L356" s="101" t="n">
        <v>16</v>
      </c>
      <c r="M356" s="104" t="s">
        <v>902</v>
      </c>
      <c r="N356" s="98"/>
      <c r="O356" s="105" t="n">
        <f aca="false">IF(M356="Y",I356,IF(ISNUMBER(H356),H356*L356,0))</f>
        <v>50910.08</v>
      </c>
      <c r="P356" s="106" t="str">
        <f aca="false">IF(J356="","",J356&amp;"|"&amp;A356&amp;"|"&amp;K356)</f>
        <v>R176|HD Fowler|1</v>
      </c>
    </row>
    <row r="357" customFormat="false" ht="15" hidden="false" customHeight="false" outlineLevel="0" collapsed="false">
      <c r="A357" s="98" t="s">
        <v>23</v>
      </c>
      <c r="B357" s="99" t="s">
        <v>1524</v>
      </c>
      <c r="C357" s="99" t="s">
        <v>540</v>
      </c>
      <c r="D357" s="98"/>
      <c r="E357" s="100" t="s">
        <v>1315</v>
      </c>
      <c r="F357" s="101" t="n">
        <v>16</v>
      </c>
      <c r="G357" s="101" t="s">
        <v>133</v>
      </c>
      <c r="H357" s="102" t="n">
        <v>79.46</v>
      </c>
      <c r="I357" s="103" t="n">
        <v>1271.36</v>
      </c>
      <c r="J357" s="104" t="s">
        <v>541</v>
      </c>
      <c r="K357" s="104" t="n">
        <v>1</v>
      </c>
      <c r="L357" s="101" t="n">
        <v>16</v>
      </c>
      <c r="M357" s="104" t="s">
        <v>902</v>
      </c>
      <c r="N357" s="98"/>
      <c r="O357" s="105" t="n">
        <f aca="false">IF(M357="Y",I357,IF(ISNUMBER(H357),H357*L357,0))</f>
        <v>1271.36</v>
      </c>
      <c r="P357" s="106" t="str">
        <f aca="false">IF(J357="","",J357&amp;"|"&amp;A357&amp;"|"&amp;K357)</f>
        <v>R177|HD Fowler|1</v>
      </c>
    </row>
    <row r="358" customFormat="false" ht="15" hidden="false" customHeight="false" outlineLevel="0" collapsed="false">
      <c r="A358" s="98" t="s">
        <v>23</v>
      </c>
      <c r="B358" s="99" t="s">
        <v>1525</v>
      </c>
      <c r="C358" s="99" t="s">
        <v>540</v>
      </c>
      <c r="D358" s="98"/>
      <c r="E358" s="100" t="s">
        <v>1317</v>
      </c>
      <c r="F358" s="101" t="n">
        <v>16</v>
      </c>
      <c r="G358" s="101" t="s">
        <v>133</v>
      </c>
      <c r="H358" s="102" t="n">
        <v>46.11</v>
      </c>
      <c r="I358" s="103" t="n">
        <v>737.76</v>
      </c>
      <c r="J358" s="104" t="s">
        <v>541</v>
      </c>
      <c r="K358" s="104" t="n">
        <v>2</v>
      </c>
      <c r="L358" s="101" t="n">
        <v>16</v>
      </c>
      <c r="M358" s="104" t="s">
        <v>902</v>
      </c>
      <c r="N358" s="98"/>
      <c r="O358" s="105" t="n">
        <f aca="false">IF(M358="Y",I358,IF(ISNUMBER(H358),H358*L358,0))</f>
        <v>737.76</v>
      </c>
      <c r="P358" s="106" t="str">
        <f aca="false">IF(J358="","",J358&amp;"|"&amp;A358&amp;"|"&amp;K358)</f>
        <v>R177|HD Fowler|2</v>
      </c>
    </row>
    <row r="359" customFormat="false" ht="15" hidden="false" customHeight="false" outlineLevel="0" collapsed="false">
      <c r="A359" s="98" t="s">
        <v>23</v>
      </c>
      <c r="B359" s="99" t="s">
        <v>1526</v>
      </c>
      <c r="C359" s="99" t="s">
        <v>540</v>
      </c>
      <c r="D359" s="98"/>
      <c r="E359" s="100" t="s">
        <v>1319</v>
      </c>
      <c r="F359" s="101" t="n">
        <v>16</v>
      </c>
      <c r="G359" s="101" t="s">
        <v>133</v>
      </c>
      <c r="H359" s="102" t="n">
        <v>19.76</v>
      </c>
      <c r="I359" s="103" t="n">
        <v>316.16</v>
      </c>
      <c r="J359" s="104" t="s">
        <v>541</v>
      </c>
      <c r="K359" s="104" t="n">
        <v>3</v>
      </c>
      <c r="L359" s="101" t="n">
        <v>16</v>
      </c>
      <c r="M359" s="104" t="s">
        <v>902</v>
      </c>
      <c r="N359" s="98"/>
      <c r="O359" s="105" t="n">
        <f aca="false">IF(M359="Y",I359,IF(ISNUMBER(H359),H359*L359,0))</f>
        <v>316.16</v>
      </c>
      <c r="P359" s="106" t="str">
        <f aca="false">IF(J359="","",J359&amp;"|"&amp;A359&amp;"|"&amp;K359)</f>
        <v>R177|HD Fowler|3</v>
      </c>
    </row>
    <row r="360" customFormat="false" ht="15" hidden="false" customHeight="false" outlineLevel="0" collapsed="false">
      <c r="A360" s="98" t="s">
        <v>23</v>
      </c>
      <c r="B360" s="99" t="s">
        <v>1527</v>
      </c>
      <c r="C360" s="99" t="s">
        <v>540</v>
      </c>
      <c r="D360" s="98"/>
      <c r="E360" s="100" t="s">
        <v>1321</v>
      </c>
      <c r="F360" s="101" t="n">
        <v>16</v>
      </c>
      <c r="G360" s="101" t="s">
        <v>133</v>
      </c>
      <c r="H360" s="102" t="n">
        <v>167.73</v>
      </c>
      <c r="I360" s="103" t="n">
        <v>2683.68</v>
      </c>
      <c r="J360" s="104" t="s">
        <v>542</v>
      </c>
      <c r="K360" s="104" t="n">
        <v>1</v>
      </c>
      <c r="L360" s="101" t="n">
        <v>16</v>
      </c>
      <c r="M360" s="104" t="s">
        <v>902</v>
      </c>
      <c r="N360" s="98"/>
      <c r="O360" s="105" t="n">
        <f aca="false">IF(M360="Y",I360,IF(ISNUMBER(H360),H360*L360,0))</f>
        <v>2683.68</v>
      </c>
      <c r="P360" s="106" t="str">
        <f aca="false">IF(J360="","",J360&amp;"|"&amp;A360&amp;"|"&amp;K360)</f>
        <v>R178|HD Fowler|1</v>
      </c>
    </row>
    <row r="361" customFormat="false" ht="15" hidden="false" customHeight="false" outlineLevel="0" collapsed="false">
      <c r="A361" s="98" t="s">
        <v>23</v>
      </c>
      <c r="B361" s="99" t="s">
        <v>1528</v>
      </c>
      <c r="C361" s="99" t="s">
        <v>540</v>
      </c>
      <c r="D361" s="98"/>
      <c r="E361" s="100" t="s">
        <v>1325</v>
      </c>
      <c r="F361" s="101" t="n">
        <v>16</v>
      </c>
      <c r="G361" s="101" t="s">
        <v>133</v>
      </c>
      <c r="H361" s="102" t="n">
        <v>35.6</v>
      </c>
      <c r="I361" s="103" t="n">
        <v>569.6</v>
      </c>
      <c r="J361" s="104" t="s">
        <v>544</v>
      </c>
      <c r="K361" s="104" t="n">
        <v>1</v>
      </c>
      <c r="L361" s="101" t="n">
        <v>16</v>
      </c>
      <c r="M361" s="104" t="s">
        <v>902</v>
      </c>
      <c r="N361" s="98"/>
      <c r="O361" s="105" t="n">
        <f aca="false">IF(M361="Y",I361,IF(ISNUMBER(H361),H361*L361,0))</f>
        <v>569.6</v>
      </c>
      <c r="P361" s="106" t="str">
        <f aca="false">IF(J361="","",J361&amp;"|"&amp;A361&amp;"|"&amp;K361)</f>
        <v>R180|HD Fowler|1</v>
      </c>
    </row>
    <row r="362" customFormat="false" ht="15" hidden="false" customHeight="false" outlineLevel="0" collapsed="false">
      <c r="A362" s="98" t="s">
        <v>23</v>
      </c>
      <c r="B362" s="99" t="s">
        <v>1529</v>
      </c>
      <c r="C362" s="99" t="s">
        <v>540</v>
      </c>
      <c r="D362" s="98"/>
      <c r="E362" s="100" t="s">
        <v>1327</v>
      </c>
      <c r="F362" s="101" t="n">
        <v>16</v>
      </c>
      <c r="G362" s="101" t="s">
        <v>133</v>
      </c>
      <c r="H362" s="102" t="n">
        <v>24.38</v>
      </c>
      <c r="I362" s="103" t="n">
        <v>390.08</v>
      </c>
      <c r="J362" s="104" t="s">
        <v>544</v>
      </c>
      <c r="K362" s="104" t="n">
        <v>2</v>
      </c>
      <c r="L362" s="101" t="n">
        <v>16</v>
      </c>
      <c r="M362" s="104" t="s">
        <v>902</v>
      </c>
      <c r="N362" s="98"/>
      <c r="O362" s="105" t="n">
        <f aca="false">IF(M362="Y",I362,IF(ISNUMBER(H362),H362*L362,0))</f>
        <v>390.08</v>
      </c>
      <c r="P362" s="106" t="str">
        <f aca="false">IF(J362="","",J362&amp;"|"&amp;A362&amp;"|"&amp;K362)</f>
        <v>R180|HD Fowler|2</v>
      </c>
    </row>
    <row r="363" customFormat="false" ht="15" hidden="false" customHeight="false" outlineLevel="0" collapsed="false">
      <c r="A363" s="98" t="s">
        <v>23</v>
      </c>
      <c r="B363" s="99" t="s">
        <v>1530</v>
      </c>
      <c r="C363" s="99" t="s">
        <v>552</v>
      </c>
      <c r="D363" s="98"/>
      <c r="E363" s="100" t="s">
        <v>1531</v>
      </c>
      <c r="F363" s="101" t="n">
        <v>12</v>
      </c>
      <c r="G363" s="101" t="s">
        <v>133</v>
      </c>
      <c r="H363" s="102" t="n">
        <v>4990.04</v>
      </c>
      <c r="I363" s="103" t="n">
        <v>59880.48</v>
      </c>
      <c r="J363" s="104" t="s">
        <v>551</v>
      </c>
      <c r="K363" s="104" t="n">
        <v>1</v>
      </c>
      <c r="L363" s="101" t="n">
        <v>12</v>
      </c>
      <c r="M363" s="104" t="s">
        <v>902</v>
      </c>
      <c r="N363" s="98"/>
      <c r="O363" s="105" t="n">
        <f aca="false">IF(M363="Y",I363,IF(ISNUMBER(H363),H363*L363,0))</f>
        <v>59880.48</v>
      </c>
      <c r="P363" s="106" t="str">
        <f aca="false">IF(J363="","",J363&amp;"|"&amp;A363&amp;"|"&amp;K363)</f>
        <v>R183|HD Fowler|1</v>
      </c>
    </row>
    <row r="364" customFormat="false" ht="15" hidden="false" customHeight="false" outlineLevel="0" collapsed="false">
      <c r="A364" s="98" t="s">
        <v>23</v>
      </c>
      <c r="B364" s="99" t="s">
        <v>1532</v>
      </c>
      <c r="C364" s="99" t="s">
        <v>552</v>
      </c>
      <c r="D364" s="98"/>
      <c r="E364" s="100" t="s">
        <v>1315</v>
      </c>
      <c r="F364" s="101" t="n">
        <v>12</v>
      </c>
      <c r="G364" s="101" t="s">
        <v>133</v>
      </c>
      <c r="H364" s="102" t="n">
        <v>79.46</v>
      </c>
      <c r="I364" s="103" t="n">
        <v>953.52</v>
      </c>
      <c r="J364" s="104" t="s">
        <v>555</v>
      </c>
      <c r="K364" s="104" t="n">
        <v>1</v>
      </c>
      <c r="L364" s="101" t="n">
        <v>12</v>
      </c>
      <c r="M364" s="104" t="s">
        <v>902</v>
      </c>
      <c r="N364" s="98"/>
      <c r="O364" s="105" t="n">
        <f aca="false">IF(M364="Y",I364,IF(ISNUMBER(H364),H364*L364,0))</f>
        <v>953.52</v>
      </c>
      <c r="P364" s="106" t="str">
        <f aca="false">IF(J364="","",J364&amp;"|"&amp;A364&amp;"|"&amp;K364)</f>
        <v>R184|HD Fowler|1</v>
      </c>
    </row>
    <row r="365" customFormat="false" ht="15" hidden="false" customHeight="false" outlineLevel="0" collapsed="false">
      <c r="A365" s="98" t="s">
        <v>23</v>
      </c>
      <c r="B365" s="99" t="s">
        <v>1533</v>
      </c>
      <c r="C365" s="99" t="s">
        <v>552</v>
      </c>
      <c r="D365" s="98"/>
      <c r="E365" s="100" t="s">
        <v>1317</v>
      </c>
      <c r="F365" s="101" t="n">
        <v>12</v>
      </c>
      <c r="G365" s="101" t="s">
        <v>133</v>
      </c>
      <c r="H365" s="102" t="n">
        <v>46.11</v>
      </c>
      <c r="I365" s="103" t="n">
        <v>553.32</v>
      </c>
      <c r="J365" s="104" t="s">
        <v>555</v>
      </c>
      <c r="K365" s="104" t="n">
        <v>2</v>
      </c>
      <c r="L365" s="101" t="n">
        <v>12</v>
      </c>
      <c r="M365" s="104" t="s">
        <v>902</v>
      </c>
      <c r="N365" s="98"/>
      <c r="O365" s="105" t="n">
        <f aca="false">IF(M365="Y",I365,IF(ISNUMBER(H365),H365*L365,0))</f>
        <v>553.32</v>
      </c>
      <c r="P365" s="106" t="str">
        <f aca="false">IF(J365="","",J365&amp;"|"&amp;A365&amp;"|"&amp;K365)</f>
        <v>R184|HD Fowler|2</v>
      </c>
    </row>
    <row r="366" customFormat="false" ht="15" hidden="false" customHeight="false" outlineLevel="0" collapsed="false">
      <c r="A366" s="98" t="s">
        <v>23</v>
      </c>
      <c r="B366" s="99" t="s">
        <v>1534</v>
      </c>
      <c r="C366" s="99" t="s">
        <v>552</v>
      </c>
      <c r="D366" s="98"/>
      <c r="E366" s="100" t="s">
        <v>1319</v>
      </c>
      <c r="F366" s="101" t="n">
        <v>12</v>
      </c>
      <c r="G366" s="101" t="s">
        <v>133</v>
      </c>
      <c r="H366" s="102" t="n">
        <v>19.76</v>
      </c>
      <c r="I366" s="103" t="n">
        <v>237.12</v>
      </c>
      <c r="J366" s="104" t="s">
        <v>555</v>
      </c>
      <c r="K366" s="104" t="n">
        <v>3</v>
      </c>
      <c r="L366" s="101" t="n">
        <v>12</v>
      </c>
      <c r="M366" s="104" t="s">
        <v>902</v>
      </c>
      <c r="N366" s="98"/>
      <c r="O366" s="105" t="n">
        <f aca="false">IF(M366="Y",I366,IF(ISNUMBER(H366),H366*L366,0))</f>
        <v>237.12</v>
      </c>
      <c r="P366" s="106" t="str">
        <f aca="false">IF(J366="","",J366&amp;"|"&amp;A366&amp;"|"&amp;K366)</f>
        <v>R184|HD Fowler|3</v>
      </c>
    </row>
    <row r="367" customFormat="false" ht="15" hidden="false" customHeight="false" outlineLevel="0" collapsed="false">
      <c r="A367" s="98" t="s">
        <v>23</v>
      </c>
      <c r="B367" s="99" t="s">
        <v>1535</v>
      </c>
      <c r="C367" s="99" t="s">
        <v>552</v>
      </c>
      <c r="D367" s="98"/>
      <c r="E367" s="100" t="s">
        <v>1417</v>
      </c>
      <c r="F367" s="101" t="n">
        <v>12</v>
      </c>
      <c r="G367" s="101" t="s">
        <v>133</v>
      </c>
      <c r="H367" s="102" t="n">
        <v>345.91</v>
      </c>
      <c r="I367" s="103" t="n">
        <v>4150.92</v>
      </c>
      <c r="J367" s="104" t="s">
        <v>556</v>
      </c>
      <c r="K367" s="104" t="n">
        <v>1</v>
      </c>
      <c r="L367" s="101" t="n">
        <v>12</v>
      </c>
      <c r="M367" s="104" t="s">
        <v>902</v>
      </c>
      <c r="N367" s="98"/>
      <c r="O367" s="105" t="n">
        <f aca="false">IF(M367="Y",I367,IF(ISNUMBER(H367),H367*L367,0))</f>
        <v>4150.92</v>
      </c>
      <c r="P367" s="106" t="str">
        <f aca="false">IF(J367="","",J367&amp;"|"&amp;A367&amp;"|"&amp;K367)</f>
        <v>R185|HD Fowler|1</v>
      </c>
    </row>
    <row r="368" customFormat="false" ht="15" hidden="false" customHeight="false" outlineLevel="0" collapsed="false">
      <c r="A368" s="98" t="s">
        <v>23</v>
      </c>
      <c r="B368" s="99" t="s">
        <v>1536</v>
      </c>
      <c r="C368" s="99" t="s">
        <v>552</v>
      </c>
      <c r="D368" s="98"/>
      <c r="E368" s="100" t="s">
        <v>1537</v>
      </c>
      <c r="F368" s="101" t="n">
        <v>12</v>
      </c>
      <c r="G368" s="101" t="s">
        <v>133</v>
      </c>
      <c r="H368" s="102" t="n">
        <v>73.6</v>
      </c>
      <c r="I368" s="103" t="n">
        <v>883.2</v>
      </c>
      <c r="J368" s="104" t="s">
        <v>558</v>
      </c>
      <c r="K368" s="104" t="n">
        <v>1</v>
      </c>
      <c r="L368" s="101" t="n">
        <v>12</v>
      </c>
      <c r="M368" s="104" t="s">
        <v>902</v>
      </c>
      <c r="N368" s="98"/>
      <c r="O368" s="105" t="n">
        <f aca="false">IF(M368="Y",I368,IF(ISNUMBER(H368),H368*L368,0))</f>
        <v>883.2</v>
      </c>
      <c r="P368" s="106" t="str">
        <f aca="false">IF(J368="","",J368&amp;"|"&amp;A368&amp;"|"&amp;K368)</f>
        <v>R187|HD Fowler|1</v>
      </c>
    </row>
    <row r="369" customFormat="false" ht="15" hidden="false" customHeight="false" outlineLevel="0" collapsed="false">
      <c r="A369" s="98" t="s">
        <v>23</v>
      </c>
      <c r="B369" s="99" t="s">
        <v>1538</v>
      </c>
      <c r="C369" s="99" t="s">
        <v>552</v>
      </c>
      <c r="D369" s="98"/>
      <c r="E369" s="100" t="s">
        <v>1291</v>
      </c>
      <c r="F369" s="101" t="n">
        <v>12</v>
      </c>
      <c r="G369" s="101" t="s">
        <v>133</v>
      </c>
      <c r="H369" s="102" t="n">
        <v>72.2</v>
      </c>
      <c r="I369" s="103" t="n">
        <v>866.4</v>
      </c>
      <c r="J369" s="104" t="s">
        <v>558</v>
      </c>
      <c r="K369" s="104" t="n">
        <v>2</v>
      </c>
      <c r="L369" s="101" t="n">
        <v>12</v>
      </c>
      <c r="M369" s="104" t="s">
        <v>902</v>
      </c>
      <c r="N369" s="98"/>
      <c r="O369" s="105" t="n">
        <f aca="false">IF(M369="Y",I369,IF(ISNUMBER(H369),H369*L369,0))</f>
        <v>866.4</v>
      </c>
      <c r="P369" s="106" t="str">
        <f aca="false">IF(J369="","",J369&amp;"|"&amp;A369&amp;"|"&amp;K369)</f>
        <v>R187|HD Fowler|2</v>
      </c>
    </row>
    <row r="370" customFormat="false" ht="15" hidden="false" customHeight="false" outlineLevel="0" collapsed="false">
      <c r="A370" s="98" t="s">
        <v>23</v>
      </c>
      <c r="B370" s="99" t="s">
        <v>1539</v>
      </c>
      <c r="C370" s="99" t="s">
        <v>569</v>
      </c>
      <c r="D370" s="98"/>
      <c r="E370" s="100" t="s">
        <v>1540</v>
      </c>
      <c r="F370" s="101" t="n">
        <v>2</v>
      </c>
      <c r="G370" s="101" t="s">
        <v>133</v>
      </c>
      <c r="H370" s="102" t="n">
        <v>343.02</v>
      </c>
      <c r="I370" s="103" t="n">
        <v>686.04</v>
      </c>
      <c r="J370" s="104" t="s">
        <v>568</v>
      </c>
      <c r="K370" s="104" t="n">
        <v>1</v>
      </c>
      <c r="L370" s="101" t="n">
        <v>2</v>
      </c>
      <c r="M370" s="104" t="s">
        <v>902</v>
      </c>
      <c r="N370" s="98"/>
      <c r="O370" s="105" t="n">
        <f aca="false">IF(M370="Y",I370,IF(ISNUMBER(H370),H370*L370,0))</f>
        <v>686.04</v>
      </c>
      <c r="P370" s="106" t="str">
        <f aca="false">IF(J370="","",J370&amp;"|"&amp;A370&amp;"|"&amp;K370)</f>
        <v>R191|HD Fowler|1</v>
      </c>
    </row>
    <row r="371" customFormat="false" ht="15" hidden="false" customHeight="false" outlineLevel="0" collapsed="false">
      <c r="A371" s="98" t="s">
        <v>23</v>
      </c>
      <c r="B371" s="99" t="s">
        <v>1541</v>
      </c>
      <c r="C371" s="99" t="s">
        <v>569</v>
      </c>
      <c r="D371" s="98"/>
      <c r="E371" s="100" t="s">
        <v>1321</v>
      </c>
      <c r="F371" s="101" t="n">
        <v>4</v>
      </c>
      <c r="G371" s="101" t="s">
        <v>133</v>
      </c>
      <c r="H371" s="102" t="n">
        <v>167.73</v>
      </c>
      <c r="I371" s="103" t="n">
        <v>670.92</v>
      </c>
      <c r="J371" s="104" t="s">
        <v>571</v>
      </c>
      <c r="K371" s="104" t="n">
        <v>1</v>
      </c>
      <c r="L371" s="101" t="n">
        <v>4</v>
      </c>
      <c r="M371" s="104" t="s">
        <v>902</v>
      </c>
      <c r="N371" s="98"/>
      <c r="O371" s="105" t="n">
        <f aca="false">IF(M371="Y",I371,IF(ISNUMBER(H371),H371*L371,0))</f>
        <v>670.92</v>
      </c>
      <c r="P371" s="106" t="str">
        <f aca="false">IF(J371="","",J371&amp;"|"&amp;A371&amp;"|"&amp;K371)</f>
        <v>R192|HD Fowler|1</v>
      </c>
    </row>
    <row r="372" customFormat="false" ht="15" hidden="false" customHeight="false" outlineLevel="0" collapsed="false">
      <c r="A372" s="98" t="s">
        <v>23</v>
      </c>
      <c r="B372" s="99" t="s">
        <v>1542</v>
      </c>
      <c r="C372" s="99" t="s">
        <v>574</v>
      </c>
      <c r="D372" s="98"/>
      <c r="E372" s="100" t="s">
        <v>1391</v>
      </c>
      <c r="F372" s="101" t="n">
        <v>1</v>
      </c>
      <c r="G372" s="101" t="s">
        <v>133</v>
      </c>
      <c r="H372" s="102" t="n">
        <v>418.5</v>
      </c>
      <c r="I372" s="103" t="n">
        <v>418.5</v>
      </c>
      <c r="J372" s="104" t="s">
        <v>573</v>
      </c>
      <c r="K372" s="104" t="n">
        <v>1</v>
      </c>
      <c r="L372" s="101" t="n">
        <v>1</v>
      </c>
      <c r="M372" s="104" t="s">
        <v>902</v>
      </c>
      <c r="N372" s="98"/>
      <c r="O372" s="105" t="n">
        <f aca="false">IF(M372="Y",I372,IF(ISNUMBER(H372),H372*L372,0))</f>
        <v>418.5</v>
      </c>
      <c r="P372" s="106" t="str">
        <f aca="false">IF(J372="","",J372&amp;"|"&amp;A372&amp;"|"&amp;K372)</f>
        <v>R193|HD Fowler|1</v>
      </c>
    </row>
    <row r="373" customFormat="false" ht="15" hidden="false" customHeight="false" outlineLevel="0" collapsed="false">
      <c r="A373" s="98" t="s">
        <v>23</v>
      </c>
      <c r="B373" s="99" t="s">
        <v>1543</v>
      </c>
      <c r="C373" s="99" t="s">
        <v>574</v>
      </c>
      <c r="D373" s="98"/>
      <c r="E373" s="100" t="s">
        <v>1321</v>
      </c>
      <c r="F373" s="101" t="n">
        <v>2</v>
      </c>
      <c r="G373" s="101" t="s">
        <v>133</v>
      </c>
      <c r="H373" s="102" t="n">
        <v>167.73</v>
      </c>
      <c r="I373" s="103" t="n">
        <v>335.46</v>
      </c>
      <c r="J373" s="104" t="s">
        <v>576</v>
      </c>
      <c r="K373" s="104" t="n">
        <v>1</v>
      </c>
      <c r="L373" s="101" t="n">
        <v>2</v>
      </c>
      <c r="M373" s="104" t="s">
        <v>902</v>
      </c>
      <c r="N373" s="98"/>
      <c r="O373" s="105" t="n">
        <f aca="false">IF(M373="Y",I373,IF(ISNUMBER(H373),H373*L373,0))</f>
        <v>335.46</v>
      </c>
      <c r="P373" s="106" t="str">
        <f aca="false">IF(J373="","",J373&amp;"|"&amp;A373&amp;"|"&amp;K373)</f>
        <v>R194|HD Fowler|1</v>
      </c>
    </row>
    <row r="374" customFormat="false" ht="15" hidden="false" customHeight="false" outlineLevel="0" collapsed="false">
      <c r="A374" s="98" t="s">
        <v>23</v>
      </c>
      <c r="B374" s="99" t="s">
        <v>1544</v>
      </c>
      <c r="C374" s="99" t="s">
        <v>579</v>
      </c>
      <c r="D374" s="98"/>
      <c r="E374" s="100" t="s">
        <v>1545</v>
      </c>
      <c r="F374" s="101" t="n">
        <v>12</v>
      </c>
      <c r="G374" s="101" t="s">
        <v>133</v>
      </c>
      <c r="H374" s="102" t="n">
        <v>1211.7</v>
      </c>
      <c r="I374" s="103" t="n">
        <v>14540.4</v>
      </c>
      <c r="J374" s="104" t="s">
        <v>578</v>
      </c>
      <c r="K374" s="104" t="n">
        <v>1</v>
      </c>
      <c r="L374" s="101" t="n">
        <v>12</v>
      </c>
      <c r="M374" s="104" t="s">
        <v>902</v>
      </c>
      <c r="N374" s="98"/>
      <c r="O374" s="105" t="n">
        <f aca="false">IF(M374="Y",I374,IF(ISNUMBER(H374),H374*L374,0))</f>
        <v>14540.4</v>
      </c>
      <c r="P374" s="106" t="str">
        <f aca="false">IF(J374="","",J374&amp;"|"&amp;A374&amp;"|"&amp;K374)</f>
        <v>R195|HD Fowler|1</v>
      </c>
    </row>
    <row r="375" customFormat="false" ht="15" hidden="false" customHeight="false" outlineLevel="0" collapsed="false">
      <c r="A375" s="98" t="s">
        <v>23</v>
      </c>
      <c r="B375" s="99" t="s">
        <v>1546</v>
      </c>
      <c r="C375" s="99" t="s">
        <v>591</v>
      </c>
      <c r="D375" s="98"/>
      <c r="E375" s="100" t="s">
        <v>1547</v>
      </c>
      <c r="F375" s="101" t="n">
        <v>1</v>
      </c>
      <c r="G375" s="101" t="s">
        <v>133</v>
      </c>
      <c r="H375" s="102" t="n">
        <v>2198.98</v>
      </c>
      <c r="I375" s="103" t="n">
        <v>2198.98</v>
      </c>
      <c r="J375" s="104" t="s">
        <v>590</v>
      </c>
      <c r="K375" s="104" t="n">
        <v>1</v>
      </c>
      <c r="L375" s="101" t="n">
        <v>1</v>
      </c>
      <c r="M375" s="104" t="s">
        <v>902</v>
      </c>
      <c r="N375" s="98"/>
      <c r="O375" s="105" t="n">
        <f aca="false">IF(M375="Y",I375,IF(ISNUMBER(H375),H375*L375,0))</f>
        <v>2198.98</v>
      </c>
      <c r="P375" s="106" t="str">
        <f aca="false">IF(J375="","",J375&amp;"|"&amp;A375&amp;"|"&amp;K375)</f>
        <v>R201|HD Fowler|1</v>
      </c>
    </row>
    <row r="376" customFormat="false" ht="15" hidden="false" customHeight="false" outlineLevel="0" collapsed="false">
      <c r="A376" s="98" t="s">
        <v>23</v>
      </c>
      <c r="B376" s="99" t="s">
        <v>1548</v>
      </c>
      <c r="C376" s="99" t="s">
        <v>591</v>
      </c>
      <c r="D376" s="98"/>
      <c r="E376" s="100" t="s">
        <v>1549</v>
      </c>
      <c r="F376" s="101" t="n">
        <v>1</v>
      </c>
      <c r="G376" s="101" t="s">
        <v>133</v>
      </c>
      <c r="H376" s="102" t="n">
        <v>1144.3</v>
      </c>
      <c r="I376" s="103" t="n">
        <v>1144.3</v>
      </c>
      <c r="J376" s="104" t="s">
        <v>593</v>
      </c>
      <c r="K376" s="104" t="n">
        <v>1</v>
      </c>
      <c r="L376" s="101" t="n">
        <v>1</v>
      </c>
      <c r="M376" s="104" t="s">
        <v>902</v>
      </c>
      <c r="N376" s="98"/>
      <c r="O376" s="105" t="n">
        <f aca="false">IF(M376="Y",I376,IF(ISNUMBER(H376),H376*L376,0))</f>
        <v>1144.3</v>
      </c>
      <c r="P376" s="106" t="str">
        <f aca="false">IF(J376="","",J376&amp;"|"&amp;A376&amp;"|"&amp;K376)</f>
        <v>R202|HD Fowler|1</v>
      </c>
    </row>
    <row r="377" customFormat="false" ht="15" hidden="false" customHeight="false" outlineLevel="0" collapsed="false">
      <c r="A377" s="98" t="s">
        <v>23</v>
      </c>
      <c r="B377" s="99" t="s">
        <v>1550</v>
      </c>
      <c r="C377" s="99" t="s">
        <v>591</v>
      </c>
      <c r="D377" s="98"/>
      <c r="E377" s="100" t="s">
        <v>1417</v>
      </c>
      <c r="F377" s="101" t="n">
        <v>2</v>
      </c>
      <c r="G377" s="101" t="s">
        <v>133</v>
      </c>
      <c r="H377" s="102" t="n">
        <v>345.91</v>
      </c>
      <c r="I377" s="103" t="n">
        <v>691.82</v>
      </c>
      <c r="J377" s="104" t="s">
        <v>597</v>
      </c>
      <c r="K377" s="104" t="n">
        <v>1</v>
      </c>
      <c r="L377" s="101" t="n">
        <v>2</v>
      </c>
      <c r="M377" s="104" t="s">
        <v>902</v>
      </c>
      <c r="N377" s="98"/>
      <c r="O377" s="105" t="n">
        <f aca="false">IF(M377="Y",I377,IF(ISNUMBER(H377),H377*L377,0))</f>
        <v>691.82</v>
      </c>
      <c r="P377" s="106" t="str">
        <f aca="false">IF(J377="","",J377&amp;"|"&amp;A377&amp;"|"&amp;K377)</f>
        <v>R204|HD Fowler|1</v>
      </c>
    </row>
    <row r="378" customFormat="false" ht="15" hidden="false" customHeight="false" outlineLevel="0" collapsed="false">
      <c r="A378" s="98" t="s">
        <v>23</v>
      </c>
      <c r="B378" s="99" t="s">
        <v>1551</v>
      </c>
      <c r="C378" s="99" t="s">
        <v>604</v>
      </c>
      <c r="D378" s="98"/>
      <c r="E378" s="100" t="s">
        <v>1552</v>
      </c>
      <c r="F378" s="101" t="n">
        <v>1</v>
      </c>
      <c r="G378" s="101" t="s">
        <v>133</v>
      </c>
      <c r="H378" s="102" t="n">
        <v>2377.57</v>
      </c>
      <c r="I378" s="103" t="n">
        <v>2377.57</v>
      </c>
      <c r="J378" s="104" t="s">
        <v>603</v>
      </c>
      <c r="K378" s="104" t="n">
        <v>1</v>
      </c>
      <c r="L378" s="101" t="n">
        <v>1</v>
      </c>
      <c r="M378" s="104" t="s">
        <v>902</v>
      </c>
      <c r="N378" s="98"/>
      <c r="O378" s="105" t="n">
        <f aca="false">IF(M378="Y",I378,IF(ISNUMBER(H378),H378*L378,0))</f>
        <v>2377.57</v>
      </c>
      <c r="P378" s="106" t="str">
        <f aca="false">IF(J378="","",J378&amp;"|"&amp;A378&amp;"|"&amp;K378)</f>
        <v>R207|HD Fowler|1</v>
      </c>
    </row>
    <row r="379" customFormat="false" ht="15" hidden="false" customHeight="false" outlineLevel="0" collapsed="false">
      <c r="A379" s="98" t="s">
        <v>23</v>
      </c>
      <c r="B379" s="99" t="s">
        <v>1553</v>
      </c>
      <c r="C379" s="99" t="s">
        <v>616</v>
      </c>
      <c r="D379" s="98"/>
      <c r="E379" s="100" t="s">
        <v>1554</v>
      </c>
      <c r="F379" s="101" t="n">
        <v>1</v>
      </c>
      <c r="G379" s="101" t="s">
        <v>133</v>
      </c>
      <c r="H379" s="102" t="n">
        <v>16747.41</v>
      </c>
      <c r="I379" s="103" t="n">
        <v>16747.41</v>
      </c>
      <c r="J379" s="104" t="s">
        <v>615</v>
      </c>
      <c r="K379" s="104" t="n">
        <v>1</v>
      </c>
      <c r="L379" s="101" t="n">
        <v>1</v>
      </c>
      <c r="M379" s="104" t="s">
        <v>902</v>
      </c>
      <c r="N379" s="98"/>
      <c r="O379" s="105" t="n">
        <f aca="false">IF(M379="Y",I379,IF(ISNUMBER(H379),H379*L379,0))</f>
        <v>16747.41</v>
      </c>
      <c r="P379" s="106" t="str">
        <f aca="false">IF(J379="","",J379&amp;"|"&amp;A379&amp;"|"&amp;K379)</f>
        <v>R212|HD Fowler|1</v>
      </c>
    </row>
    <row r="380" customFormat="false" ht="15" hidden="false" customHeight="false" outlineLevel="0" collapsed="false">
      <c r="A380" s="98" t="s">
        <v>23</v>
      </c>
      <c r="B380" s="99" t="s">
        <v>1555</v>
      </c>
      <c r="C380" s="99" t="s">
        <v>616</v>
      </c>
      <c r="D380" s="98"/>
      <c r="E380" s="100" t="s">
        <v>1556</v>
      </c>
      <c r="F380" s="101" t="n">
        <v>18.25</v>
      </c>
      <c r="G380" s="101" t="s">
        <v>178</v>
      </c>
      <c r="H380" s="102" t="n">
        <v>332.02</v>
      </c>
      <c r="I380" s="103" t="n">
        <v>6059.37</v>
      </c>
      <c r="J380" s="104" t="s">
        <v>623</v>
      </c>
      <c r="K380" s="104" t="n">
        <v>1</v>
      </c>
      <c r="L380" s="101" t="n">
        <v>18.25</v>
      </c>
      <c r="M380" s="104" t="s">
        <v>902</v>
      </c>
      <c r="N380" s="98"/>
      <c r="O380" s="105" t="n">
        <f aca="false">IF(M380="Y",I380,IF(ISNUMBER(H380),H380*L380,0))</f>
        <v>6059.37</v>
      </c>
      <c r="P380" s="106" t="str">
        <f aca="false">IF(J380="","",J380&amp;"|"&amp;A380&amp;"|"&amp;K380)</f>
        <v>R215|HD Fowler|1</v>
      </c>
    </row>
    <row r="381" customFormat="false" ht="15" hidden="false" customHeight="false" outlineLevel="0" collapsed="false">
      <c r="A381" s="98" t="s">
        <v>23</v>
      </c>
      <c r="B381" s="99" t="s">
        <v>1557</v>
      </c>
      <c r="C381" s="99" t="s">
        <v>616</v>
      </c>
      <c r="D381" s="98"/>
      <c r="E381" s="100" t="s">
        <v>1558</v>
      </c>
      <c r="F381" s="101" t="n">
        <v>1</v>
      </c>
      <c r="G381" s="101" t="s">
        <v>133</v>
      </c>
      <c r="H381" s="102" t="n">
        <v>4531.39</v>
      </c>
      <c r="I381" s="103" t="n">
        <v>4531.39</v>
      </c>
      <c r="J381" s="104" t="s">
        <v>618</v>
      </c>
      <c r="K381" s="104" t="n">
        <v>1</v>
      </c>
      <c r="L381" s="101" t="n">
        <v>1</v>
      </c>
      <c r="M381" s="104" t="s">
        <v>902</v>
      </c>
      <c r="N381" s="98"/>
      <c r="O381" s="105" t="n">
        <f aca="false">IF(M381="Y",I381,IF(ISNUMBER(H381),H381*L381,0))</f>
        <v>4531.39</v>
      </c>
      <c r="P381" s="106" t="str">
        <f aca="false">IF(J381="","",J381&amp;"|"&amp;A381&amp;"|"&amp;K381)</f>
        <v>R213|HD Fowler|1</v>
      </c>
    </row>
    <row r="382" customFormat="false" ht="15" hidden="false" customHeight="false" outlineLevel="0" collapsed="false">
      <c r="A382" s="98" t="s">
        <v>23</v>
      </c>
      <c r="B382" s="99" t="s">
        <v>1559</v>
      </c>
      <c r="C382" s="99" t="s">
        <v>616</v>
      </c>
      <c r="D382" s="98"/>
      <c r="E382" s="100" t="s">
        <v>1560</v>
      </c>
      <c r="F382" s="101" t="n">
        <v>4</v>
      </c>
      <c r="G382" s="101" t="s">
        <v>133</v>
      </c>
      <c r="H382" s="102" t="n">
        <v>2064.13</v>
      </c>
      <c r="I382" s="103" t="n">
        <v>8256.52</v>
      </c>
      <c r="J382" s="104" t="s">
        <v>620</v>
      </c>
      <c r="K382" s="104" t="n">
        <v>1</v>
      </c>
      <c r="L382" s="101" t="n">
        <v>4</v>
      </c>
      <c r="M382" s="104" t="s">
        <v>902</v>
      </c>
      <c r="N382" s="98"/>
      <c r="O382" s="105" t="n">
        <f aca="false">IF(M382="Y",I382,IF(ISNUMBER(H382),H382*L382,0))</f>
        <v>8256.52</v>
      </c>
      <c r="P382" s="106" t="str">
        <f aca="false">IF(J382="","",J382&amp;"|"&amp;A382&amp;"|"&amp;K382)</f>
        <v>R214|HD Fowler|1</v>
      </c>
    </row>
    <row r="383" customFormat="false" ht="15" hidden="false" customHeight="false" outlineLevel="0" collapsed="false">
      <c r="A383" s="98" t="s">
        <v>23</v>
      </c>
      <c r="B383" s="99" t="s">
        <v>1561</v>
      </c>
      <c r="C383" s="99" t="s">
        <v>629</v>
      </c>
      <c r="D383" s="98"/>
      <c r="E383" s="100" t="s">
        <v>1562</v>
      </c>
      <c r="F383" s="101" t="n">
        <v>3</v>
      </c>
      <c r="G383" s="101" t="s">
        <v>133</v>
      </c>
      <c r="H383" s="102" t="n">
        <v>3385.07</v>
      </c>
      <c r="I383" s="103" t="n">
        <v>10155.21</v>
      </c>
      <c r="J383" s="104" t="s">
        <v>628</v>
      </c>
      <c r="K383" s="104" t="n">
        <v>1</v>
      </c>
      <c r="L383" s="101" t="n">
        <v>3</v>
      </c>
      <c r="M383" s="104" t="s">
        <v>902</v>
      </c>
      <c r="N383" s="98"/>
      <c r="O383" s="105" t="n">
        <f aca="false">IF(M383="Y",I383,IF(ISNUMBER(H383),H383*L383,0))</f>
        <v>10155.21</v>
      </c>
      <c r="P383" s="106" t="str">
        <f aca="false">IF(J383="","",J383&amp;"|"&amp;A383&amp;"|"&amp;K383)</f>
        <v>R217|HD Fowler|1</v>
      </c>
    </row>
    <row r="384" customFormat="false" ht="15" hidden="false" customHeight="false" outlineLevel="0" collapsed="false">
      <c r="A384" s="98" t="s">
        <v>23</v>
      </c>
      <c r="B384" s="99" t="s">
        <v>1563</v>
      </c>
      <c r="C384" s="99" t="s">
        <v>636</v>
      </c>
      <c r="D384" s="98"/>
      <c r="E384" s="100" t="s">
        <v>1564</v>
      </c>
      <c r="F384" s="101" t="n">
        <v>2</v>
      </c>
      <c r="G384" s="101" t="s">
        <v>133</v>
      </c>
      <c r="H384" s="102" t="n">
        <v>150.28</v>
      </c>
      <c r="I384" s="103" t="n">
        <v>300.56</v>
      </c>
      <c r="J384" s="104" t="s">
        <v>635</v>
      </c>
      <c r="K384" s="104" t="n">
        <v>1</v>
      </c>
      <c r="L384" s="101" t="n">
        <v>2</v>
      </c>
      <c r="M384" s="104" t="s">
        <v>902</v>
      </c>
      <c r="N384" s="98"/>
      <c r="O384" s="105" t="n">
        <f aca="false">IF(M384="Y",I384,IF(ISNUMBER(H384),H384*L384,0))</f>
        <v>300.56</v>
      </c>
      <c r="P384" s="106" t="str">
        <f aca="false">IF(J384="","",J384&amp;"|"&amp;A384&amp;"|"&amp;K384)</f>
        <v>R220|HD Fowler|1</v>
      </c>
    </row>
    <row r="385" customFormat="false" ht="15" hidden="false" customHeight="false" outlineLevel="0" collapsed="false">
      <c r="A385" s="98" t="s">
        <v>23</v>
      </c>
      <c r="B385" s="99" t="s">
        <v>1565</v>
      </c>
      <c r="C385" s="99" t="s">
        <v>636</v>
      </c>
      <c r="D385" s="98"/>
      <c r="E385" s="100" t="s">
        <v>1509</v>
      </c>
      <c r="F385" s="101" t="n">
        <v>2</v>
      </c>
      <c r="G385" s="101" t="s">
        <v>133</v>
      </c>
      <c r="H385" s="102" t="n">
        <v>73.3</v>
      </c>
      <c r="I385" s="103" t="n">
        <v>146.6</v>
      </c>
      <c r="J385" s="104" t="s">
        <v>641</v>
      </c>
      <c r="K385" s="104" t="n">
        <v>1</v>
      </c>
      <c r="L385" s="101" t="n">
        <v>2</v>
      </c>
      <c r="M385" s="104" t="s">
        <v>902</v>
      </c>
      <c r="N385" s="98"/>
      <c r="O385" s="105" t="n">
        <f aca="false">IF(M385="Y",I385,IF(ISNUMBER(H385),H385*L385,0))</f>
        <v>146.6</v>
      </c>
      <c r="P385" s="106" t="str">
        <f aca="false">IF(J385="","",J385&amp;"|"&amp;A385&amp;"|"&amp;K385)</f>
        <v>R222|HD Fowler|1</v>
      </c>
    </row>
    <row r="386" customFormat="false" ht="15" hidden="false" customHeight="false" outlineLevel="0" collapsed="false">
      <c r="A386" s="98" t="s">
        <v>23</v>
      </c>
      <c r="B386" s="99" t="s">
        <v>1566</v>
      </c>
      <c r="C386" s="99" t="s">
        <v>647</v>
      </c>
      <c r="D386" s="98"/>
      <c r="E386" s="100" t="s">
        <v>1567</v>
      </c>
      <c r="F386" s="101" t="n">
        <v>1</v>
      </c>
      <c r="G386" s="101" t="s">
        <v>133</v>
      </c>
      <c r="H386" s="102" t="n">
        <v>971.78</v>
      </c>
      <c r="I386" s="103" t="n">
        <v>971.78</v>
      </c>
      <c r="J386" s="104" t="s">
        <v>646</v>
      </c>
      <c r="K386" s="104" t="n">
        <v>1</v>
      </c>
      <c r="L386" s="101" t="n">
        <v>1</v>
      </c>
      <c r="M386" s="104" t="s">
        <v>902</v>
      </c>
      <c r="N386" s="98"/>
      <c r="O386" s="105" t="n">
        <f aca="false">IF(M386="Y",I386,IF(ISNUMBER(H386),H386*L386,0))</f>
        <v>971.78</v>
      </c>
      <c r="P386" s="106" t="str">
        <f aca="false">IF(J386="","",J386&amp;"|"&amp;A386&amp;"|"&amp;K386)</f>
        <v>R225|HD Fowler|1</v>
      </c>
    </row>
    <row r="387" customFormat="false" ht="15" hidden="false" customHeight="false" outlineLevel="0" collapsed="false">
      <c r="A387" s="98" t="s">
        <v>23</v>
      </c>
      <c r="B387" s="99" t="s">
        <v>1568</v>
      </c>
      <c r="C387" s="99" t="s">
        <v>647</v>
      </c>
      <c r="D387" s="98"/>
      <c r="E387" s="100" t="s">
        <v>1289</v>
      </c>
      <c r="F387" s="101" t="n">
        <v>1</v>
      </c>
      <c r="G387" s="101" t="s">
        <v>133</v>
      </c>
      <c r="H387" s="102" t="n">
        <v>81.33</v>
      </c>
      <c r="I387" s="103" t="n">
        <v>81.33</v>
      </c>
      <c r="J387" s="104" t="s">
        <v>649</v>
      </c>
      <c r="K387" s="104" t="n">
        <v>1</v>
      </c>
      <c r="L387" s="101" t="n">
        <v>1</v>
      </c>
      <c r="M387" s="104" t="s">
        <v>902</v>
      </c>
      <c r="N387" s="98"/>
      <c r="O387" s="105" t="n">
        <f aca="false">IF(M387="Y",I387,IF(ISNUMBER(H387),H387*L387,0))</f>
        <v>81.33</v>
      </c>
      <c r="P387" s="106" t="str">
        <f aca="false">IF(J387="","",J387&amp;"|"&amp;A387&amp;"|"&amp;K387)</f>
        <v>R226|HD Fowler|1</v>
      </c>
    </row>
    <row r="388" customFormat="false" ht="15" hidden="false" customHeight="false" outlineLevel="0" collapsed="false">
      <c r="A388" s="98" t="s">
        <v>23</v>
      </c>
      <c r="B388" s="99" t="s">
        <v>1569</v>
      </c>
      <c r="C388" s="99" t="s">
        <v>647</v>
      </c>
      <c r="D388" s="98"/>
      <c r="E388" s="100" t="s">
        <v>1291</v>
      </c>
      <c r="F388" s="101" t="n">
        <v>1</v>
      </c>
      <c r="G388" s="101" t="s">
        <v>133</v>
      </c>
      <c r="H388" s="102" t="n">
        <v>72.2</v>
      </c>
      <c r="I388" s="103" t="n">
        <v>72.2</v>
      </c>
      <c r="J388" s="104" t="s">
        <v>649</v>
      </c>
      <c r="K388" s="104" t="n">
        <v>2</v>
      </c>
      <c r="L388" s="101" t="n">
        <v>1</v>
      </c>
      <c r="M388" s="104" t="s">
        <v>902</v>
      </c>
      <c r="N388" s="98"/>
      <c r="O388" s="105" t="n">
        <f aca="false">IF(M388="Y",I388,IF(ISNUMBER(H388),H388*L388,0))</f>
        <v>72.2</v>
      </c>
      <c r="P388" s="106" t="str">
        <f aca="false">IF(J388="","",J388&amp;"|"&amp;A388&amp;"|"&amp;K388)</f>
        <v>R226|HD Fowler|2</v>
      </c>
    </row>
    <row r="389" customFormat="false" ht="15" hidden="false" customHeight="false" outlineLevel="0" collapsed="false">
      <c r="A389" s="98" t="s">
        <v>23</v>
      </c>
      <c r="B389" s="99" t="s">
        <v>1570</v>
      </c>
      <c r="C389" s="99" t="s">
        <v>653</v>
      </c>
      <c r="D389" s="98"/>
      <c r="E389" s="100" t="s">
        <v>1571</v>
      </c>
      <c r="F389" s="101" t="n">
        <v>3</v>
      </c>
      <c r="G389" s="101" t="s">
        <v>133</v>
      </c>
      <c r="H389" s="102" t="n">
        <v>880.8</v>
      </c>
      <c r="I389" s="103" t="n">
        <v>2642.4</v>
      </c>
      <c r="J389" s="104" t="s">
        <v>652</v>
      </c>
      <c r="K389" s="104" t="n">
        <v>1</v>
      </c>
      <c r="L389" s="101" t="n">
        <v>3</v>
      </c>
      <c r="M389" s="104" t="s">
        <v>902</v>
      </c>
      <c r="N389" s="98"/>
      <c r="O389" s="105" t="n">
        <f aca="false">IF(M389="Y",I389,IF(ISNUMBER(H389),H389*L389,0))</f>
        <v>2642.4</v>
      </c>
      <c r="P389" s="106" t="str">
        <f aca="false">IF(J389="","",J389&amp;"|"&amp;A389&amp;"|"&amp;K389)</f>
        <v>R228|HD Fowler|1</v>
      </c>
    </row>
    <row r="390" customFormat="false" ht="15" hidden="false" customHeight="false" outlineLevel="0" collapsed="false">
      <c r="A390" s="98" t="s">
        <v>23</v>
      </c>
      <c r="B390" s="99" t="s">
        <v>1572</v>
      </c>
      <c r="C390" s="99" t="s">
        <v>653</v>
      </c>
      <c r="D390" s="98"/>
      <c r="E390" s="100" t="s">
        <v>1289</v>
      </c>
      <c r="F390" s="101" t="n">
        <v>3</v>
      </c>
      <c r="G390" s="101" t="s">
        <v>133</v>
      </c>
      <c r="H390" s="102" t="n">
        <v>81.33</v>
      </c>
      <c r="I390" s="103" t="n">
        <v>243.99</v>
      </c>
      <c r="J390" s="104" t="s">
        <v>655</v>
      </c>
      <c r="K390" s="104" t="n">
        <v>1</v>
      </c>
      <c r="L390" s="101" t="n">
        <v>3</v>
      </c>
      <c r="M390" s="104" t="s">
        <v>902</v>
      </c>
      <c r="N390" s="98"/>
      <c r="O390" s="105" t="n">
        <f aca="false">IF(M390="Y",I390,IF(ISNUMBER(H390),H390*L390,0))</f>
        <v>243.99</v>
      </c>
      <c r="P390" s="106" t="str">
        <f aca="false">IF(J390="","",J390&amp;"|"&amp;A390&amp;"|"&amp;K390)</f>
        <v>R229|HD Fowler|1</v>
      </c>
    </row>
    <row r="391" customFormat="false" ht="15" hidden="false" customHeight="false" outlineLevel="0" collapsed="false">
      <c r="A391" s="98" t="s">
        <v>23</v>
      </c>
      <c r="B391" s="99" t="s">
        <v>1573</v>
      </c>
      <c r="C391" s="99" t="s">
        <v>653</v>
      </c>
      <c r="D391" s="98"/>
      <c r="E391" s="100" t="s">
        <v>1291</v>
      </c>
      <c r="F391" s="101" t="n">
        <v>3</v>
      </c>
      <c r="G391" s="101" t="s">
        <v>133</v>
      </c>
      <c r="H391" s="102" t="n">
        <v>72.2</v>
      </c>
      <c r="I391" s="103" t="n">
        <v>216.6</v>
      </c>
      <c r="J391" s="104" t="s">
        <v>655</v>
      </c>
      <c r="K391" s="104" t="n">
        <v>2</v>
      </c>
      <c r="L391" s="101" t="n">
        <v>3</v>
      </c>
      <c r="M391" s="104" t="s">
        <v>902</v>
      </c>
      <c r="N391" s="98"/>
      <c r="O391" s="105" t="n">
        <f aca="false">IF(M391="Y",I391,IF(ISNUMBER(H391),H391*L391,0))</f>
        <v>216.6</v>
      </c>
      <c r="P391" s="106" t="str">
        <f aca="false">IF(J391="","",J391&amp;"|"&amp;A391&amp;"|"&amp;K391)</f>
        <v>R229|HD Fowler|2</v>
      </c>
    </row>
    <row r="392" customFormat="false" ht="15" hidden="false" customHeight="false" outlineLevel="0" collapsed="false">
      <c r="A392" s="98" t="s">
        <v>23</v>
      </c>
      <c r="B392" s="99" t="s">
        <v>1574</v>
      </c>
      <c r="C392" s="99" t="s">
        <v>659</v>
      </c>
      <c r="D392" s="98"/>
      <c r="E392" s="100" t="s">
        <v>1307</v>
      </c>
      <c r="F392" s="101" t="n">
        <v>1</v>
      </c>
      <c r="G392" s="101" t="s">
        <v>133</v>
      </c>
      <c r="H392" s="102" t="n">
        <v>1309.41</v>
      </c>
      <c r="I392" s="103" t="n">
        <v>1309.41</v>
      </c>
      <c r="J392" s="104" t="s">
        <v>658</v>
      </c>
      <c r="K392" s="104" t="n">
        <v>1</v>
      </c>
      <c r="L392" s="101" t="n">
        <v>1</v>
      </c>
      <c r="M392" s="104" t="s">
        <v>902</v>
      </c>
      <c r="N392" s="98"/>
      <c r="O392" s="105" t="n">
        <f aca="false">IF(M392="Y",I392,IF(ISNUMBER(H392),H392*L392,0))</f>
        <v>1309.41</v>
      </c>
      <c r="P392" s="106" t="str">
        <f aca="false">IF(J392="","",J392&amp;"|"&amp;A392&amp;"|"&amp;K392)</f>
        <v>R231|HD Fowler|1</v>
      </c>
    </row>
    <row r="393" customFormat="false" ht="15" hidden="false" customHeight="false" outlineLevel="0" collapsed="false">
      <c r="A393" s="98" t="s">
        <v>23</v>
      </c>
      <c r="B393" s="99" t="s">
        <v>1575</v>
      </c>
      <c r="C393" s="99" t="s">
        <v>659</v>
      </c>
      <c r="D393" s="98"/>
      <c r="E393" s="100" t="s">
        <v>1289</v>
      </c>
      <c r="F393" s="101" t="n">
        <v>1</v>
      </c>
      <c r="G393" s="101" t="s">
        <v>133</v>
      </c>
      <c r="H393" s="102" t="n">
        <v>81.33</v>
      </c>
      <c r="I393" s="103" t="n">
        <v>81.33</v>
      </c>
      <c r="J393" s="104" t="s">
        <v>660</v>
      </c>
      <c r="K393" s="104" t="n">
        <v>1</v>
      </c>
      <c r="L393" s="101" t="n">
        <v>1</v>
      </c>
      <c r="M393" s="104" t="s">
        <v>902</v>
      </c>
      <c r="N393" s="98"/>
      <c r="O393" s="105" t="n">
        <f aca="false">IF(M393="Y",I393,IF(ISNUMBER(H393),H393*L393,0))</f>
        <v>81.33</v>
      </c>
      <c r="P393" s="106" t="str">
        <f aca="false">IF(J393="","",J393&amp;"|"&amp;A393&amp;"|"&amp;K393)</f>
        <v>R232|HD Fowler|1</v>
      </c>
    </row>
    <row r="394" customFormat="false" ht="15" hidden="false" customHeight="false" outlineLevel="0" collapsed="false">
      <c r="A394" s="98" t="s">
        <v>23</v>
      </c>
      <c r="B394" s="99" t="s">
        <v>1576</v>
      </c>
      <c r="C394" s="99" t="s">
        <v>659</v>
      </c>
      <c r="D394" s="98"/>
      <c r="E394" s="100" t="s">
        <v>1291</v>
      </c>
      <c r="F394" s="101" t="n">
        <v>1</v>
      </c>
      <c r="G394" s="101" t="s">
        <v>133</v>
      </c>
      <c r="H394" s="102" t="n">
        <v>72.2</v>
      </c>
      <c r="I394" s="103" t="n">
        <v>72.2</v>
      </c>
      <c r="J394" s="104" t="s">
        <v>660</v>
      </c>
      <c r="K394" s="104" t="n">
        <v>2</v>
      </c>
      <c r="L394" s="101" t="n">
        <v>1</v>
      </c>
      <c r="M394" s="104" t="s">
        <v>902</v>
      </c>
      <c r="N394" s="98"/>
      <c r="O394" s="105" t="n">
        <f aca="false">IF(M394="Y",I394,IF(ISNUMBER(H394),H394*L394,0))</f>
        <v>72.2</v>
      </c>
      <c r="P394" s="106" t="str">
        <f aca="false">IF(J394="","",J394&amp;"|"&amp;A394&amp;"|"&amp;K394)</f>
        <v>R232|HD Fowler|2</v>
      </c>
    </row>
    <row r="395" customFormat="false" ht="15" hidden="false" customHeight="false" outlineLevel="0" collapsed="false">
      <c r="A395" s="98" t="s">
        <v>23</v>
      </c>
      <c r="B395" s="99" t="s">
        <v>1577</v>
      </c>
      <c r="C395" s="99" t="s">
        <v>664</v>
      </c>
      <c r="D395" s="98"/>
      <c r="E395" s="100" t="s">
        <v>1578</v>
      </c>
      <c r="F395" s="101" t="n">
        <v>1</v>
      </c>
      <c r="G395" s="101" t="s">
        <v>133</v>
      </c>
      <c r="H395" s="102" t="n">
        <v>2539.17</v>
      </c>
      <c r="I395" s="103" t="n">
        <v>2539.17</v>
      </c>
      <c r="J395" s="104" t="s">
        <v>663</v>
      </c>
      <c r="K395" s="104" t="n">
        <v>1</v>
      </c>
      <c r="L395" s="101" t="n">
        <v>1</v>
      </c>
      <c r="M395" s="104" t="s">
        <v>902</v>
      </c>
      <c r="N395" s="98"/>
      <c r="O395" s="105" t="n">
        <f aca="false">IF(M395="Y",I395,IF(ISNUMBER(H395),H395*L395,0))</f>
        <v>2539.17</v>
      </c>
      <c r="P395" s="106" t="str">
        <f aca="false">IF(J395="","",J395&amp;"|"&amp;A395&amp;"|"&amp;K395)</f>
        <v>R234|HD Fowler|1</v>
      </c>
    </row>
    <row r="396" customFormat="false" ht="15" hidden="false" customHeight="false" outlineLevel="0" collapsed="false">
      <c r="A396" s="98" t="s">
        <v>23</v>
      </c>
      <c r="B396" s="99" t="s">
        <v>1579</v>
      </c>
      <c r="C396" s="99" t="s">
        <v>664</v>
      </c>
      <c r="D396" s="98"/>
      <c r="E396" s="100" t="s">
        <v>1580</v>
      </c>
      <c r="F396" s="101" t="n">
        <v>1</v>
      </c>
      <c r="G396" s="101" t="s">
        <v>133</v>
      </c>
      <c r="H396" s="102" t="n">
        <v>253.33</v>
      </c>
      <c r="I396" s="103" t="n">
        <v>253.33</v>
      </c>
      <c r="J396" s="104" t="s">
        <v>666</v>
      </c>
      <c r="K396" s="104" t="n">
        <v>1</v>
      </c>
      <c r="L396" s="101" t="n">
        <v>1</v>
      </c>
      <c r="M396" s="104" t="s">
        <v>902</v>
      </c>
      <c r="N396" s="98"/>
      <c r="O396" s="105" t="n">
        <f aca="false">IF(M396="Y",I396,IF(ISNUMBER(H396),H396*L396,0))</f>
        <v>253.33</v>
      </c>
      <c r="P396" s="106" t="str">
        <f aca="false">IF(J396="","",J396&amp;"|"&amp;A396&amp;"|"&amp;K396)</f>
        <v>R235|HD Fowler|1</v>
      </c>
    </row>
    <row r="397" customFormat="false" ht="15" hidden="false" customHeight="false" outlineLevel="0" collapsed="false">
      <c r="A397" s="98" t="s">
        <v>23</v>
      </c>
      <c r="B397" s="99" t="s">
        <v>1581</v>
      </c>
      <c r="C397" s="99" t="s">
        <v>664</v>
      </c>
      <c r="D397" s="98"/>
      <c r="E397" s="100" t="s">
        <v>1582</v>
      </c>
      <c r="F397" s="101" t="n">
        <v>1</v>
      </c>
      <c r="G397" s="101" t="s">
        <v>133</v>
      </c>
      <c r="H397" s="102" t="n">
        <v>118.05</v>
      </c>
      <c r="I397" s="103" t="n">
        <v>118.05</v>
      </c>
      <c r="J397" s="104" t="s">
        <v>666</v>
      </c>
      <c r="K397" s="104" t="n">
        <v>2</v>
      </c>
      <c r="L397" s="101" t="n">
        <v>1</v>
      </c>
      <c r="M397" s="104" t="s">
        <v>902</v>
      </c>
      <c r="N397" s="98"/>
      <c r="O397" s="105" t="n">
        <f aca="false">IF(M397="Y",I397,IF(ISNUMBER(H397),H397*L397,0))</f>
        <v>118.05</v>
      </c>
      <c r="P397" s="106" t="str">
        <f aca="false">IF(J397="","",J397&amp;"|"&amp;A397&amp;"|"&amp;K397)</f>
        <v>R235|HD Fowler|2</v>
      </c>
    </row>
    <row r="398" customFormat="false" ht="15" hidden="false" customHeight="false" outlineLevel="0" collapsed="false">
      <c r="A398" s="98" t="s">
        <v>23</v>
      </c>
      <c r="B398" s="99" t="s">
        <v>1583</v>
      </c>
      <c r="C398" s="99" t="s">
        <v>671</v>
      </c>
      <c r="D398" s="98"/>
      <c r="E398" s="100" t="s">
        <v>1584</v>
      </c>
      <c r="F398" s="101" t="n">
        <v>16</v>
      </c>
      <c r="G398" s="101" t="s">
        <v>133</v>
      </c>
      <c r="H398" s="102" t="n">
        <v>3655.7</v>
      </c>
      <c r="I398" s="103" t="n">
        <v>58491.2</v>
      </c>
      <c r="J398" s="104" t="s">
        <v>670</v>
      </c>
      <c r="K398" s="104" t="n">
        <v>1</v>
      </c>
      <c r="L398" s="101" t="n">
        <v>16</v>
      </c>
      <c r="M398" s="104" t="s">
        <v>902</v>
      </c>
      <c r="N398" s="98"/>
      <c r="O398" s="105" t="n">
        <f aca="false">IF(M398="Y",I398,IF(ISNUMBER(H398),H398*L398,0))</f>
        <v>58491.2</v>
      </c>
      <c r="P398" s="106" t="str">
        <f aca="false">IF(J398="","",J398&amp;"|"&amp;A398&amp;"|"&amp;K398)</f>
        <v>R237|HD Fowler|1</v>
      </c>
    </row>
    <row r="399" customFormat="false" ht="15" hidden="false" customHeight="false" outlineLevel="0" collapsed="false">
      <c r="A399" s="98" t="s">
        <v>23</v>
      </c>
      <c r="B399" s="99" t="s">
        <v>1585</v>
      </c>
      <c r="C399" s="99" t="s">
        <v>671</v>
      </c>
      <c r="D399" s="98"/>
      <c r="E399" s="100" t="s">
        <v>1586</v>
      </c>
      <c r="F399" s="101" t="n">
        <v>1</v>
      </c>
      <c r="G399" s="101" t="s">
        <v>133</v>
      </c>
      <c r="H399" s="102" t="n">
        <v>3655.7</v>
      </c>
      <c r="I399" s="103" t="n">
        <v>3655.7</v>
      </c>
      <c r="J399" s="104" t="s">
        <v>675</v>
      </c>
      <c r="K399" s="104" t="n">
        <v>1</v>
      </c>
      <c r="L399" s="101" t="n">
        <v>1</v>
      </c>
      <c r="M399" s="104" t="s">
        <v>902</v>
      </c>
      <c r="N399" s="98"/>
      <c r="O399" s="105" t="n">
        <f aca="false">IF(M399="Y",I399,IF(ISNUMBER(H399),H399*L399,0))</f>
        <v>3655.7</v>
      </c>
      <c r="P399" s="106" t="str">
        <f aca="false">IF(J399="","",J399&amp;"|"&amp;A399&amp;"|"&amp;K399)</f>
        <v>R238|HD Fowler|1</v>
      </c>
    </row>
    <row r="400" customFormat="false" ht="15" hidden="false" customHeight="false" outlineLevel="0" collapsed="false">
      <c r="A400" s="98" t="s">
        <v>23</v>
      </c>
      <c r="B400" s="99" t="s">
        <v>1587</v>
      </c>
      <c r="C400" s="99" t="s">
        <v>671</v>
      </c>
      <c r="D400" s="98"/>
      <c r="E400" s="100" t="s">
        <v>1509</v>
      </c>
      <c r="F400" s="101" t="n">
        <v>17</v>
      </c>
      <c r="G400" s="101" t="s">
        <v>133</v>
      </c>
      <c r="H400" s="102" t="n">
        <v>73.3</v>
      </c>
      <c r="I400" s="103" t="n">
        <v>1246.1</v>
      </c>
      <c r="J400" s="104" t="s">
        <v>677</v>
      </c>
      <c r="K400" s="104" t="n">
        <v>1</v>
      </c>
      <c r="L400" s="101" t="n">
        <v>17</v>
      </c>
      <c r="M400" s="104" t="s">
        <v>902</v>
      </c>
      <c r="N400" s="98"/>
      <c r="O400" s="105" t="n">
        <f aca="false">IF(M400="Y",I400,IF(ISNUMBER(H400),H400*L400,0))</f>
        <v>1246.1</v>
      </c>
      <c r="P400" s="106" t="str">
        <f aca="false">IF(J400="","",J400&amp;"|"&amp;A400&amp;"|"&amp;K400)</f>
        <v>R239|HD Fowler|1</v>
      </c>
    </row>
    <row r="401" customFormat="false" ht="15" hidden="false" customHeight="false" outlineLevel="0" collapsed="false">
      <c r="A401" s="98" t="s">
        <v>23</v>
      </c>
      <c r="B401" s="99" t="s">
        <v>1588</v>
      </c>
      <c r="C401" s="99" t="s">
        <v>682</v>
      </c>
      <c r="D401" s="98"/>
      <c r="E401" s="100" t="s">
        <v>1589</v>
      </c>
      <c r="F401" s="101" t="n">
        <v>1</v>
      </c>
      <c r="G401" s="101" t="s">
        <v>133</v>
      </c>
      <c r="H401" s="102" t="n">
        <v>507.76</v>
      </c>
      <c r="I401" s="103" t="n">
        <v>507.76</v>
      </c>
      <c r="J401" s="104" t="s">
        <v>687</v>
      </c>
      <c r="K401" s="104" t="n">
        <v>1</v>
      </c>
      <c r="L401" s="101" t="n">
        <v>1</v>
      </c>
      <c r="M401" s="104" t="s">
        <v>902</v>
      </c>
      <c r="N401" s="98"/>
      <c r="O401" s="105" t="n">
        <f aca="false">IF(M401="Y",I401,IF(ISNUMBER(H401),H401*L401,0))</f>
        <v>507.76</v>
      </c>
      <c r="P401" s="106" t="str">
        <f aca="false">IF(J401="","",J401&amp;"|"&amp;A401&amp;"|"&amp;K401)</f>
        <v>R242|HD Fowler|1</v>
      </c>
    </row>
    <row r="402" customFormat="false" ht="15" hidden="false" customHeight="false" outlineLevel="0" collapsed="false">
      <c r="A402" s="98" t="s">
        <v>23</v>
      </c>
      <c r="B402" s="99" t="s">
        <v>1590</v>
      </c>
      <c r="C402" s="99" t="s">
        <v>682</v>
      </c>
      <c r="D402" s="98"/>
      <c r="E402" s="100" t="s">
        <v>1591</v>
      </c>
      <c r="F402" s="101" t="n">
        <v>8</v>
      </c>
      <c r="G402" s="101" t="s">
        <v>133</v>
      </c>
      <c r="H402" s="102" t="n">
        <v>340.92</v>
      </c>
      <c r="I402" s="103" t="n">
        <v>2727.36</v>
      </c>
      <c r="J402" s="104" t="s">
        <v>684</v>
      </c>
      <c r="K402" s="104" t="n">
        <v>1</v>
      </c>
      <c r="L402" s="101" t="n">
        <v>8</v>
      </c>
      <c r="M402" s="104" t="s">
        <v>902</v>
      </c>
      <c r="N402" s="98"/>
      <c r="O402" s="105" t="n">
        <f aca="false">IF(M402="Y",I402,IF(ISNUMBER(H402),H402*L402,0))</f>
        <v>2727.36</v>
      </c>
      <c r="P402" s="106" t="str">
        <f aca="false">IF(J402="","",J402&amp;"|"&amp;A402&amp;"|"&amp;K402)</f>
        <v>R241|HD Fowler|1</v>
      </c>
    </row>
    <row r="403" customFormat="false" ht="15" hidden="false" customHeight="false" outlineLevel="0" collapsed="false">
      <c r="A403" s="98" t="s">
        <v>23</v>
      </c>
      <c r="B403" s="99" t="s">
        <v>1592</v>
      </c>
      <c r="C403" s="99" t="s">
        <v>682</v>
      </c>
      <c r="D403" s="98"/>
      <c r="E403" s="100" t="s">
        <v>1593</v>
      </c>
      <c r="F403" s="101" t="n">
        <v>9</v>
      </c>
      <c r="G403" s="101" t="s">
        <v>133</v>
      </c>
      <c r="H403" s="102" t="n">
        <v>19.98</v>
      </c>
      <c r="I403" s="103" t="n">
        <v>179.82</v>
      </c>
      <c r="J403" s="104" t="s">
        <v>692</v>
      </c>
      <c r="K403" s="104" t="n">
        <v>1</v>
      </c>
      <c r="L403" s="101" t="n">
        <v>9</v>
      </c>
      <c r="M403" s="104" t="s">
        <v>902</v>
      </c>
      <c r="N403" s="98"/>
      <c r="O403" s="105" t="n">
        <f aca="false">IF(M403="Y",I403,IF(ISNUMBER(H403),H403*L403,0))</f>
        <v>179.82</v>
      </c>
      <c r="P403" s="106" t="str">
        <f aca="false">IF(J403="","",J403&amp;"|"&amp;A403&amp;"|"&amp;K403)</f>
        <v>R244|HD Fowler|1</v>
      </c>
    </row>
    <row r="404" customFormat="false" ht="15" hidden="false" customHeight="false" outlineLevel="0" collapsed="false">
      <c r="A404" s="98" t="s">
        <v>23</v>
      </c>
      <c r="B404" s="99" t="s">
        <v>1594</v>
      </c>
      <c r="C404" s="99" t="s">
        <v>682</v>
      </c>
      <c r="D404" s="98"/>
      <c r="E404" s="100" t="s">
        <v>1595</v>
      </c>
      <c r="F404" s="101" t="n">
        <v>9</v>
      </c>
      <c r="G404" s="101" t="s">
        <v>133</v>
      </c>
      <c r="H404" s="102" t="n">
        <v>89.87</v>
      </c>
      <c r="I404" s="103" t="n">
        <v>808.83</v>
      </c>
      <c r="J404" s="104" t="s">
        <v>690</v>
      </c>
      <c r="K404" s="104" t="n">
        <v>1</v>
      </c>
      <c r="L404" s="101" t="n">
        <v>9</v>
      </c>
      <c r="M404" s="104" t="s">
        <v>902</v>
      </c>
      <c r="N404" s="98"/>
      <c r="O404" s="105" t="n">
        <f aca="false">IF(M404="Y",I404,IF(ISNUMBER(H404),H404*L404,0))</f>
        <v>808.83</v>
      </c>
      <c r="P404" s="106" t="str">
        <f aca="false">IF(J404="","",J404&amp;"|"&amp;A404&amp;"|"&amp;K404)</f>
        <v>R243|HD Fowler|1</v>
      </c>
    </row>
    <row r="405" customFormat="false" ht="15" hidden="false" customHeight="false" outlineLevel="0" collapsed="false">
      <c r="A405" s="98" t="s">
        <v>23</v>
      </c>
      <c r="B405" s="99" t="s">
        <v>1596</v>
      </c>
      <c r="C405" s="99" t="s">
        <v>682</v>
      </c>
      <c r="D405" s="98"/>
      <c r="E405" s="100" t="s">
        <v>1593</v>
      </c>
      <c r="F405" s="101" t="n">
        <v>9</v>
      </c>
      <c r="G405" s="101" t="s">
        <v>133</v>
      </c>
      <c r="H405" s="102" t="n">
        <v>19.98</v>
      </c>
      <c r="I405" s="103" t="n">
        <v>179.82</v>
      </c>
      <c r="J405" s="104" t="s">
        <v>692</v>
      </c>
      <c r="K405" s="104" t="n">
        <v>1</v>
      </c>
      <c r="L405" s="101" t="n">
        <v>9</v>
      </c>
      <c r="M405" s="104" t="s">
        <v>902</v>
      </c>
      <c r="N405" s="98"/>
      <c r="O405" s="105" t="n">
        <f aca="false">IF(M405="Y",I405,IF(ISNUMBER(H405),H405*L405,0))</f>
        <v>179.82</v>
      </c>
      <c r="P405" s="106" t="str">
        <f aca="false">IF(J405="","",J405&amp;"|"&amp;A405&amp;"|"&amp;K405)</f>
        <v>R244|HD Fowler|1</v>
      </c>
    </row>
    <row r="406" customFormat="false" ht="15" hidden="false" customHeight="false" outlineLevel="0" collapsed="false">
      <c r="A406" s="98" t="s">
        <v>23</v>
      </c>
      <c r="B406" s="99" t="s">
        <v>1597</v>
      </c>
      <c r="C406" s="99" t="s">
        <v>682</v>
      </c>
      <c r="D406" s="98"/>
      <c r="E406" s="100" t="s">
        <v>1369</v>
      </c>
      <c r="F406" s="101" t="n">
        <v>9</v>
      </c>
      <c r="G406" s="101" t="s">
        <v>133</v>
      </c>
      <c r="H406" s="102" t="n">
        <v>1162.47</v>
      </c>
      <c r="I406" s="103" t="n">
        <v>10462.23</v>
      </c>
      <c r="J406" s="104" t="s">
        <v>681</v>
      </c>
      <c r="K406" s="104" t="n">
        <v>1</v>
      </c>
      <c r="L406" s="101" t="n">
        <v>9</v>
      </c>
      <c r="M406" s="104" t="s">
        <v>902</v>
      </c>
      <c r="N406" s="98"/>
      <c r="O406" s="105" t="n">
        <f aca="false">IF(M406="Y",I406,IF(ISNUMBER(H406),H406*L406,0))</f>
        <v>10462.23</v>
      </c>
      <c r="P406" s="106" t="str">
        <f aca="false">IF(J406="","",J406&amp;"|"&amp;A406&amp;"|"&amp;K406)</f>
        <v>R240|HD Fowler|1</v>
      </c>
    </row>
    <row r="407" customFormat="false" ht="15" hidden="false" customHeight="false" outlineLevel="0" collapsed="false">
      <c r="A407" s="98" t="s">
        <v>23</v>
      </c>
      <c r="B407" s="99" t="s">
        <v>1598</v>
      </c>
      <c r="C407" s="99" t="s">
        <v>682</v>
      </c>
      <c r="D407" s="98"/>
      <c r="E407" s="100" t="s">
        <v>1405</v>
      </c>
      <c r="F407" s="101" t="n">
        <v>9</v>
      </c>
      <c r="G407" s="101" t="s">
        <v>133</v>
      </c>
      <c r="H407" s="102" t="n">
        <v>14.71</v>
      </c>
      <c r="I407" s="103" t="n">
        <v>132.39</v>
      </c>
      <c r="J407" s="104" t="s">
        <v>694</v>
      </c>
      <c r="K407" s="104" t="n">
        <v>1</v>
      </c>
      <c r="L407" s="101" t="n">
        <v>9</v>
      </c>
      <c r="M407" s="104" t="s">
        <v>902</v>
      </c>
      <c r="N407" s="98"/>
      <c r="O407" s="105" t="n">
        <f aca="false">IF(M407="Y",I407,IF(ISNUMBER(H407),H407*L407,0))</f>
        <v>132.39</v>
      </c>
      <c r="P407" s="106" t="str">
        <f aca="false">IF(J407="","",J407&amp;"|"&amp;A407&amp;"|"&amp;K407)</f>
        <v>R245|HD Fowler|1</v>
      </c>
    </row>
    <row r="408" customFormat="false" ht="15" hidden="false" customHeight="false" outlineLevel="0" collapsed="false">
      <c r="A408" s="98" t="s">
        <v>23</v>
      </c>
      <c r="B408" s="99" t="s">
        <v>1599</v>
      </c>
      <c r="C408" s="99" t="s">
        <v>682</v>
      </c>
      <c r="D408" s="98"/>
      <c r="E408" s="100" t="s">
        <v>1407</v>
      </c>
      <c r="F408" s="101" t="n">
        <v>200</v>
      </c>
      <c r="G408" s="101" t="s">
        <v>178</v>
      </c>
      <c r="H408" s="102" t="n">
        <v>1.76</v>
      </c>
      <c r="I408" s="103" t="n">
        <v>352</v>
      </c>
      <c r="J408" s="104" t="s">
        <v>701</v>
      </c>
      <c r="K408" s="104" t="n">
        <v>1</v>
      </c>
      <c r="L408" s="101" t="n">
        <v>200</v>
      </c>
      <c r="M408" s="104" t="s">
        <v>902</v>
      </c>
      <c r="N408" s="98"/>
      <c r="O408" s="105" t="n">
        <f aca="false">IF(M408="Y",I408,IF(ISNUMBER(H408),H408*L408,0))</f>
        <v>352</v>
      </c>
      <c r="P408" s="106" t="str">
        <f aca="false">IF(J408="","",J408&amp;"|"&amp;A408&amp;"|"&amp;K408)</f>
        <v>R248|HD Fowler|1</v>
      </c>
    </row>
    <row r="409" customFormat="false" ht="15" hidden="false" customHeight="false" outlineLevel="0" collapsed="false">
      <c r="A409" s="98" t="s">
        <v>23</v>
      </c>
      <c r="B409" s="99" t="s">
        <v>1600</v>
      </c>
      <c r="C409" s="99" t="s">
        <v>682</v>
      </c>
      <c r="D409" s="98"/>
      <c r="E409" s="100" t="s">
        <v>1445</v>
      </c>
      <c r="F409" s="101" t="n">
        <v>9</v>
      </c>
      <c r="G409" s="101" t="s">
        <v>133</v>
      </c>
      <c r="H409" s="102" t="n">
        <v>4.44</v>
      </c>
      <c r="I409" s="103" t="n">
        <v>39.96</v>
      </c>
      <c r="J409" s="104" t="s">
        <v>696</v>
      </c>
      <c r="K409" s="104" t="n">
        <v>1</v>
      </c>
      <c r="L409" s="101" t="n">
        <v>9</v>
      </c>
      <c r="M409" s="104" t="s">
        <v>902</v>
      </c>
      <c r="N409" s="98"/>
      <c r="O409" s="105" t="n">
        <f aca="false">IF(M409="Y",I409,IF(ISNUMBER(H409),H409*L409,0))</f>
        <v>39.96</v>
      </c>
      <c r="P409" s="106" t="str">
        <f aca="false">IF(J409="","",J409&amp;"|"&amp;A409&amp;"|"&amp;K409)</f>
        <v>R246|HD Fowler|1</v>
      </c>
    </row>
    <row r="410" customFormat="false" ht="15" hidden="false" customHeight="false" outlineLevel="0" collapsed="false">
      <c r="A410" s="98" t="s">
        <v>23</v>
      </c>
      <c r="B410" s="99" t="s">
        <v>1601</v>
      </c>
      <c r="C410" s="99" t="s">
        <v>682</v>
      </c>
      <c r="D410" s="98"/>
      <c r="E410" s="100" t="s">
        <v>1602</v>
      </c>
      <c r="F410" s="101" t="n">
        <v>9</v>
      </c>
      <c r="G410" s="101" t="s">
        <v>133</v>
      </c>
      <c r="H410" s="102" t="n">
        <v>24.32</v>
      </c>
      <c r="I410" s="103" t="n">
        <v>218.88</v>
      </c>
      <c r="J410" s="104" t="s">
        <v>698</v>
      </c>
      <c r="K410" s="104" t="n">
        <v>1</v>
      </c>
      <c r="L410" s="101" t="n">
        <v>9</v>
      </c>
      <c r="M410" s="104" t="s">
        <v>902</v>
      </c>
      <c r="N410" s="98"/>
      <c r="O410" s="105" t="n">
        <f aca="false">IF(M410="Y",I410,IF(ISNUMBER(H410),H410*L410,0))</f>
        <v>218.88</v>
      </c>
      <c r="P410" s="106" t="str">
        <f aca="false">IF(J410="","",J410&amp;"|"&amp;A410&amp;"|"&amp;K410)</f>
        <v>R247|HD Fowler|1</v>
      </c>
    </row>
    <row r="411" customFormat="false" ht="15" hidden="false" customHeight="false" outlineLevel="0" collapsed="false">
      <c r="A411" s="98" t="s">
        <v>23</v>
      </c>
      <c r="B411" s="99" t="s">
        <v>1603</v>
      </c>
      <c r="C411" s="99" t="s">
        <v>682</v>
      </c>
      <c r="D411" s="98"/>
      <c r="E411" s="100" t="s">
        <v>1445</v>
      </c>
      <c r="F411" s="101" t="n">
        <v>27</v>
      </c>
      <c r="G411" s="101" t="s">
        <v>133</v>
      </c>
      <c r="H411" s="102" t="n">
        <v>4.44</v>
      </c>
      <c r="I411" s="103" t="n">
        <v>119.88</v>
      </c>
      <c r="J411" s="104" t="s">
        <v>696</v>
      </c>
      <c r="K411" s="104" t="n">
        <v>1</v>
      </c>
      <c r="L411" s="101" t="n">
        <v>27</v>
      </c>
      <c r="M411" s="104" t="s">
        <v>902</v>
      </c>
      <c r="N411" s="98"/>
      <c r="O411" s="105" t="n">
        <f aca="false">IF(M411="Y",I411,IF(ISNUMBER(H411),H411*L411,0))</f>
        <v>119.88</v>
      </c>
      <c r="P411" s="106" t="str">
        <f aca="false">IF(J411="","",J411&amp;"|"&amp;A411&amp;"|"&amp;K411)</f>
        <v>R246|HD Fowler|1</v>
      </c>
    </row>
    <row r="412" customFormat="false" ht="15" hidden="false" customHeight="false" outlineLevel="0" collapsed="false">
      <c r="A412" s="98" t="s">
        <v>23</v>
      </c>
      <c r="B412" s="99" t="s">
        <v>1604</v>
      </c>
      <c r="C412" s="99" t="s">
        <v>682</v>
      </c>
      <c r="D412" s="98"/>
      <c r="E412" s="100" t="s">
        <v>1375</v>
      </c>
      <c r="F412" s="101" t="n">
        <v>9</v>
      </c>
      <c r="G412" s="101" t="s">
        <v>133</v>
      </c>
      <c r="H412" s="102" t="n">
        <v>58.75</v>
      </c>
      <c r="I412" s="103" t="n">
        <v>528.75</v>
      </c>
      <c r="J412" s="104" t="s">
        <v>720</v>
      </c>
      <c r="K412" s="104" t="n">
        <v>1</v>
      </c>
      <c r="L412" s="101" t="n">
        <v>9</v>
      </c>
      <c r="M412" s="104" t="s">
        <v>902</v>
      </c>
      <c r="N412" s="98"/>
      <c r="O412" s="105" t="n">
        <f aca="false">IF(M412="Y",I412,IF(ISNUMBER(H412),H412*L412,0))</f>
        <v>528.75</v>
      </c>
      <c r="P412" s="106" t="str">
        <f aca="false">IF(J412="","",J412&amp;"|"&amp;A412&amp;"|"&amp;K412)</f>
        <v>R257|HD Fowler|1</v>
      </c>
    </row>
    <row r="413" customFormat="false" ht="15" hidden="false" customHeight="false" outlineLevel="0" collapsed="false">
      <c r="A413" s="98" t="s">
        <v>23</v>
      </c>
      <c r="B413" s="99" t="s">
        <v>1605</v>
      </c>
      <c r="C413" s="99" t="s">
        <v>745</v>
      </c>
      <c r="D413" s="98"/>
      <c r="E413" s="100" t="s">
        <v>1606</v>
      </c>
      <c r="F413" s="101" t="n">
        <v>1</v>
      </c>
      <c r="G413" s="101" t="s">
        <v>133</v>
      </c>
      <c r="H413" s="102" t="n">
        <v>197.81</v>
      </c>
      <c r="I413" s="103" t="n">
        <v>197.81</v>
      </c>
      <c r="J413" s="104" t="s">
        <v>753</v>
      </c>
      <c r="K413" s="104" t="n">
        <v>1</v>
      </c>
      <c r="L413" s="101" t="n">
        <v>1</v>
      </c>
      <c r="M413" s="104" t="s">
        <v>902</v>
      </c>
      <c r="N413" s="98"/>
      <c r="O413" s="105" t="n">
        <f aca="false">IF(M413="Y",I413,IF(ISNUMBER(H413),H413*L413,0))</f>
        <v>197.81</v>
      </c>
      <c r="P413" s="106" t="str">
        <f aca="false">IF(J413="","",J413&amp;"|"&amp;A413&amp;"|"&amp;K413)</f>
        <v>R269|HD Fowler|1</v>
      </c>
    </row>
    <row r="414" customFormat="false" ht="15" hidden="false" customHeight="false" outlineLevel="0" collapsed="false">
      <c r="A414" s="98" t="s">
        <v>23</v>
      </c>
      <c r="B414" s="99" t="s">
        <v>1607</v>
      </c>
      <c r="C414" s="99" t="s">
        <v>745</v>
      </c>
      <c r="D414" s="98"/>
      <c r="E414" s="100" t="s">
        <v>1608</v>
      </c>
      <c r="F414" s="101" t="n">
        <v>1</v>
      </c>
      <c r="G414" s="101" t="s">
        <v>133</v>
      </c>
      <c r="H414" s="102" t="n">
        <v>93.96</v>
      </c>
      <c r="I414" s="103" t="n">
        <v>93.96</v>
      </c>
      <c r="J414" s="104" t="s">
        <v>757</v>
      </c>
      <c r="K414" s="104" t="n">
        <v>1</v>
      </c>
      <c r="L414" s="101" t="n">
        <v>1</v>
      </c>
      <c r="M414" s="104" t="s">
        <v>902</v>
      </c>
      <c r="N414" s="98"/>
      <c r="O414" s="105" t="n">
        <f aca="false">IF(M414="Y",I414,IF(ISNUMBER(H414),H414*L414,0))</f>
        <v>93.96</v>
      </c>
      <c r="P414" s="106" t="str">
        <f aca="false">IF(J414="","",J414&amp;"|"&amp;A414&amp;"|"&amp;K414)</f>
        <v>R270|HD Fowler|1</v>
      </c>
    </row>
    <row r="415" customFormat="false" ht="15" hidden="false" customHeight="false" outlineLevel="0" collapsed="false">
      <c r="A415" s="98" t="s">
        <v>23</v>
      </c>
      <c r="B415" s="99" t="s">
        <v>1609</v>
      </c>
      <c r="C415" s="99" t="s">
        <v>745</v>
      </c>
      <c r="D415" s="98"/>
      <c r="E415" s="100" t="s">
        <v>1610</v>
      </c>
      <c r="F415" s="101" t="n">
        <v>4</v>
      </c>
      <c r="G415" s="101" t="s">
        <v>133</v>
      </c>
      <c r="H415" s="102" t="n">
        <v>2.54</v>
      </c>
      <c r="I415" s="103" t="n">
        <v>10.16</v>
      </c>
      <c r="J415" s="104" t="s">
        <v>774</v>
      </c>
      <c r="K415" s="104" t="n">
        <v>1</v>
      </c>
      <c r="L415" s="101" t="n">
        <v>4</v>
      </c>
      <c r="M415" s="104" t="s">
        <v>902</v>
      </c>
      <c r="N415" s="98"/>
      <c r="O415" s="105" t="n">
        <f aca="false">IF(M415="Y",I415,IF(ISNUMBER(H415),H415*L415,0))</f>
        <v>10.16</v>
      </c>
      <c r="P415" s="106" t="str">
        <f aca="false">IF(J415="","",J415&amp;"|"&amp;A415&amp;"|"&amp;K415)</f>
        <v>R277|HD Fowler|1</v>
      </c>
    </row>
    <row r="416" customFormat="false" ht="15" hidden="false" customHeight="false" outlineLevel="0" collapsed="false">
      <c r="A416" s="98" t="s">
        <v>23</v>
      </c>
      <c r="B416" s="99" t="s">
        <v>1611</v>
      </c>
      <c r="C416" s="99" t="s">
        <v>745</v>
      </c>
      <c r="D416" s="98"/>
      <c r="E416" s="100" t="s">
        <v>1612</v>
      </c>
      <c r="F416" s="101" t="n">
        <v>100</v>
      </c>
      <c r="G416" s="101" t="s">
        <v>178</v>
      </c>
      <c r="H416" s="102" t="n">
        <v>0.59</v>
      </c>
      <c r="I416" s="103" t="n">
        <v>59</v>
      </c>
      <c r="J416" s="104" t="s">
        <v>760</v>
      </c>
      <c r="K416" s="104" t="n">
        <v>1</v>
      </c>
      <c r="L416" s="101" t="n">
        <v>100</v>
      </c>
      <c r="M416" s="104" t="s">
        <v>902</v>
      </c>
      <c r="N416" s="98"/>
      <c r="O416" s="105" t="n">
        <f aca="false">IF(M416="Y",I416,IF(ISNUMBER(H416),H416*L416,0))</f>
        <v>59</v>
      </c>
      <c r="P416" s="106" t="str">
        <f aca="false">IF(J416="","",J416&amp;"|"&amp;A416&amp;"|"&amp;K416)</f>
        <v>R271|HD Fowler|1</v>
      </c>
    </row>
    <row r="417" customFormat="false" ht="15" hidden="false" customHeight="false" outlineLevel="0" collapsed="false">
      <c r="A417" s="98" t="s">
        <v>23</v>
      </c>
      <c r="B417" s="99" t="s">
        <v>1613</v>
      </c>
      <c r="C417" s="99" t="s">
        <v>745</v>
      </c>
      <c r="D417" s="98"/>
      <c r="E417" s="100" t="s">
        <v>1459</v>
      </c>
      <c r="F417" s="101" t="n">
        <v>500</v>
      </c>
      <c r="G417" s="101" t="s">
        <v>473</v>
      </c>
      <c r="H417" s="102" t="n">
        <v>128.36</v>
      </c>
      <c r="I417" s="103" t="n">
        <v>128.36</v>
      </c>
      <c r="J417" s="104" t="s">
        <v>776</v>
      </c>
      <c r="K417" s="104" t="n">
        <v>1</v>
      </c>
      <c r="L417" s="101" t="n">
        <v>500</v>
      </c>
      <c r="M417" s="104" t="s">
        <v>902</v>
      </c>
      <c r="N417" s="98" t="s">
        <v>1460</v>
      </c>
      <c r="O417" s="105" t="n">
        <f aca="false">IF(M417="Y",I417,IF(ISNUMBER(H417),H417*L417,0))</f>
        <v>128.36</v>
      </c>
      <c r="P417" s="106" t="str">
        <f aca="false">IF(J417="","",J417&amp;"|"&amp;A417&amp;"|"&amp;K417)</f>
        <v>R278|HD Fowler|1</v>
      </c>
    </row>
    <row r="418" customFormat="false" ht="15" hidden="false" customHeight="false" outlineLevel="0" collapsed="false">
      <c r="A418" s="98" t="s">
        <v>23</v>
      </c>
      <c r="B418" s="99" t="s">
        <v>1614</v>
      </c>
      <c r="C418" s="99" t="s">
        <v>745</v>
      </c>
      <c r="D418" s="98"/>
      <c r="E418" s="100" t="s">
        <v>1615</v>
      </c>
      <c r="F418" s="101" t="n">
        <v>2</v>
      </c>
      <c r="G418" s="101" t="s">
        <v>133</v>
      </c>
      <c r="H418" s="102" t="n">
        <v>31.39</v>
      </c>
      <c r="I418" s="103" t="n">
        <v>62.78</v>
      </c>
      <c r="J418" s="104" t="s">
        <v>765</v>
      </c>
      <c r="K418" s="104" t="n">
        <v>1</v>
      </c>
      <c r="L418" s="101" t="n">
        <v>2</v>
      </c>
      <c r="M418" s="104" t="s">
        <v>902</v>
      </c>
      <c r="N418" s="98"/>
      <c r="O418" s="105" t="n">
        <f aca="false">IF(M418="Y",I418,IF(ISNUMBER(H418),H418*L418,0))</f>
        <v>62.78</v>
      </c>
      <c r="P418" s="106" t="str">
        <f aca="false">IF(J418="","",J418&amp;"|"&amp;A418&amp;"|"&amp;K418)</f>
        <v>R273|HD Fowler|1</v>
      </c>
    </row>
    <row r="419" customFormat="false" ht="15" hidden="false" customHeight="false" outlineLevel="0" collapsed="false">
      <c r="A419" s="98" t="s">
        <v>23</v>
      </c>
      <c r="B419" s="99" t="s">
        <v>1616</v>
      </c>
      <c r="C419" s="99" t="s">
        <v>745</v>
      </c>
      <c r="D419" s="98"/>
      <c r="E419" s="100" t="s">
        <v>1617</v>
      </c>
      <c r="F419" s="101" t="n">
        <v>1</v>
      </c>
      <c r="G419" s="101" t="s">
        <v>133</v>
      </c>
      <c r="H419" s="102" t="n">
        <v>307.01</v>
      </c>
      <c r="I419" s="103" t="n">
        <v>307.01</v>
      </c>
      <c r="J419" s="104" t="s">
        <v>762</v>
      </c>
      <c r="K419" s="104" t="n">
        <v>1</v>
      </c>
      <c r="L419" s="101" t="n">
        <v>1</v>
      </c>
      <c r="M419" s="104" t="s">
        <v>902</v>
      </c>
      <c r="N419" s="98"/>
      <c r="O419" s="105" t="n">
        <f aca="false">IF(M419="Y",I419,IF(ISNUMBER(H419),H419*L419,0))</f>
        <v>307.01</v>
      </c>
      <c r="P419" s="106" t="str">
        <f aca="false">IF(J419="","",J419&amp;"|"&amp;A419&amp;"|"&amp;K419)</f>
        <v>R272|HD Fowler|1</v>
      </c>
    </row>
    <row r="420" customFormat="false" ht="15" hidden="false" customHeight="false" outlineLevel="0" collapsed="false">
      <c r="A420" s="98" t="s">
        <v>23</v>
      </c>
      <c r="B420" s="99" t="s">
        <v>1618</v>
      </c>
      <c r="C420" s="99" t="s">
        <v>745</v>
      </c>
      <c r="D420" s="98"/>
      <c r="E420" s="100" t="s">
        <v>1619</v>
      </c>
      <c r="F420" s="101" t="n">
        <v>2</v>
      </c>
      <c r="G420" s="101" t="s">
        <v>133</v>
      </c>
      <c r="H420" s="102" t="n">
        <v>86.64</v>
      </c>
      <c r="I420" s="103" t="n">
        <v>173.28</v>
      </c>
      <c r="J420" s="104" t="s">
        <v>770</v>
      </c>
      <c r="K420" s="104" t="n">
        <v>1</v>
      </c>
      <c r="L420" s="101" t="n">
        <v>2</v>
      </c>
      <c r="M420" s="104" t="s">
        <v>902</v>
      </c>
      <c r="N420" s="98"/>
      <c r="O420" s="105" t="n">
        <f aca="false">IF(M420="Y",I420,IF(ISNUMBER(H420),H420*L420,0))</f>
        <v>173.28</v>
      </c>
      <c r="P420" s="106" t="str">
        <f aca="false">IF(J420="","",J420&amp;"|"&amp;A420&amp;"|"&amp;K420)</f>
        <v>R275|HD Fowler|1</v>
      </c>
    </row>
    <row r="421" customFormat="false" ht="15" hidden="false" customHeight="false" outlineLevel="0" collapsed="false">
      <c r="A421" s="98" t="s">
        <v>23</v>
      </c>
      <c r="B421" s="99" t="s">
        <v>1620</v>
      </c>
      <c r="C421" s="99" t="s">
        <v>745</v>
      </c>
      <c r="D421" s="98"/>
      <c r="E421" s="100" t="s">
        <v>1621</v>
      </c>
      <c r="F421" s="101" t="n">
        <v>1</v>
      </c>
      <c r="G421" s="101" t="s">
        <v>133</v>
      </c>
      <c r="H421" s="102" t="n">
        <v>137.09</v>
      </c>
      <c r="I421" s="103" t="n">
        <v>137.09</v>
      </c>
      <c r="J421" s="104" t="s">
        <v>772</v>
      </c>
      <c r="K421" s="104" t="n">
        <v>1</v>
      </c>
      <c r="L421" s="101" t="n">
        <v>1</v>
      </c>
      <c r="M421" s="104" t="s">
        <v>902</v>
      </c>
      <c r="N421" s="98"/>
      <c r="O421" s="105" t="n">
        <f aca="false">IF(M421="Y",I421,IF(ISNUMBER(H421),H421*L421,0))</f>
        <v>137.09</v>
      </c>
      <c r="P421" s="106" t="str">
        <f aca="false">IF(J421="","",J421&amp;"|"&amp;A421&amp;"|"&amp;K421)</f>
        <v>R276|HD Fowler|1</v>
      </c>
    </row>
    <row r="422" customFormat="false" ht="15" hidden="false" customHeight="false" outlineLevel="0" collapsed="false">
      <c r="A422" s="98" t="s">
        <v>23</v>
      </c>
      <c r="B422" s="99" t="s">
        <v>1622</v>
      </c>
      <c r="C422" s="99" t="s">
        <v>745</v>
      </c>
      <c r="D422" s="98"/>
      <c r="E422" s="100" t="s">
        <v>1615</v>
      </c>
      <c r="F422" s="101" t="n">
        <v>1</v>
      </c>
      <c r="G422" s="101" t="s">
        <v>133</v>
      </c>
      <c r="H422" s="102" t="n">
        <v>31.39</v>
      </c>
      <c r="I422" s="103" t="n">
        <v>31.39</v>
      </c>
      <c r="J422" s="104" t="s">
        <v>765</v>
      </c>
      <c r="K422" s="104" t="n">
        <v>1</v>
      </c>
      <c r="L422" s="101" t="n">
        <v>1</v>
      </c>
      <c r="M422" s="104" t="s">
        <v>902</v>
      </c>
      <c r="N422" s="98"/>
      <c r="O422" s="105" t="n">
        <f aca="false">IF(M422="Y",I422,IF(ISNUMBER(H422),H422*L422,0))</f>
        <v>31.39</v>
      </c>
      <c r="P422" s="106" t="str">
        <f aca="false">IF(J422="","",J422&amp;"|"&amp;A422&amp;"|"&amp;K422)</f>
        <v>R273|HD Fowler|1</v>
      </c>
    </row>
    <row r="423" customFormat="false" ht="15" hidden="false" customHeight="false" outlineLevel="0" collapsed="false">
      <c r="A423" s="98" t="s">
        <v>23</v>
      </c>
      <c r="B423" s="99" t="s">
        <v>1623</v>
      </c>
      <c r="C423" s="99" t="s">
        <v>745</v>
      </c>
      <c r="D423" s="98"/>
      <c r="E423" s="100" t="s">
        <v>1624</v>
      </c>
      <c r="F423" s="101" t="n">
        <v>1</v>
      </c>
      <c r="G423" s="101" t="s">
        <v>133</v>
      </c>
      <c r="H423" s="102" t="n">
        <v>45.76</v>
      </c>
      <c r="I423" s="103" t="n">
        <v>45.76</v>
      </c>
      <c r="J423" s="104" t="s">
        <v>744</v>
      </c>
      <c r="K423" s="104" t="n">
        <v>1</v>
      </c>
      <c r="L423" s="101" t="n">
        <v>1</v>
      </c>
      <c r="M423" s="104" t="s">
        <v>902</v>
      </c>
      <c r="N423" s="98"/>
      <c r="O423" s="105" t="n">
        <f aca="false">IF(M423="Y",I423,IF(ISNUMBER(H423),H423*L423,0))</f>
        <v>45.76</v>
      </c>
      <c r="P423" s="106" t="str">
        <f aca="false">IF(J423="","",J423&amp;"|"&amp;A423&amp;"|"&amp;K423)</f>
        <v>R266|HD Fowler|1</v>
      </c>
    </row>
    <row r="424" customFormat="false" ht="15" hidden="false" customHeight="false" outlineLevel="0" collapsed="false">
      <c r="A424" s="98" t="s">
        <v>23</v>
      </c>
      <c r="B424" s="99" t="s">
        <v>1625</v>
      </c>
      <c r="C424" s="99" t="s">
        <v>745</v>
      </c>
      <c r="D424" s="98"/>
      <c r="E424" s="100" t="s">
        <v>1626</v>
      </c>
      <c r="F424" s="101" t="n">
        <v>1</v>
      </c>
      <c r="G424" s="101" t="s">
        <v>133</v>
      </c>
      <c r="H424" s="102" t="n">
        <v>76.33</v>
      </c>
      <c r="I424" s="103" t="n">
        <v>76.33</v>
      </c>
      <c r="J424" s="104" t="s">
        <v>748</v>
      </c>
      <c r="K424" s="104" t="n">
        <v>1</v>
      </c>
      <c r="L424" s="101" t="n">
        <v>1</v>
      </c>
      <c r="M424" s="104" t="s">
        <v>902</v>
      </c>
      <c r="N424" s="98"/>
      <c r="O424" s="105" t="n">
        <f aca="false">IF(M424="Y",I424,IF(ISNUMBER(H424),H424*L424,0))</f>
        <v>76.33</v>
      </c>
      <c r="P424" s="106" t="str">
        <f aca="false">IF(J424="","",J424&amp;"|"&amp;A424&amp;"|"&amp;K424)</f>
        <v>R267|HD Fowler|1</v>
      </c>
    </row>
    <row r="425" customFormat="false" ht="15" hidden="false" customHeight="false" outlineLevel="0" collapsed="false">
      <c r="A425" s="98" t="s">
        <v>23</v>
      </c>
      <c r="B425" s="99" t="s">
        <v>1627</v>
      </c>
      <c r="C425" s="99" t="s">
        <v>745</v>
      </c>
      <c r="D425" s="98"/>
      <c r="E425" s="100" t="s">
        <v>1628</v>
      </c>
      <c r="F425" s="101" t="n">
        <v>1</v>
      </c>
      <c r="G425" s="101" t="s">
        <v>133</v>
      </c>
      <c r="H425" s="102" t="n">
        <v>224.07</v>
      </c>
      <c r="I425" s="103" t="n">
        <v>224.07</v>
      </c>
      <c r="J425" s="104" t="s">
        <v>750</v>
      </c>
      <c r="K425" s="104" t="n">
        <v>1</v>
      </c>
      <c r="L425" s="101" t="n">
        <v>1</v>
      </c>
      <c r="M425" s="104" t="s">
        <v>902</v>
      </c>
      <c r="N425" s="98"/>
      <c r="O425" s="105" t="n">
        <f aca="false">IF(M425="Y",I425,IF(ISNUMBER(H425),H425*L425,0))</f>
        <v>224.07</v>
      </c>
      <c r="P425" s="106" t="str">
        <f aca="false">IF(J425="","",J425&amp;"|"&amp;A425&amp;"|"&amp;K425)</f>
        <v>R268|HD Fowler|1</v>
      </c>
    </row>
    <row r="426" customFormat="false" ht="15" hidden="false" customHeight="false" outlineLevel="0" collapsed="false">
      <c r="A426" s="98" t="s">
        <v>23</v>
      </c>
      <c r="B426" s="99" t="s">
        <v>1629</v>
      </c>
      <c r="C426" s="99" t="s">
        <v>782</v>
      </c>
      <c r="D426" s="98"/>
      <c r="E426" s="100" t="s">
        <v>1630</v>
      </c>
      <c r="F426" s="101" t="n">
        <v>657</v>
      </c>
      <c r="G426" s="101" t="s">
        <v>178</v>
      </c>
      <c r="H426" s="102" t="n">
        <v>95.24</v>
      </c>
      <c r="I426" s="103" t="n">
        <v>62572.68</v>
      </c>
      <c r="J426" s="104" t="s">
        <v>781</v>
      </c>
      <c r="K426" s="104" t="n">
        <v>1</v>
      </c>
      <c r="L426" s="101" t="n">
        <v>657</v>
      </c>
      <c r="M426" s="104" t="s">
        <v>902</v>
      </c>
      <c r="N426" s="98"/>
      <c r="O426" s="105" t="n">
        <f aca="false">IF(M426="Y",I426,IF(ISNUMBER(H426),H426*L426,0))</f>
        <v>62572.68</v>
      </c>
      <c r="P426" s="106" t="str">
        <f aca="false">IF(J426="","",J426&amp;"|"&amp;A426&amp;"|"&amp;K426)</f>
        <v>R280|HD Fowler|1</v>
      </c>
    </row>
    <row r="427" customFormat="false" ht="15" hidden="false" customHeight="false" outlineLevel="0" collapsed="false">
      <c r="A427" s="98" t="s">
        <v>23</v>
      </c>
      <c r="B427" s="99" t="s">
        <v>1631</v>
      </c>
      <c r="C427" s="99" t="s">
        <v>782</v>
      </c>
      <c r="D427" s="98"/>
      <c r="E427" s="100" t="s">
        <v>1632</v>
      </c>
      <c r="F427" s="101" t="n">
        <v>36</v>
      </c>
      <c r="G427" s="101" t="s">
        <v>133</v>
      </c>
      <c r="H427" s="102" t="n">
        <v>681.52</v>
      </c>
      <c r="I427" s="103" t="n">
        <v>24534.72</v>
      </c>
      <c r="J427" s="104" t="s">
        <v>785</v>
      </c>
      <c r="K427" s="104" t="n">
        <v>1</v>
      </c>
      <c r="L427" s="101" t="n">
        <v>36</v>
      </c>
      <c r="M427" s="104" t="s">
        <v>902</v>
      </c>
      <c r="N427" s="98"/>
      <c r="O427" s="105" t="n">
        <f aca="false">IF(M427="Y",I427,IF(ISNUMBER(H427),H427*L427,0))</f>
        <v>24534.72</v>
      </c>
      <c r="P427" s="106" t="str">
        <f aca="false">IF(J427="","",J427&amp;"|"&amp;A427&amp;"|"&amp;K427)</f>
        <v>R281|HD Fowler|1</v>
      </c>
    </row>
    <row r="428" customFormat="false" ht="15" hidden="false" customHeight="false" outlineLevel="0" collapsed="false">
      <c r="A428" s="98" t="s">
        <v>23</v>
      </c>
      <c r="B428" s="99" t="s">
        <v>1633</v>
      </c>
      <c r="C428" s="99" t="s">
        <v>782</v>
      </c>
      <c r="D428" s="98"/>
      <c r="E428" s="100" t="s">
        <v>1634</v>
      </c>
      <c r="F428" s="101" t="n">
        <v>1320</v>
      </c>
      <c r="G428" s="101" t="s">
        <v>178</v>
      </c>
      <c r="H428" s="102" t="n">
        <v>2.12</v>
      </c>
      <c r="I428" s="103" t="n">
        <v>2798.4</v>
      </c>
      <c r="J428" s="104" t="s">
        <v>803</v>
      </c>
      <c r="K428" s="104" t="n">
        <v>1</v>
      </c>
      <c r="L428" s="101" t="n">
        <v>1320</v>
      </c>
      <c r="M428" s="104" t="s">
        <v>902</v>
      </c>
      <c r="N428" s="98"/>
      <c r="O428" s="105" t="n">
        <f aca="false">IF(M428="Y",I428,IF(ISNUMBER(H428),H428*L428,0))</f>
        <v>2798.4</v>
      </c>
      <c r="P428" s="106" t="str">
        <f aca="false">IF(J428="","",J428&amp;"|"&amp;A428&amp;"|"&amp;K428)</f>
        <v>R290|HD Fowler|1</v>
      </c>
    </row>
    <row r="429" customFormat="false" ht="15" hidden="false" customHeight="false" outlineLevel="0" collapsed="false">
      <c r="A429" s="98" t="s">
        <v>23</v>
      </c>
      <c r="B429" s="99" t="s">
        <v>1635</v>
      </c>
      <c r="C429" s="99" t="s">
        <v>782</v>
      </c>
      <c r="D429" s="98"/>
      <c r="E429" s="100" t="s">
        <v>1636</v>
      </c>
      <c r="F429" s="101" t="n">
        <v>1</v>
      </c>
      <c r="G429" s="101" t="s">
        <v>133</v>
      </c>
      <c r="H429" s="102" t="n">
        <v>856.54</v>
      </c>
      <c r="I429" s="103" t="n">
        <v>856.54</v>
      </c>
      <c r="J429" s="104" t="s">
        <v>788</v>
      </c>
      <c r="K429" s="104" t="n">
        <v>1</v>
      </c>
      <c r="L429" s="101" t="n">
        <v>1</v>
      </c>
      <c r="M429" s="104" t="s">
        <v>902</v>
      </c>
      <c r="N429" s="98"/>
      <c r="O429" s="105" t="n">
        <f aca="false">IF(M429="Y",I429,IF(ISNUMBER(H429),H429*L429,0))</f>
        <v>856.54</v>
      </c>
      <c r="P429" s="106" t="str">
        <f aca="false">IF(J429="","",J429&amp;"|"&amp;A429&amp;"|"&amp;K429)</f>
        <v>R282|HD Fowler|1</v>
      </c>
    </row>
    <row r="430" customFormat="false" ht="15" hidden="false" customHeight="false" outlineLevel="0" collapsed="false">
      <c r="A430" s="98" t="s">
        <v>23</v>
      </c>
      <c r="B430" s="99" t="s">
        <v>1637</v>
      </c>
      <c r="C430" s="99" t="s">
        <v>782</v>
      </c>
      <c r="D430" s="98"/>
      <c r="E430" s="100" t="s">
        <v>1638</v>
      </c>
      <c r="F430" s="101" t="n">
        <v>1</v>
      </c>
      <c r="G430" s="101" t="s">
        <v>133</v>
      </c>
      <c r="H430" s="102" t="n">
        <v>1561.46</v>
      </c>
      <c r="I430" s="103" t="n">
        <v>1561.46</v>
      </c>
      <c r="J430" s="104" t="s">
        <v>792</v>
      </c>
      <c r="K430" s="104" t="n">
        <v>1</v>
      </c>
      <c r="L430" s="101" t="n">
        <v>1</v>
      </c>
      <c r="M430" s="104" t="s">
        <v>902</v>
      </c>
      <c r="N430" s="98"/>
      <c r="O430" s="105" t="n">
        <f aca="false">IF(M430="Y",I430,IF(ISNUMBER(H430),H430*L430,0))</f>
        <v>1561.46</v>
      </c>
      <c r="P430" s="106" t="str">
        <f aca="false">IF(J430="","",J430&amp;"|"&amp;A430&amp;"|"&amp;K430)</f>
        <v>R284|HD Fowler|1</v>
      </c>
    </row>
    <row r="431" customFormat="false" ht="15" hidden="false" customHeight="false" outlineLevel="0" collapsed="false">
      <c r="A431" s="98" t="s">
        <v>23</v>
      </c>
      <c r="B431" s="99" t="s">
        <v>1639</v>
      </c>
      <c r="C431" s="99" t="s">
        <v>782</v>
      </c>
      <c r="D431" s="98"/>
      <c r="E431" s="100" t="s">
        <v>1640</v>
      </c>
      <c r="F431" s="101" t="n">
        <v>3</v>
      </c>
      <c r="G431" s="101" t="s">
        <v>133</v>
      </c>
      <c r="H431" s="102" t="n">
        <v>784.43</v>
      </c>
      <c r="I431" s="103" t="n">
        <v>2353.29</v>
      </c>
      <c r="J431" s="104" t="s">
        <v>790</v>
      </c>
      <c r="K431" s="104" t="n">
        <v>1</v>
      </c>
      <c r="L431" s="101" t="n">
        <v>3</v>
      </c>
      <c r="M431" s="104" t="s">
        <v>902</v>
      </c>
      <c r="N431" s="98"/>
      <c r="O431" s="105" t="n">
        <f aca="false">IF(M431="Y",I431,IF(ISNUMBER(H431),H431*L431,0))</f>
        <v>2353.29</v>
      </c>
      <c r="P431" s="106" t="str">
        <f aca="false">IF(J431="","",J431&amp;"|"&amp;A431&amp;"|"&amp;K431)</f>
        <v>R283|HD Fowler|1</v>
      </c>
    </row>
    <row r="432" customFormat="false" ht="15" hidden="false" customHeight="false" outlineLevel="0" collapsed="false">
      <c r="A432" s="98" t="s">
        <v>23</v>
      </c>
      <c r="B432" s="99" t="s">
        <v>1641</v>
      </c>
      <c r="C432" s="99" t="s">
        <v>782</v>
      </c>
      <c r="D432" s="98"/>
      <c r="E432" s="100" t="s">
        <v>1642</v>
      </c>
      <c r="F432" s="101" t="n">
        <v>4</v>
      </c>
      <c r="G432" s="101" t="s">
        <v>133</v>
      </c>
      <c r="H432" s="102" t="n">
        <v>21.4</v>
      </c>
      <c r="I432" s="103" t="n">
        <v>85.6</v>
      </c>
      <c r="J432" s="104" t="s">
        <v>805</v>
      </c>
      <c r="K432" s="104" t="n">
        <v>1</v>
      </c>
      <c r="L432" s="101" t="n">
        <v>4</v>
      </c>
      <c r="M432" s="104" t="s">
        <v>902</v>
      </c>
      <c r="N432" s="98"/>
      <c r="O432" s="105" t="n">
        <f aca="false">IF(M432="Y",I432,IF(ISNUMBER(H432),H432*L432,0))</f>
        <v>85.6</v>
      </c>
      <c r="P432" s="106" t="str">
        <f aca="false">IF(J432="","",J432&amp;"|"&amp;A432&amp;"|"&amp;K432)</f>
        <v>R291|HD Fowler|1</v>
      </c>
    </row>
    <row r="433" customFormat="false" ht="15" hidden="false" customHeight="false" outlineLevel="0" collapsed="false">
      <c r="A433" s="98" t="s">
        <v>23</v>
      </c>
      <c r="B433" s="99" t="s">
        <v>1643</v>
      </c>
      <c r="C433" s="99" t="s">
        <v>782</v>
      </c>
      <c r="D433" s="98"/>
      <c r="E433" s="100" t="s">
        <v>1644</v>
      </c>
      <c r="F433" s="101" t="n">
        <v>1</v>
      </c>
      <c r="G433" s="101" t="s">
        <v>133</v>
      </c>
      <c r="H433" s="102" t="n">
        <v>563.07</v>
      </c>
      <c r="I433" s="103" t="n">
        <v>563.07</v>
      </c>
      <c r="J433" s="104" t="s">
        <v>797</v>
      </c>
      <c r="K433" s="104" t="n">
        <v>1</v>
      </c>
      <c r="L433" s="101" t="n">
        <v>1</v>
      </c>
      <c r="M433" s="104" t="s">
        <v>902</v>
      </c>
      <c r="N433" s="98"/>
      <c r="O433" s="105" t="n">
        <f aca="false">IF(M433="Y",I433,IF(ISNUMBER(H433),H433*L433,0))</f>
        <v>563.07</v>
      </c>
      <c r="P433" s="106" t="str">
        <f aca="false">IF(J433="","",J433&amp;"|"&amp;A433&amp;"|"&amp;K433)</f>
        <v>R286|HD Fowler|1</v>
      </c>
    </row>
    <row r="434" customFormat="false" ht="15" hidden="false" customHeight="false" outlineLevel="0" collapsed="false">
      <c r="A434" s="98" t="s">
        <v>23</v>
      </c>
      <c r="B434" s="99" t="s">
        <v>1645</v>
      </c>
      <c r="C434" s="99" t="s">
        <v>782</v>
      </c>
      <c r="D434" s="98"/>
      <c r="E434" s="100" t="s">
        <v>1646</v>
      </c>
      <c r="F434" s="101" t="n">
        <v>7</v>
      </c>
      <c r="G434" s="101" t="s">
        <v>133</v>
      </c>
      <c r="H434" s="102" t="n">
        <v>273.18</v>
      </c>
      <c r="I434" s="103" t="n">
        <v>1912.26</v>
      </c>
      <c r="J434" s="104" t="s">
        <v>799</v>
      </c>
      <c r="K434" s="104" t="n">
        <v>1</v>
      </c>
      <c r="L434" s="101" t="n">
        <v>7</v>
      </c>
      <c r="M434" s="104" t="s">
        <v>902</v>
      </c>
      <c r="N434" s="98"/>
      <c r="O434" s="105" t="n">
        <f aca="false">IF(M434="Y",I434,IF(ISNUMBER(H434),H434*L434,0))</f>
        <v>1912.26</v>
      </c>
      <c r="P434" s="106" t="str">
        <f aca="false">IF(J434="","",J434&amp;"|"&amp;A434&amp;"|"&amp;K434)</f>
        <v>R287|HD Fowler|1</v>
      </c>
    </row>
    <row r="435" customFormat="false" ht="15" hidden="false" customHeight="false" outlineLevel="0" collapsed="false">
      <c r="A435" s="98" t="s">
        <v>23</v>
      </c>
      <c r="B435" s="99" t="s">
        <v>1647</v>
      </c>
      <c r="C435" s="99" t="s">
        <v>782</v>
      </c>
      <c r="D435" s="98"/>
      <c r="E435" s="100" t="s">
        <v>1648</v>
      </c>
      <c r="F435" s="101" t="n">
        <v>1020</v>
      </c>
      <c r="G435" s="101" t="s">
        <v>178</v>
      </c>
      <c r="H435" s="102" t="n">
        <v>1.45</v>
      </c>
      <c r="I435" s="103" t="n">
        <v>1479</v>
      </c>
      <c r="J435" s="104" t="s">
        <v>827</v>
      </c>
      <c r="K435" s="104" t="n">
        <v>1</v>
      </c>
      <c r="L435" s="101" t="n">
        <v>1020</v>
      </c>
      <c r="M435" s="104" t="s">
        <v>902</v>
      </c>
      <c r="N435" s="98"/>
      <c r="O435" s="105" t="n">
        <f aca="false">IF(M435="Y",I435,IF(ISNUMBER(H435),H435*L435,0))</f>
        <v>1479</v>
      </c>
      <c r="P435" s="106" t="str">
        <f aca="false">IF(J435="","",J435&amp;"|"&amp;A435&amp;"|"&amp;K435)</f>
        <v>R299|HD Fowler|1</v>
      </c>
    </row>
    <row r="436" customFormat="false" ht="15" hidden="false" customHeight="false" outlineLevel="0" collapsed="false">
      <c r="A436" s="98" t="s">
        <v>23</v>
      </c>
      <c r="B436" s="99" t="s">
        <v>1649</v>
      </c>
      <c r="C436" s="99" t="s">
        <v>782</v>
      </c>
      <c r="D436" s="98"/>
      <c r="E436" s="100" t="s">
        <v>1466</v>
      </c>
      <c r="F436" s="101" t="n">
        <v>15</v>
      </c>
      <c r="G436" s="101" t="s">
        <v>473</v>
      </c>
      <c r="H436" s="102" t="n">
        <v>6.64</v>
      </c>
      <c r="I436" s="103" t="n">
        <v>99.6</v>
      </c>
      <c r="J436" s="104" t="s">
        <v>829</v>
      </c>
      <c r="K436" s="104" t="n">
        <v>1</v>
      </c>
      <c r="L436" s="101" t="n">
        <v>15</v>
      </c>
      <c r="M436" s="104" t="s">
        <v>902</v>
      </c>
      <c r="N436" s="98"/>
      <c r="O436" s="105" t="n">
        <f aca="false">IF(M436="Y",I436,IF(ISNUMBER(H436),H436*L436,0))</f>
        <v>99.6</v>
      </c>
      <c r="P436" s="106" t="str">
        <f aca="false">IF(J436="","",J436&amp;"|"&amp;A436&amp;"|"&amp;K436)</f>
        <v>R300|HD Fowler|1</v>
      </c>
    </row>
    <row r="437" customFormat="false" ht="15" hidden="false" customHeight="false" outlineLevel="0" collapsed="false">
      <c r="A437" s="107" t="s">
        <v>23</v>
      </c>
      <c r="B437" s="108" t="s">
        <v>1650</v>
      </c>
      <c r="C437" s="108" t="s">
        <v>782</v>
      </c>
      <c r="D437" s="107"/>
      <c r="E437" s="109" t="s">
        <v>1468</v>
      </c>
      <c r="F437" s="110" t="s">
        <v>1456</v>
      </c>
      <c r="G437" s="110" t="s">
        <v>133</v>
      </c>
      <c r="H437" s="111" t="n">
        <v>647.81</v>
      </c>
      <c r="I437" s="112"/>
      <c r="J437" s="113" t="s">
        <v>831</v>
      </c>
      <c r="K437" s="113" t="n">
        <v>1</v>
      </c>
      <c r="L437" s="110" t="n">
        <v>1</v>
      </c>
      <c r="M437" s="113" t="s">
        <v>1362</v>
      </c>
      <c r="N437" s="107" t="s">
        <v>1457</v>
      </c>
      <c r="O437" s="114" t="n">
        <f aca="false">IF(M437="Y",I437,IF(ISNUMBER(H437),H437*L437,0))</f>
        <v>647.81</v>
      </c>
      <c r="P437" s="115" t="str">
        <f aca="false">IF(J437="","",J437&amp;"|"&amp;A437&amp;"|"&amp;K437)</f>
        <v>R302|HD Fowler|1</v>
      </c>
    </row>
    <row r="438" customFormat="false" ht="15" hidden="false" customHeight="false" outlineLevel="0" collapsed="false">
      <c r="A438" s="98" t="s">
        <v>23</v>
      </c>
      <c r="B438" s="99" t="s">
        <v>1651</v>
      </c>
      <c r="C438" s="99" t="s">
        <v>782</v>
      </c>
      <c r="D438" s="98"/>
      <c r="E438" s="100" t="s">
        <v>1470</v>
      </c>
      <c r="F438" s="101" t="n">
        <v>2</v>
      </c>
      <c r="G438" s="101" t="s">
        <v>133</v>
      </c>
      <c r="H438" s="102" t="n">
        <v>42.82</v>
      </c>
      <c r="I438" s="103" t="n">
        <v>85.64</v>
      </c>
      <c r="J438" s="104" t="s">
        <v>830</v>
      </c>
      <c r="K438" s="104" t="n">
        <v>1</v>
      </c>
      <c r="L438" s="101" t="n">
        <v>2</v>
      </c>
      <c r="M438" s="104" t="s">
        <v>902</v>
      </c>
      <c r="N438" s="98"/>
      <c r="O438" s="105" t="n">
        <f aca="false">IF(M438="Y",I438,IF(ISNUMBER(H438),H438*L438,0))</f>
        <v>85.64</v>
      </c>
      <c r="P438" s="106" t="str">
        <f aca="false">IF(J438="","",J438&amp;"|"&amp;A438&amp;"|"&amp;K438)</f>
        <v>R301|HD Fowler|1</v>
      </c>
    </row>
    <row r="439" customFormat="false" ht="15" hidden="false" customHeight="false" outlineLevel="0" collapsed="false">
      <c r="A439" s="107" t="s">
        <v>23</v>
      </c>
      <c r="B439" s="108" t="s">
        <v>1652</v>
      </c>
      <c r="C439" s="108" t="s">
        <v>782</v>
      </c>
      <c r="D439" s="107"/>
      <c r="E439" s="109" t="s">
        <v>1653</v>
      </c>
      <c r="F439" s="110" t="n">
        <v>575</v>
      </c>
      <c r="G439" s="110" t="s">
        <v>178</v>
      </c>
      <c r="H439" s="111"/>
      <c r="I439" s="112"/>
      <c r="J439" s="113"/>
      <c r="K439" s="113"/>
      <c r="L439" s="110" t="n">
        <v>0</v>
      </c>
      <c r="M439" s="113" t="s">
        <v>1362</v>
      </c>
      <c r="N439" s="107" t="s">
        <v>1654</v>
      </c>
      <c r="O439" s="114" t="n">
        <f aca="false">IF(M439="Y",I439,IF(ISNUMBER(H439),H439*L439,0))</f>
        <v>0</v>
      </c>
      <c r="P439" s="115" t="str">
        <f aca="false">IF(J439="","",J439&amp;"|"&amp;A439&amp;"|"&amp;K439)</f>
        <v/>
      </c>
    </row>
    <row r="440" customFormat="false" ht="15" hidden="false" customHeight="false" outlineLevel="0" collapsed="false">
      <c r="A440" s="107" t="s">
        <v>23</v>
      </c>
      <c r="B440" s="108" t="s">
        <v>1655</v>
      </c>
      <c r="C440" s="108" t="s">
        <v>782</v>
      </c>
      <c r="D440" s="107"/>
      <c r="E440" s="109" t="s">
        <v>1656</v>
      </c>
      <c r="F440" s="110" t="n">
        <v>0</v>
      </c>
      <c r="G440" s="110" t="s">
        <v>133</v>
      </c>
      <c r="H440" s="111"/>
      <c r="I440" s="112"/>
      <c r="J440" s="113"/>
      <c r="K440" s="113"/>
      <c r="L440" s="110" t="n">
        <v>0</v>
      </c>
      <c r="M440" s="113" t="s">
        <v>1362</v>
      </c>
      <c r="N440" s="107" t="s">
        <v>1657</v>
      </c>
      <c r="O440" s="114" t="n">
        <f aca="false">IF(M440="Y",I440,IF(ISNUMBER(H440),H440*L440,0))</f>
        <v>0</v>
      </c>
      <c r="P440" s="115" t="str">
        <f aca="false">IF(J440="","",J440&amp;"|"&amp;A440&amp;"|"&amp;K440)</f>
        <v/>
      </c>
    </row>
    <row r="441" customFormat="false" ht="15" hidden="false" customHeight="false" outlineLevel="0" collapsed="false">
      <c r="A441" s="107" t="s">
        <v>23</v>
      </c>
      <c r="B441" s="108" t="s">
        <v>1658</v>
      </c>
      <c r="C441" s="108" t="s">
        <v>782</v>
      </c>
      <c r="D441" s="107"/>
      <c r="E441" s="109" t="s">
        <v>1659</v>
      </c>
      <c r="F441" s="110" t="n">
        <v>0</v>
      </c>
      <c r="G441" s="110" t="s">
        <v>133</v>
      </c>
      <c r="H441" s="111"/>
      <c r="I441" s="112"/>
      <c r="J441" s="113"/>
      <c r="K441" s="113"/>
      <c r="L441" s="110" t="n">
        <v>0</v>
      </c>
      <c r="M441" s="113" t="s">
        <v>1362</v>
      </c>
      <c r="N441" s="107" t="s">
        <v>1657</v>
      </c>
      <c r="O441" s="114" t="n">
        <f aca="false">IF(M441="Y",I441,IF(ISNUMBER(H441),H441*L441,0))</f>
        <v>0</v>
      </c>
      <c r="P441" s="115" t="str">
        <f aca="false">IF(J441="","",J441&amp;"|"&amp;A441&amp;"|"&amp;K441)</f>
        <v/>
      </c>
    </row>
    <row r="442" customFormat="false" ht="15" hidden="false" customHeight="false" outlineLevel="0" collapsed="false">
      <c r="A442" s="98" t="s">
        <v>23</v>
      </c>
      <c r="B442" s="99" t="s">
        <v>1660</v>
      </c>
      <c r="C442" s="99" t="s">
        <v>782</v>
      </c>
      <c r="D442" s="98"/>
      <c r="E442" s="100" t="s">
        <v>1661</v>
      </c>
      <c r="F442" s="101" t="n">
        <v>1</v>
      </c>
      <c r="G442" s="101" t="s">
        <v>133</v>
      </c>
      <c r="H442" s="102" t="n">
        <v>664.65</v>
      </c>
      <c r="I442" s="103" t="n">
        <v>664.65</v>
      </c>
      <c r="J442" s="104" t="s">
        <v>723</v>
      </c>
      <c r="K442" s="104" t="n">
        <v>1</v>
      </c>
      <c r="L442" s="101" t="n">
        <v>1</v>
      </c>
      <c r="M442" s="104" t="s">
        <v>902</v>
      </c>
      <c r="N442" s="98"/>
      <c r="O442" s="105" t="n">
        <f aca="false">IF(M442="Y",I442,IF(ISNUMBER(H442),H442*L442,0))</f>
        <v>664.65</v>
      </c>
      <c r="P442" s="106" t="str">
        <f aca="false">IF(J442="","",J442&amp;"|"&amp;A442&amp;"|"&amp;K442)</f>
        <v>R258|HD Fowler|1</v>
      </c>
    </row>
    <row r="443" customFormat="false" ht="15" hidden="false" customHeight="false" outlineLevel="0" collapsed="false">
      <c r="A443" s="98" t="s">
        <v>23</v>
      </c>
      <c r="B443" s="99" t="s">
        <v>1662</v>
      </c>
      <c r="C443" s="99" t="s">
        <v>782</v>
      </c>
      <c r="D443" s="98"/>
      <c r="E443" s="100" t="s">
        <v>1663</v>
      </c>
      <c r="F443" s="101" t="n">
        <v>1</v>
      </c>
      <c r="G443" s="101" t="s">
        <v>133</v>
      </c>
      <c r="H443" s="102" t="n">
        <v>57.5</v>
      </c>
      <c r="I443" s="103" t="n">
        <v>57.5</v>
      </c>
      <c r="J443" s="104" t="s">
        <v>731</v>
      </c>
      <c r="K443" s="104" t="n">
        <v>1</v>
      </c>
      <c r="L443" s="101" t="n">
        <v>1</v>
      </c>
      <c r="M443" s="104" t="s">
        <v>902</v>
      </c>
      <c r="N443" s="98"/>
      <c r="O443" s="105" t="n">
        <f aca="false">IF(M443="Y",I443,IF(ISNUMBER(H443),H443*L443,0))</f>
        <v>57.5</v>
      </c>
      <c r="P443" s="106" t="str">
        <f aca="false">IF(J443="","",J443&amp;"|"&amp;A443&amp;"|"&amp;K443)</f>
        <v>R261|HD Fowler|1</v>
      </c>
    </row>
    <row r="444" customFormat="false" ht="15" hidden="false" customHeight="false" outlineLevel="0" collapsed="false">
      <c r="A444" s="98" t="s">
        <v>23</v>
      </c>
      <c r="B444" s="99" t="s">
        <v>1664</v>
      </c>
      <c r="C444" s="99" t="s">
        <v>782</v>
      </c>
      <c r="D444" s="98"/>
      <c r="E444" s="100" t="s">
        <v>1665</v>
      </c>
      <c r="F444" s="101" t="n">
        <v>1</v>
      </c>
      <c r="G444" s="101" t="s">
        <v>133</v>
      </c>
      <c r="H444" s="102" t="n">
        <v>372.94</v>
      </c>
      <c r="I444" s="103" t="n">
        <v>372.94</v>
      </c>
      <c r="J444" s="104" t="s">
        <v>726</v>
      </c>
      <c r="K444" s="104" t="n">
        <v>1</v>
      </c>
      <c r="L444" s="101" t="n">
        <v>1</v>
      </c>
      <c r="M444" s="104" t="s">
        <v>902</v>
      </c>
      <c r="N444" s="98"/>
      <c r="O444" s="105" t="n">
        <f aca="false">IF(M444="Y",I444,IF(ISNUMBER(H444),H444*L444,0))</f>
        <v>372.94</v>
      </c>
      <c r="P444" s="106" t="str">
        <f aca="false">IF(J444="","",J444&amp;"|"&amp;A444&amp;"|"&amp;K444)</f>
        <v>R259|HD Fowler|1</v>
      </c>
    </row>
    <row r="445" customFormat="false" ht="15" hidden="false" customHeight="false" outlineLevel="0" collapsed="false">
      <c r="A445" s="98" t="s">
        <v>23</v>
      </c>
      <c r="B445" s="99" t="s">
        <v>1666</v>
      </c>
      <c r="C445" s="99" t="s">
        <v>782</v>
      </c>
      <c r="D445" s="98"/>
      <c r="E445" s="100" t="s">
        <v>1667</v>
      </c>
      <c r="F445" s="101" t="n">
        <v>2</v>
      </c>
      <c r="G445" s="101" t="s">
        <v>133</v>
      </c>
      <c r="H445" s="102" t="n">
        <v>3.28</v>
      </c>
      <c r="I445" s="103" t="n">
        <v>6.56</v>
      </c>
      <c r="J445" s="104" t="s">
        <v>736</v>
      </c>
      <c r="K445" s="104" t="n">
        <v>1</v>
      </c>
      <c r="L445" s="101" t="n">
        <v>2</v>
      </c>
      <c r="M445" s="104" t="s">
        <v>902</v>
      </c>
      <c r="N445" s="98"/>
      <c r="O445" s="105" t="n">
        <f aca="false">IF(M445="Y",I445,IF(ISNUMBER(H445),H445*L445,0))</f>
        <v>6.56</v>
      </c>
      <c r="P445" s="106" t="str">
        <f aca="false">IF(J445="","",J445&amp;"|"&amp;A445&amp;"|"&amp;K445)</f>
        <v>R263|HD Fowler|1</v>
      </c>
    </row>
    <row r="446" customFormat="false" ht="15" hidden="false" customHeight="false" outlineLevel="0" collapsed="false">
      <c r="A446" s="98" t="s">
        <v>23</v>
      </c>
      <c r="B446" s="99" t="s">
        <v>1668</v>
      </c>
      <c r="C446" s="99" t="s">
        <v>782</v>
      </c>
      <c r="D446" s="98"/>
      <c r="E446" s="100" t="s">
        <v>1669</v>
      </c>
      <c r="F446" s="101" t="n">
        <v>100</v>
      </c>
      <c r="G446" s="101" t="s">
        <v>178</v>
      </c>
      <c r="H446" s="102" t="n">
        <v>2.13</v>
      </c>
      <c r="I446" s="103" t="n">
        <v>213</v>
      </c>
      <c r="J446" s="104" t="s">
        <v>733</v>
      </c>
      <c r="K446" s="104" t="n">
        <v>1</v>
      </c>
      <c r="L446" s="101" t="n">
        <v>100</v>
      </c>
      <c r="M446" s="104" t="s">
        <v>902</v>
      </c>
      <c r="N446" s="98"/>
      <c r="O446" s="105" t="n">
        <f aca="false">IF(M446="Y",I446,IF(ISNUMBER(H446),H446*L446,0))</f>
        <v>213</v>
      </c>
      <c r="P446" s="106" t="str">
        <f aca="false">IF(J446="","",J446&amp;"|"&amp;A446&amp;"|"&amp;K446)</f>
        <v>R262|HD Fowler|1</v>
      </c>
    </row>
    <row r="447" customFormat="false" ht="15" hidden="false" customHeight="false" outlineLevel="0" collapsed="false">
      <c r="A447" s="98" t="s">
        <v>23</v>
      </c>
      <c r="B447" s="99" t="s">
        <v>1670</v>
      </c>
      <c r="C447" s="99" t="s">
        <v>782</v>
      </c>
      <c r="D447" s="98"/>
      <c r="E447" s="100" t="s">
        <v>1671</v>
      </c>
      <c r="F447" s="101" t="n">
        <v>1</v>
      </c>
      <c r="G447" s="101" t="s">
        <v>133</v>
      </c>
      <c r="H447" s="102" t="n">
        <v>112.07</v>
      </c>
      <c r="I447" s="103" t="n">
        <v>112.07</v>
      </c>
      <c r="J447" s="104" t="s">
        <v>729</v>
      </c>
      <c r="K447" s="104" t="n">
        <v>1</v>
      </c>
      <c r="L447" s="101" t="n">
        <v>1</v>
      </c>
      <c r="M447" s="104" t="s">
        <v>902</v>
      </c>
      <c r="N447" s="98"/>
      <c r="O447" s="105" t="n">
        <f aca="false">IF(M447="Y",I447,IF(ISNUMBER(H447),H447*L447,0))</f>
        <v>112.07</v>
      </c>
      <c r="P447" s="106" t="str">
        <f aca="false">IF(J447="","",J447&amp;"|"&amp;A447&amp;"|"&amp;K447)</f>
        <v>R260|HD Fowler|1</v>
      </c>
    </row>
    <row r="448" customFormat="false" ht="15" hidden="false" customHeight="false" outlineLevel="0" collapsed="false">
      <c r="A448" s="98" t="s">
        <v>23</v>
      </c>
      <c r="B448" s="99" t="s">
        <v>1672</v>
      </c>
      <c r="C448" s="99" t="s">
        <v>1673</v>
      </c>
      <c r="D448" s="98"/>
      <c r="E448" s="100" t="s">
        <v>1674</v>
      </c>
      <c r="F448" s="101" t="n">
        <v>1</v>
      </c>
      <c r="G448" s="101" t="s">
        <v>133</v>
      </c>
      <c r="H448" s="102" t="n">
        <v>150</v>
      </c>
      <c r="I448" s="103" t="n">
        <v>150</v>
      </c>
      <c r="J448" s="104" t="s">
        <v>837</v>
      </c>
      <c r="K448" s="104" t="n">
        <v>1</v>
      </c>
      <c r="L448" s="101" t="n">
        <v>1</v>
      </c>
      <c r="M448" s="104" t="s">
        <v>902</v>
      </c>
      <c r="N448" s="98"/>
      <c r="O448" s="105" t="n">
        <f aca="false">IF(M448="Y",I448,IF(ISNUMBER(H448),H448*L448,0))</f>
        <v>150</v>
      </c>
      <c r="P448" s="106" t="str">
        <f aca="false">IF(J448="","",J448&amp;"|"&amp;A448&amp;"|"&amp;K448)</f>
        <v>R305|HD Fowler|1</v>
      </c>
    </row>
    <row r="449" customFormat="false" ht="15" hidden="false" customHeight="false" outlineLevel="0" collapsed="false">
      <c r="A449" s="98" t="s">
        <v>23</v>
      </c>
      <c r="B449" s="99" t="s">
        <v>1675</v>
      </c>
      <c r="C449" s="99" t="s">
        <v>1673</v>
      </c>
      <c r="D449" s="98"/>
      <c r="E449" s="100" t="s">
        <v>1676</v>
      </c>
      <c r="F449" s="101" t="n">
        <v>1</v>
      </c>
      <c r="G449" s="101" t="s">
        <v>133</v>
      </c>
      <c r="H449" s="102" t="n">
        <v>2000</v>
      </c>
      <c r="I449" s="103" t="n">
        <v>2000</v>
      </c>
      <c r="J449" s="104" t="s">
        <v>841</v>
      </c>
      <c r="K449" s="104" t="n">
        <v>1</v>
      </c>
      <c r="L449" s="101" t="n">
        <v>1</v>
      </c>
      <c r="M449" s="104" t="s">
        <v>902</v>
      </c>
      <c r="N449" s="98"/>
      <c r="O449" s="105" t="n">
        <f aca="false">IF(M449="Y",I449,IF(ISNUMBER(H449),H449*L449,0))</f>
        <v>2000</v>
      </c>
      <c r="P449" s="106" t="str">
        <f aca="false">IF(J449="","",J449&amp;"|"&amp;A449&amp;"|"&amp;K449)</f>
        <v>R306|HD Fowler|1</v>
      </c>
    </row>
    <row r="450" customFormat="false" ht="15" hidden="false" customHeight="false" outlineLevel="0" collapsed="false">
      <c r="A450" s="98" t="s">
        <v>27</v>
      </c>
      <c r="B450" s="99" t="s">
        <v>1677</v>
      </c>
      <c r="C450" s="99" t="s">
        <v>130</v>
      </c>
      <c r="D450" s="98" t="s">
        <v>900</v>
      </c>
      <c r="E450" s="100" t="s">
        <v>1678</v>
      </c>
      <c r="F450" s="101" t="n">
        <v>2</v>
      </c>
      <c r="G450" s="101" t="s">
        <v>1679</v>
      </c>
      <c r="H450" s="102" t="n">
        <v>589.024</v>
      </c>
      <c r="I450" s="103" t="n">
        <v>1178.05</v>
      </c>
      <c r="J450" s="104" t="s">
        <v>140</v>
      </c>
      <c r="K450" s="104" t="n">
        <v>1</v>
      </c>
      <c r="L450" s="101" t="n">
        <v>2</v>
      </c>
      <c r="M450" s="104" t="s">
        <v>902</v>
      </c>
      <c r="N450" s="98"/>
      <c r="O450" s="105" t="n">
        <f aca="false">IF(M450="Y",I450,IF(ISNUMBER(H450),H450*L450,0))</f>
        <v>1178.05</v>
      </c>
      <c r="P450" s="106" t="str">
        <f aca="false">IF(J450="","",J450&amp;"|"&amp;A450&amp;"|"&amp;K450)</f>
        <v>R004|Mountainland|1</v>
      </c>
    </row>
    <row r="451" customFormat="false" ht="15" hidden="false" customHeight="false" outlineLevel="0" collapsed="false">
      <c r="A451" s="98" t="s">
        <v>27</v>
      </c>
      <c r="B451" s="99" t="s">
        <v>1680</v>
      </c>
      <c r="C451" s="99" t="s">
        <v>130</v>
      </c>
      <c r="D451" s="98" t="s">
        <v>900</v>
      </c>
      <c r="E451" s="100" t="s">
        <v>1681</v>
      </c>
      <c r="F451" s="101" t="n">
        <v>1</v>
      </c>
      <c r="G451" s="101" t="s">
        <v>1679</v>
      </c>
      <c r="H451" s="102" t="n">
        <v>241.176</v>
      </c>
      <c r="I451" s="103" t="n">
        <v>241.18</v>
      </c>
      <c r="J451" s="104" t="s">
        <v>293</v>
      </c>
      <c r="K451" s="104" t="n">
        <v>1</v>
      </c>
      <c r="L451" s="101" t="n">
        <v>1</v>
      </c>
      <c r="M451" s="104" t="s">
        <v>902</v>
      </c>
      <c r="N451" s="98"/>
      <c r="O451" s="105" t="n">
        <f aca="false">IF(M451="Y",I451,IF(ISNUMBER(H451),H451*L451,0))</f>
        <v>241.18</v>
      </c>
      <c r="P451" s="106" t="str">
        <f aca="false">IF(J451="","",J451&amp;"|"&amp;A451&amp;"|"&amp;K451)</f>
        <v>R071|Mountainland|1</v>
      </c>
    </row>
    <row r="452" customFormat="false" ht="15" hidden="false" customHeight="false" outlineLevel="0" collapsed="false">
      <c r="A452" s="98" t="s">
        <v>27</v>
      </c>
      <c r="B452" s="99" t="s">
        <v>1682</v>
      </c>
      <c r="C452" s="99" t="s">
        <v>130</v>
      </c>
      <c r="D452" s="98" t="s">
        <v>900</v>
      </c>
      <c r="E452" s="100" t="s">
        <v>1683</v>
      </c>
      <c r="F452" s="101" t="n">
        <v>1</v>
      </c>
      <c r="G452" s="101" t="s">
        <v>1679</v>
      </c>
      <c r="H452" s="102" t="n">
        <v>234.953</v>
      </c>
      <c r="I452" s="103" t="n">
        <v>234.95</v>
      </c>
      <c r="J452" s="104" t="s">
        <v>297</v>
      </c>
      <c r="K452" s="104" t="n">
        <v>1</v>
      </c>
      <c r="L452" s="101" t="n">
        <v>1</v>
      </c>
      <c r="M452" s="104" t="s">
        <v>902</v>
      </c>
      <c r="N452" s="98"/>
      <c r="O452" s="105" t="n">
        <f aca="false">IF(M452="Y",I452,IF(ISNUMBER(H452),H452*L452,0))</f>
        <v>234.95</v>
      </c>
      <c r="P452" s="106" t="str">
        <f aca="false">IF(J452="","",J452&amp;"|"&amp;A452&amp;"|"&amp;K452)</f>
        <v>R072|Mountainland|1</v>
      </c>
    </row>
    <row r="453" customFormat="false" ht="15" hidden="false" customHeight="false" outlineLevel="0" collapsed="false">
      <c r="A453" s="98" t="s">
        <v>27</v>
      </c>
      <c r="B453" s="99" t="s">
        <v>1684</v>
      </c>
      <c r="C453" s="99" t="s">
        <v>130</v>
      </c>
      <c r="D453" s="98" t="s">
        <v>900</v>
      </c>
      <c r="E453" s="100" t="s">
        <v>1685</v>
      </c>
      <c r="F453" s="101" t="n">
        <v>4</v>
      </c>
      <c r="G453" s="101" t="s">
        <v>1679</v>
      </c>
      <c r="H453" s="102" t="n">
        <v>134.118</v>
      </c>
      <c r="I453" s="103" t="n">
        <v>536.47</v>
      </c>
      <c r="J453" s="104" t="s">
        <v>301</v>
      </c>
      <c r="K453" s="104" t="n">
        <v>1</v>
      </c>
      <c r="L453" s="101" t="n">
        <v>4</v>
      </c>
      <c r="M453" s="104" t="s">
        <v>902</v>
      </c>
      <c r="N453" s="98"/>
      <c r="O453" s="105" t="n">
        <f aca="false">IF(M453="Y",I453,IF(ISNUMBER(H453),H453*L453,0))</f>
        <v>536.47</v>
      </c>
      <c r="P453" s="106" t="str">
        <f aca="false">IF(J453="","",J453&amp;"|"&amp;A453&amp;"|"&amp;K453)</f>
        <v>R074|Mountainland|1</v>
      </c>
    </row>
    <row r="454" customFormat="false" ht="15" hidden="false" customHeight="false" outlineLevel="0" collapsed="false">
      <c r="A454" s="98" t="s">
        <v>27</v>
      </c>
      <c r="B454" s="99" t="s">
        <v>1686</v>
      </c>
      <c r="C454" s="99" t="s">
        <v>130</v>
      </c>
      <c r="D454" s="98" t="s">
        <v>900</v>
      </c>
      <c r="E454" s="100" t="s">
        <v>1687</v>
      </c>
      <c r="F454" s="101" t="n">
        <v>1</v>
      </c>
      <c r="G454" s="101" t="s">
        <v>1679</v>
      </c>
      <c r="H454" s="102" t="n">
        <v>671.642</v>
      </c>
      <c r="I454" s="103" t="n">
        <v>671.64</v>
      </c>
      <c r="J454" s="104" t="s">
        <v>324</v>
      </c>
      <c r="K454" s="104" t="n">
        <v>1</v>
      </c>
      <c r="L454" s="101" t="n">
        <v>1</v>
      </c>
      <c r="M454" s="104" t="s">
        <v>902</v>
      </c>
      <c r="N454" s="98"/>
      <c r="O454" s="105" t="n">
        <f aca="false">IF(M454="Y",I454,IF(ISNUMBER(H454),H454*L454,0))</f>
        <v>671.64</v>
      </c>
      <c r="P454" s="106" t="str">
        <f aca="false">IF(J454="","",J454&amp;"|"&amp;A454&amp;"|"&amp;K454)</f>
        <v>R083|Mountainland|1</v>
      </c>
    </row>
    <row r="455" customFormat="false" ht="15" hidden="false" customHeight="false" outlineLevel="0" collapsed="false">
      <c r="A455" s="98" t="s">
        <v>27</v>
      </c>
      <c r="B455" s="99" t="s">
        <v>1688</v>
      </c>
      <c r="C455" s="99" t="s">
        <v>130</v>
      </c>
      <c r="D455" s="98" t="s">
        <v>900</v>
      </c>
      <c r="E455" s="100" t="s">
        <v>1689</v>
      </c>
      <c r="F455" s="101" t="n">
        <v>2</v>
      </c>
      <c r="G455" s="101" t="s">
        <v>1679</v>
      </c>
      <c r="H455" s="102" t="n">
        <v>1285.387</v>
      </c>
      <c r="I455" s="103" t="n">
        <v>2570.77</v>
      </c>
      <c r="J455" s="104" t="s">
        <v>225</v>
      </c>
      <c r="K455" s="104" t="n">
        <v>1</v>
      </c>
      <c r="L455" s="101" t="n">
        <v>2</v>
      </c>
      <c r="M455" s="104" t="s">
        <v>902</v>
      </c>
      <c r="N455" s="98"/>
      <c r="O455" s="105" t="n">
        <f aca="false">IF(M455="Y",I455,IF(ISNUMBER(H455),H455*L455,0))</f>
        <v>2570.77</v>
      </c>
      <c r="P455" s="106" t="str">
        <f aca="false">IF(J455="","",J455&amp;"|"&amp;A455&amp;"|"&amp;K455)</f>
        <v>R043|Mountainland|1</v>
      </c>
    </row>
    <row r="456" customFormat="false" ht="15" hidden="false" customHeight="false" outlineLevel="0" collapsed="false">
      <c r="A456" s="98" t="s">
        <v>27</v>
      </c>
      <c r="B456" s="99" t="s">
        <v>1690</v>
      </c>
      <c r="C456" s="99" t="s">
        <v>130</v>
      </c>
      <c r="D456" s="98" t="s">
        <v>900</v>
      </c>
      <c r="E456" s="100" t="s">
        <v>1691</v>
      </c>
      <c r="F456" s="101" t="n">
        <v>1</v>
      </c>
      <c r="G456" s="101" t="s">
        <v>1679</v>
      </c>
      <c r="H456" s="102" t="n">
        <v>751.52</v>
      </c>
      <c r="I456" s="103" t="n">
        <v>751.52</v>
      </c>
      <c r="J456" s="104" t="s">
        <v>233</v>
      </c>
      <c r="K456" s="104" t="n">
        <v>1</v>
      </c>
      <c r="L456" s="101" t="n">
        <v>1</v>
      </c>
      <c r="M456" s="104" t="s">
        <v>902</v>
      </c>
      <c r="N456" s="98"/>
      <c r="O456" s="105" t="n">
        <f aca="false">IF(M456="Y",I456,IF(ISNUMBER(H456),H456*L456,0))</f>
        <v>751.52</v>
      </c>
      <c r="P456" s="106" t="str">
        <f aca="false">IF(J456="","",J456&amp;"|"&amp;A456&amp;"|"&amp;K456)</f>
        <v>R047|Mountainland|1</v>
      </c>
    </row>
    <row r="457" customFormat="false" ht="15" hidden="false" customHeight="false" outlineLevel="0" collapsed="false">
      <c r="A457" s="98" t="s">
        <v>27</v>
      </c>
      <c r="B457" s="99" t="s">
        <v>1692</v>
      </c>
      <c r="C457" s="99" t="s">
        <v>130</v>
      </c>
      <c r="D457" s="98" t="s">
        <v>900</v>
      </c>
      <c r="E457" s="100" t="s">
        <v>1693</v>
      </c>
      <c r="F457" s="101" t="n">
        <v>1</v>
      </c>
      <c r="G457" s="101" t="s">
        <v>1679</v>
      </c>
      <c r="H457" s="102" t="n">
        <v>418.537</v>
      </c>
      <c r="I457" s="103" t="n">
        <v>418.54</v>
      </c>
      <c r="J457" s="104" t="s">
        <v>162</v>
      </c>
      <c r="K457" s="104" t="n">
        <v>1</v>
      </c>
      <c r="L457" s="101" t="n">
        <v>1</v>
      </c>
      <c r="M457" s="104" t="s">
        <v>902</v>
      </c>
      <c r="N457" s="98"/>
      <c r="O457" s="105" t="n">
        <f aca="false">IF(M457="Y",I457,IF(ISNUMBER(H457),H457*L457,0))</f>
        <v>418.54</v>
      </c>
      <c r="P457" s="106" t="str">
        <f aca="false">IF(J457="","",J457&amp;"|"&amp;A457&amp;"|"&amp;K457)</f>
        <v>R014|Mountainland|1</v>
      </c>
    </row>
    <row r="458" customFormat="false" ht="15" hidden="false" customHeight="false" outlineLevel="0" collapsed="false">
      <c r="A458" s="98" t="s">
        <v>27</v>
      </c>
      <c r="B458" s="99" t="s">
        <v>1694</v>
      </c>
      <c r="C458" s="99" t="s">
        <v>130</v>
      </c>
      <c r="D458" s="98" t="s">
        <v>900</v>
      </c>
      <c r="E458" s="100" t="s">
        <v>1695</v>
      </c>
      <c r="F458" s="101" t="n">
        <v>3</v>
      </c>
      <c r="G458" s="101" t="s">
        <v>1679</v>
      </c>
      <c r="H458" s="102" t="n">
        <v>35.06</v>
      </c>
      <c r="I458" s="103" t="n">
        <v>105.18</v>
      </c>
      <c r="J458" s="104" t="s">
        <v>312</v>
      </c>
      <c r="K458" s="104" t="n">
        <v>1</v>
      </c>
      <c r="L458" s="101" t="n">
        <v>3</v>
      </c>
      <c r="M458" s="104" t="s">
        <v>902</v>
      </c>
      <c r="N458" s="98"/>
      <c r="O458" s="105" t="n">
        <f aca="false">IF(M458="Y",I458,IF(ISNUMBER(H458),H458*L458,0))</f>
        <v>105.18</v>
      </c>
      <c r="P458" s="106" t="str">
        <f aca="false">IF(J458="","",J458&amp;"|"&amp;A458&amp;"|"&amp;K458)</f>
        <v>R078|Mountainland|1</v>
      </c>
    </row>
    <row r="459" customFormat="false" ht="15" hidden="false" customHeight="false" outlineLevel="0" collapsed="false">
      <c r="A459" s="98" t="s">
        <v>27</v>
      </c>
      <c r="B459" s="99" t="s">
        <v>1696</v>
      </c>
      <c r="C459" s="99" t="s">
        <v>130</v>
      </c>
      <c r="D459" s="98" t="s">
        <v>900</v>
      </c>
      <c r="E459" s="100" t="s">
        <v>1697</v>
      </c>
      <c r="F459" s="101" t="n">
        <v>2</v>
      </c>
      <c r="G459" s="101" t="s">
        <v>1679</v>
      </c>
      <c r="H459" s="102" t="n">
        <v>24.249</v>
      </c>
      <c r="I459" s="103" t="n">
        <v>48.5</v>
      </c>
      <c r="J459" s="104" t="s">
        <v>428</v>
      </c>
      <c r="K459" s="104" t="n">
        <v>1</v>
      </c>
      <c r="L459" s="101" t="n">
        <v>2</v>
      </c>
      <c r="M459" s="104" t="s">
        <v>902</v>
      </c>
      <c r="N459" s="98"/>
      <c r="O459" s="105" t="n">
        <f aca="false">IF(M459="Y",I459,IF(ISNUMBER(H459),H459*L459,0))</f>
        <v>48.5</v>
      </c>
      <c r="P459" s="106" t="str">
        <f aca="false">IF(J459="","",J459&amp;"|"&amp;A459&amp;"|"&amp;K459)</f>
        <v>R126|Mountainland|1</v>
      </c>
    </row>
    <row r="460" customFormat="false" ht="15" hidden="false" customHeight="false" outlineLevel="0" collapsed="false">
      <c r="A460" s="98" t="s">
        <v>27</v>
      </c>
      <c r="B460" s="99" t="s">
        <v>1698</v>
      </c>
      <c r="C460" s="99" t="s">
        <v>130</v>
      </c>
      <c r="D460" s="98" t="s">
        <v>900</v>
      </c>
      <c r="E460" s="100" t="s">
        <v>1699</v>
      </c>
      <c r="F460" s="101" t="n">
        <v>1</v>
      </c>
      <c r="G460" s="101" t="s">
        <v>1679</v>
      </c>
      <c r="H460" s="102" t="n">
        <v>365.886</v>
      </c>
      <c r="I460" s="103" t="n">
        <v>365.89</v>
      </c>
      <c r="J460" s="104" t="s">
        <v>284</v>
      </c>
      <c r="K460" s="104" t="n">
        <v>1</v>
      </c>
      <c r="L460" s="101" t="n">
        <v>1</v>
      </c>
      <c r="M460" s="104" t="s">
        <v>902</v>
      </c>
      <c r="N460" s="98"/>
      <c r="O460" s="105" t="n">
        <f aca="false">IF(M460="Y",I460,IF(ISNUMBER(H460),H460*L460,0))</f>
        <v>365.89</v>
      </c>
      <c r="P460" s="106" t="str">
        <f aca="false">IF(J460="","",J460&amp;"|"&amp;A460&amp;"|"&amp;K460)</f>
        <v>R068|Mountainland|1</v>
      </c>
    </row>
    <row r="461" customFormat="false" ht="15" hidden="false" customHeight="false" outlineLevel="0" collapsed="false">
      <c r="A461" s="98" t="s">
        <v>27</v>
      </c>
      <c r="B461" s="99" t="s">
        <v>1700</v>
      </c>
      <c r="C461" s="99" t="s">
        <v>130</v>
      </c>
      <c r="D461" s="98" t="s">
        <v>900</v>
      </c>
      <c r="E461" s="100" t="s">
        <v>1701</v>
      </c>
      <c r="F461" s="101" t="n">
        <v>1</v>
      </c>
      <c r="G461" s="101" t="s">
        <v>1679</v>
      </c>
      <c r="H461" s="102" t="n">
        <v>687.5</v>
      </c>
      <c r="I461" s="103" t="n">
        <v>687.5</v>
      </c>
      <c r="J461" s="104" t="s">
        <v>290</v>
      </c>
      <c r="K461" s="104" t="n">
        <v>1</v>
      </c>
      <c r="L461" s="101" t="n">
        <v>1</v>
      </c>
      <c r="M461" s="104" t="s">
        <v>902</v>
      </c>
      <c r="N461" s="98"/>
      <c r="O461" s="105" t="n">
        <f aca="false">IF(M461="Y",I461,IF(ISNUMBER(H461),H461*L461,0))</f>
        <v>687.5</v>
      </c>
      <c r="P461" s="106" t="str">
        <f aca="false">IF(J461="","",J461&amp;"|"&amp;A461&amp;"|"&amp;K461)</f>
        <v>R070|Mountainland|1</v>
      </c>
    </row>
    <row r="462" customFormat="false" ht="15" hidden="false" customHeight="false" outlineLevel="0" collapsed="false">
      <c r="A462" s="98" t="s">
        <v>27</v>
      </c>
      <c r="B462" s="99" t="s">
        <v>1702</v>
      </c>
      <c r="C462" s="99" t="s">
        <v>130</v>
      </c>
      <c r="D462" s="98" t="s">
        <v>900</v>
      </c>
      <c r="E462" s="100" t="s">
        <v>1703</v>
      </c>
      <c r="F462" s="101" t="n">
        <v>80</v>
      </c>
      <c r="G462" s="101" t="s">
        <v>1704</v>
      </c>
      <c r="H462" s="102" t="n">
        <v>4.416</v>
      </c>
      <c r="I462" s="103" t="n">
        <v>353.28</v>
      </c>
      <c r="J462" s="104" t="s">
        <v>339</v>
      </c>
      <c r="K462" s="104" t="n">
        <v>1</v>
      </c>
      <c r="L462" s="101" t="n">
        <v>80</v>
      </c>
      <c r="M462" s="104" t="s">
        <v>902</v>
      </c>
      <c r="N462" s="98"/>
      <c r="O462" s="105" t="n">
        <f aca="false">IF(M462="Y",I462,IF(ISNUMBER(H462),H462*L462,0))</f>
        <v>353.28</v>
      </c>
      <c r="P462" s="106" t="str">
        <f aca="false">IF(J462="","",J462&amp;"|"&amp;A462&amp;"|"&amp;K462)</f>
        <v>R089|Mountainland|1</v>
      </c>
    </row>
    <row r="463" customFormat="false" ht="15" hidden="false" customHeight="false" outlineLevel="0" collapsed="false">
      <c r="A463" s="98" t="s">
        <v>27</v>
      </c>
      <c r="B463" s="99" t="s">
        <v>1705</v>
      </c>
      <c r="C463" s="99" t="s">
        <v>130</v>
      </c>
      <c r="D463" s="98" t="s">
        <v>900</v>
      </c>
      <c r="E463" s="100" t="s">
        <v>1706</v>
      </c>
      <c r="F463" s="101" t="n">
        <v>1</v>
      </c>
      <c r="G463" s="101" t="s">
        <v>1679</v>
      </c>
      <c r="H463" s="102" t="n">
        <v>14.688</v>
      </c>
      <c r="I463" s="103" t="n">
        <v>14.69</v>
      </c>
      <c r="J463" s="104" t="s">
        <v>384</v>
      </c>
      <c r="K463" s="104" t="n">
        <v>1</v>
      </c>
      <c r="L463" s="101" t="n">
        <v>1</v>
      </c>
      <c r="M463" s="104" t="s">
        <v>902</v>
      </c>
      <c r="N463" s="98"/>
      <c r="O463" s="105" t="n">
        <f aca="false">IF(M463="Y",I463,IF(ISNUMBER(H463),H463*L463,0))</f>
        <v>14.69</v>
      </c>
      <c r="P463" s="106" t="str">
        <f aca="false">IF(J463="","",J463&amp;"|"&amp;A463&amp;"|"&amp;K463)</f>
        <v>R107|Mountainland|1</v>
      </c>
    </row>
    <row r="464" customFormat="false" ht="15" hidden="false" customHeight="false" outlineLevel="0" collapsed="false">
      <c r="A464" s="98" t="s">
        <v>27</v>
      </c>
      <c r="B464" s="99" t="s">
        <v>1707</v>
      </c>
      <c r="C464" s="99" t="s">
        <v>130</v>
      </c>
      <c r="D464" s="98" t="s">
        <v>900</v>
      </c>
      <c r="E464" s="100" t="s">
        <v>1708</v>
      </c>
      <c r="F464" s="101" t="n">
        <v>2</v>
      </c>
      <c r="G464" s="101" t="s">
        <v>1679</v>
      </c>
      <c r="H464" s="102" t="n">
        <v>1575</v>
      </c>
      <c r="I464" s="103" t="n">
        <v>3150</v>
      </c>
      <c r="J464" s="104" t="s">
        <v>330</v>
      </c>
      <c r="K464" s="104" t="n">
        <v>1</v>
      </c>
      <c r="L464" s="101" t="n">
        <v>2</v>
      </c>
      <c r="M464" s="104" t="s">
        <v>902</v>
      </c>
      <c r="N464" s="98"/>
      <c r="O464" s="105" t="n">
        <f aca="false">IF(M464="Y",I464,IF(ISNUMBER(H464),H464*L464,0))</f>
        <v>3150</v>
      </c>
      <c r="P464" s="106" t="str">
        <f aca="false">IF(J464="","",J464&amp;"|"&amp;A464&amp;"|"&amp;K464)</f>
        <v>R085|Mountainland|1</v>
      </c>
    </row>
    <row r="465" customFormat="false" ht="15" hidden="false" customHeight="false" outlineLevel="0" collapsed="false">
      <c r="A465" s="98" t="s">
        <v>27</v>
      </c>
      <c r="B465" s="99" t="s">
        <v>1709</v>
      </c>
      <c r="C465" s="99" t="s">
        <v>130</v>
      </c>
      <c r="D465" s="98" t="s">
        <v>900</v>
      </c>
      <c r="E465" s="100" t="s">
        <v>1710</v>
      </c>
      <c r="F465" s="101" t="n">
        <v>42</v>
      </c>
      <c r="G465" s="101" t="s">
        <v>1679</v>
      </c>
      <c r="H465" s="102" t="n">
        <v>24.702</v>
      </c>
      <c r="I465" s="103" t="n">
        <v>1037.46</v>
      </c>
      <c r="J465" s="104" t="s">
        <v>335</v>
      </c>
      <c r="K465" s="104" t="n">
        <v>1</v>
      </c>
      <c r="L465" s="101" t="n">
        <v>42</v>
      </c>
      <c r="M465" s="104" t="s">
        <v>902</v>
      </c>
      <c r="N465" s="98"/>
      <c r="O465" s="105" t="n">
        <f aca="false">IF(M465="Y",I465,IF(ISNUMBER(H465),H465*L465,0))</f>
        <v>1037.46</v>
      </c>
      <c r="P465" s="106" t="str">
        <f aca="false">IF(J465="","",J465&amp;"|"&amp;A465&amp;"|"&amp;K465)</f>
        <v>R087|Mountainland|1</v>
      </c>
    </row>
    <row r="466" customFormat="false" ht="15" hidden="false" customHeight="false" outlineLevel="0" collapsed="false">
      <c r="A466" s="98" t="s">
        <v>27</v>
      </c>
      <c r="B466" s="99" t="s">
        <v>1711</v>
      </c>
      <c r="C466" s="99" t="s">
        <v>130</v>
      </c>
      <c r="D466" s="98" t="s">
        <v>930</v>
      </c>
      <c r="E466" s="100" t="s">
        <v>1678</v>
      </c>
      <c r="F466" s="101" t="n">
        <v>1</v>
      </c>
      <c r="G466" s="101" t="s">
        <v>1679</v>
      </c>
      <c r="H466" s="102" t="n">
        <v>589.024</v>
      </c>
      <c r="I466" s="103" t="n">
        <v>589.02</v>
      </c>
      <c r="J466" s="104" t="s">
        <v>140</v>
      </c>
      <c r="K466" s="104" t="n">
        <v>1</v>
      </c>
      <c r="L466" s="101" t="n">
        <v>1</v>
      </c>
      <c r="M466" s="104" t="s">
        <v>902</v>
      </c>
      <c r="N466" s="98"/>
      <c r="O466" s="105" t="n">
        <f aca="false">IF(M466="Y",I466,IF(ISNUMBER(H466),H466*L466,0))</f>
        <v>589.02</v>
      </c>
      <c r="P466" s="106" t="str">
        <f aca="false">IF(J466="","",J466&amp;"|"&amp;A466&amp;"|"&amp;K466)</f>
        <v>R004|Mountainland|1</v>
      </c>
    </row>
    <row r="467" customFormat="false" ht="15" hidden="false" customHeight="false" outlineLevel="0" collapsed="false">
      <c r="A467" s="98" t="s">
        <v>27</v>
      </c>
      <c r="B467" s="99" t="s">
        <v>1712</v>
      </c>
      <c r="C467" s="99" t="s">
        <v>130</v>
      </c>
      <c r="D467" s="98" t="s">
        <v>930</v>
      </c>
      <c r="E467" s="100" t="s">
        <v>1713</v>
      </c>
      <c r="F467" s="101" t="n">
        <v>1</v>
      </c>
      <c r="G467" s="101" t="s">
        <v>1679</v>
      </c>
      <c r="H467" s="102" t="n">
        <v>136.471</v>
      </c>
      <c r="I467" s="103" t="n">
        <v>136.47</v>
      </c>
      <c r="J467" s="104" t="s">
        <v>299</v>
      </c>
      <c r="K467" s="104" t="n">
        <v>1</v>
      </c>
      <c r="L467" s="101" t="n">
        <v>1</v>
      </c>
      <c r="M467" s="104" t="s">
        <v>902</v>
      </c>
      <c r="N467" s="98"/>
      <c r="O467" s="105" t="n">
        <f aca="false">IF(M467="Y",I467,IF(ISNUMBER(H467),H467*L467,0))</f>
        <v>136.47</v>
      </c>
      <c r="P467" s="106" t="str">
        <f aca="false">IF(J467="","",J467&amp;"|"&amp;A467&amp;"|"&amp;K467)</f>
        <v>R073|Mountainland|1</v>
      </c>
    </row>
    <row r="468" customFormat="false" ht="15" hidden="false" customHeight="false" outlineLevel="0" collapsed="false">
      <c r="A468" s="98" t="s">
        <v>27</v>
      </c>
      <c r="B468" s="99" t="s">
        <v>1714</v>
      </c>
      <c r="C468" s="99" t="s">
        <v>130</v>
      </c>
      <c r="D468" s="98" t="s">
        <v>930</v>
      </c>
      <c r="E468" s="100" t="s">
        <v>1683</v>
      </c>
      <c r="F468" s="101" t="n">
        <v>1</v>
      </c>
      <c r="G468" s="101" t="s">
        <v>1679</v>
      </c>
      <c r="H468" s="102" t="n">
        <v>234.953</v>
      </c>
      <c r="I468" s="103" t="n">
        <v>234.95</v>
      </c>
      <c r="J468" s="104" t="s">
        <v>297</v>
      </c>
      <c r="K468" s="104" t="n">
        <v>1</v>
      </c>
      <c r="L468" s="101" t="n">
        <v>1</v>
      </c>
      <c r="M468" s="104" t="s">
        <v>902</v>
      </c>
      <c r="N468" s="98"/>
      <c r="O468" s="105" t="n">
        <f aca="false">IF(M468="Y",I468,IF(ISNUMBER(H468),H468*L468,0))</f>
        <v>234.95</v>
      </c>
      <c r="P468" s="106" t="str">
        <f aca="false">IF(J468="","",J468&amp;"|"&amp;A468&amp;"|"&amp;K468)</f>
        <v>R072|Mountainland|1</v>
      </c>
    </row>
    <row r="469" customFormat="false" ht="15" hidden="false" customHeight="false" outlineLevel="0" collapsed="false">
      <c r="A469" s="98" t="s">
        <v>27</v>
      </c>
      <c r="B469" s="99" t="s">
        <v>1715</v>
      </c>
      <c r="C469" s="99" t="s">
        <v>130</v>
      </c>
      <c r="D469" s="98" t="s">
        <v>930</v>
      </c>
      <c r="E469" s="100" t="s">
        <v>1716</v>
      </c>
      <c r="F469" s="101" t="n">
        <v>1</v>
      </c>
      <c r="G469" s="101" t="s">
        <v>1679</v>
      </c>
      <c r="H469" s="102" t="n">
        <v>5606.627</v>
      </c>
      <c r="I469" s="103" t="n">
        <v>5606.63</v>
      </c>
      <c r="J469" s="104" t="s">
        <v>182</v>
      </c>
      <c r="K469" s="104" t="n">
        <v>1</v>
      </c>
      <c r="L469" s="101" t="n">
        <v>1</v>
      </c>
      <c r="M469" s="104" t="s">
        <v>902</v>
      </c>
      <c r="N469" s="98"/>
      <c r="O469" s="105" t="n">
        <f aca="false">IF(M469="Y",I469,IF(ISNUMBER(H469),H469*L469,0))</f>
        <v>5606.63</v>
      </c>
      <c r="P469" s="106" t="str">
        <f aca="false">IF(J469="","",J469&amp;"|"&amp;A469&amp;"|"&amp;K469)</f>
        <v>R022|Mountainland|1</v>
      </c>
    </row>
    <row r="470" customFormat="false" ht="15" hidden="false" customHeight="false" outlineLevel="0" collapsed="false">
      <c r="A470" s="98" t="s">
        <v>27</v>
      </c>
      <c r="B470" s="99" t="s">
        <v>1717</v>
      </c>
      <c r="C470" s="99" t="s">
        <v>130</v>
      </c>
      <c r="D470" s="98" t="s">
        <v>930</v>
      </c>
      <c r="E470" s="100" t="s">
        <v>1718</v>
      </c>
      <c r="F470" s="101" t="n">
        <v>1</v>
      </c>
      <c r="G470" s="101" t="s">
        <v>1679</v>
      </c>
      <c r="H470" s="102" t="n">
        <v>3696.36</v>
      </c>
      <c r="I470" s="103" t="n">
        <v>3696.36</v>
      </c>
      <c r="J470" s="104" t="s">
        <v>187</v>
      </c>
      <c r="K470" s="104" t="n">
        <v>1</v>
      </c>
      <c r="L470" s="101" t="n">
        <v>1</v>
      </c>
      <c r="M470" s="104" t="s">
        <v>902</v>
      </c>
      <c r="N470" s="98"/>
      <c r="O470" s="105" t="n">
        <f aca="false">IF(M470="Y",I470,IF(ISNUMBER(H470),H470*L470,0))</f>
        <v>3696.36</v>
      </c>
      <c r="P470" s="106" t="str">
        <f aca="false">IF(J470="","",J470&amp;"|"&amp;A470&amp;"|"&amp;K470)</f>
        <v>R024|Mountainland|1</v>
      </c>
    </row>
    <row r="471" customFormat="false" ht="15" hidden="false" customHeight="false" outlineLevel="0" collapsed="false">
      <c r="A471" s="98" t="s">
        <v>27</v>
      </c>
      <c r="B471" s="99" t="s">
        <v>1719</v>
      </c>
      <c r="C471" s="99" t="s">
        <v>130</v>
      </c>
      <c r="D471" s="98" t="s">
        <v>930</v>
      </c>
      <c r="E471" s="100" t="s">
        <v>1720</v>
      </c>
      <c r="F471" s="101" t="n">
        <v>2</v>
      </c>
      <c r="G471" s="101" t="s">
        <v>1679</v>
      </c>
      <c r="H471" s="102" t="n">
        <v>1693.902</v>
      </c>
      <c r="I471" s="103" t="n">
        <v>3387.8</v>
      </c>
      <c r="J471" s="104" t="s">
        <v>129</v>
      </c>
      <c r="K471" s="104" t="n">
        <v>1</v>
      </c>
      <c r="L471" s="101" t="n">
        <v>2</v>
      </c>
      <c r="M471" s="104" t="s">
        <v>902</v>
      </c>
      <c r="N471" s="98"/>
      <c r="O471" s="105" t="n">
        <f aca="false">IF(M471="Y",I471,IF(ISNUMBER(H471),H471*L471,0))</f>
        <v>3387.8</v>
      </c>
      <c r="P471" s="106" t="str">
        <f aca="false">IF(J471="","",J471&amp;"|"&amp;A471&amp;"|"&amp;K471)</f>
        <v>R001|Mountainland|1</v>
      </c>
    </row>
    <row r="472" customFormat="false" ht="15" hidden="false" customHeight="false" outlineLevel="0" collapsed="false">
      <c r="A472" s="98" t="s">
        <v>27</v>
      </c>
      <c r="B472" s="99" t="s">
        <v>1721</v>
      </c>
      <c r="C472" s="99" t="s">
        <v>130</v>
      </c>
      <c r="D472" s="98" t="s">
        <v>930</v>
      </c>
      <c r="E472" s="100" t="s">
        <v>1722</v>
      </c>
      <c r="F472" s="101" t="n">
        <v>1</v>
      </c>
      <c r="G472" s="101" t="s">
        <v>1679</v>
      </c>
      <c r="H472" s="102" t="n">
        <v>3214.933</v>
      </c>
      <c r="I472" s="103" t="n">
        <v>3214.93</v>
      </c>
      <c r="J472" s="104" t="s">
        <v>191</v>
      </c>
      <c r="K472" s="104" t="n">
        <v>1</v>
      </c>
      <c r="L472" s="101" t="n">
        <v>1</v>
      </c>
      <c r="M472" s="104" t="s">
        <v>902</v>
      </c>
      <c r="N472" s="98"/>
      <c r="O472" s="105" t="n">
        <f aca="false">IF(M472="Y",I472,IF(ISNUMBER(H472),H472*L472,0))</f>
        <v>3214.93</v>
      </c>
      <c r="P472" s="106" t="str">
        <f aca="false">IF(J472="","",J472&amp;"|"&amp;A472&amp;"|"&amp;K472)</f>
        <v>R026|Mountainland|1</v>
      </c>
    </row>
    <row r="473" customFormat="false" ht="15" hidden="false" customHeight="false" outlineLevel="0" collapsed="false">
      <c r="A473" s="98" t="s">
        <v>27</v>
      </c>
      <c r="B473" s="99" t="s">
        <v>1723</v>
      </c>
      <c r="C473" s="99" t="s">
        <v>130</v>
      </c>
      <c r="D473" s="98" t="s">
        <v>930</v>
      </c>
      <c r="E473" s="100" t="s">
        <v>1724</v>
      </c>
      <c r="F473" s="101" t="n">
        <v>1</v>
      </c>
      <c r="G473" s="101" t="s">
        <v>1679</v>
      </c>
      <c r="H473" s="102" t="n">
        <v>2908.547</v>
      </c>
      <c r="I473" s="103" t="n">
        <v>2908.55</v>
      </c>
      <c r="J473" s="104" t="s">
        <v>193</v>
      </c>
      <c r="K473" s="104" t="n">
        <v>1</v>
      </c>
      <c r="L473" s="101" t="n">
        <v>1</v>
      </c>
      <c r="M473" s="104" t="s">
        <v>902</v>
      </c>
      <c r="N473" s="98"/>
      <c r="O473" s="105" t="n">
        <f aca="false">IF(M473="Y",I473,IF(ISNUMBER(H473),H473*L473,0))</f>
        <v>2908.55</v>
      </c>
      <c r="P473" s="106" t="str">
        <f aca="false">IF(J473="","",J473&amp;"|"&amp;A473&amp;"|"&amp;K473)</f>
        <v>R027|Mountainland|1</v>
      </c>
    </row>
    <row r="474" customFormat="false" ht="15" hidden="false" customHeight="false" outlineLevel="0" collapsed="false">
      <c r="A474" s="98" t="s">
        <v>27</v>
      </c>
      <c r="B474" s="99" t="s">
        <v>1725</v>
      </c>
      <c r="C474" s="99" t="s">
        <v>130</v>
      </c>
      <c r="D474" s="98" t="s">
        <v>930</v>
      </c>
      <c r="E474" s="100" t="s">
        <v>1726</v>
      </c>
      <c r="F474" s="101" t="n">
        <v>2</v>
      </c>
      <c r="G474" s="101" t="s">
        <v>1679</v>
      </c>
      <c r="H474" s="102" t="n">
        <v>1074.146</v>
      </c>
      <c r="I474" s="103" t="n">
        <v>2148.29</v>
      </c>
      <c r="J474" s="104" t="s">
        <v>134</v>
      </c>
      <c r="K474" s="104" t="n">
        <v>1</v>
      </c>
      <c r="L474" s="101" t="n">
        <v>2</v>
      </c>
      <c r="M474" s="104" t="s">
        <v>902</v>
      </c>
      <c r="N474" s="98"/>
      <c r="O474" s="105" t="n">
        <f aca="false">IF(M474="Y",I474,IF(ISNUMBER(H474),H474*L474,0))</f>
        <v>2148.29</v>
      </c>
      <c r="P474" s="106" t="str">
        <f aca="false">IF(J474="","",J474&amp;"|"&amp;A474&amp;"|"&amp;K474)</f>
        <v>R002|Mountainland|1</v>
      </c>
    </row>
    <row r="475" customFormat="false" ht="15" hidden="false" customHeight="false" outlineLevel="0" collapsed="false">
      <c r="A475" s="98" t="s">
        <v>27</v>
      </c>
      <c r="B475" s="99" t="s">
        <v>1727</v>
      </c>
      <c r="C475" s="99" t="s">
        <v>130</v>
      </c>
      <c r="D475" s="98" t="s">
        <v>930</v>
      </c>
      <c r="E475" s="100" t="s">
        <v>1728</v>
      </c>
      <c r="F475" s="101" t="n">
        <v>6</v>
      </c>
      <c r="G475" s="101" t="s">
        <v>1679</v>
      </c>
      <c r="H475" s="102" t="n">
        <v>64.284</v>
      </c>
      <c r="I475" s="103" t="n">
        <v>385.7</v>
      </c>
      <c r="J475" s="104" t="s">
        <v>307</v>
      </c>
      <c r="K475" s="104" t="n">
        <v>1</v>
      </c>
      <c r="L475" s="101" t="n">
        <v>6</v>
      </c>
      <c r="M475" s="104" t="s">
        <v>902</v>
      </c>
      <c r="N475" s="98"/>
      <c r="O475" s="105" t="n">
        <f aca="false">IF(M475="Y",I475,IF(ISNUMBER(H475),H475*L475,0))</f>
        <v>385.7</v>
      </c>
      <c r="P475" s="106" t="str">
        <f aca="false">IF(J475="","",J475&amp;"|"&amp;A475&amp;"|"&amp;K475)</f>
        <v>R077|Mountainland|1</v>
      </c>
    </row>
    <row r="476" customFormat="false" ht="15" hidden="false" customHeight="false" outlineLevel="0" collapsed="false">
      <c r="A476" s="98" t="s">
        <v>27</v>
      </c>
      <c r="B476" s="99" t="s">
        <v>1729</v>
      </c>
      <c r="C476" s="99" t="s">
        <v>130</v>
      </c>
      <c r="D476" s="98" t="s">
        <v>930</v>
      </c>
      <c r="E476" s="100" t="s">
        <v>1730</v>
      </c>
      <c r="F476" s="101" t="n">
        <v>2</v>
      </c>
      <c r="G476" s="101" t="s">
        <v>1679</v>
      </c>
      <c r="H476" s="102" t="n">
        <v>987.073</v>
      </c>
      <c r="I476" s="103" t="n">
        <v>1974.15</v>
      </c>
      <c r="J476" s="104" t="s">
        <v>147</v>
      </c>
      <c r="K476" s="104" t="n">
        <v>1</v>
      </c>
      <c r="L476" s="101" t="n">
        <v>2</v>
      </c>
      <c r="M476" s="104" t="s">
        <v>902</v>
      </c>
      <c r="N476" s="98"/>
      <c r="O476" s="105" t="n">
        <f aca="false">IF(M476="Y",I476,IF(ISNUMBER(H476),H476*L476,0))</f>
        <v>1974.15</v>
      </c>
      <c r="P476" s="106" t="str">
        <f aca="false">IF(J476="","",J476&amp;"|"&amp;A476&amp;"|"&amp;K476)</f>
        <v>R007|Mountainland|1</v>
      </c>
    </row>
    <row r="477" customFormat="false" ht="15" hidden="false" customHeight="false" outlineLevel="0" collapsed="false">
      <c r="A477" s="98" t="s">
        <v>27</v>
      </c>
      <c r="B477" s="99" t="s">
        <v>1731</v>
      </c>
      <c r="C477" s="99" t="s">
        <v>130</v>
      </c>
      <c r="D477" s="98" t="s">
        <v>930</v>
      </c>
      <c r="E477" s="100" t="s">
        <v>1732</v>
      </c>
      <c r="F477" s="101" t="n">
        <v>2</v>
      </c>
      <c r="G477" s="101" t="s">
        <v>1679</v>
      </c>
      <c r="H477" s="102" t="n">
        <v>845.973</v>
      </c>
      <c r="I477" s="103" t="n">
        <v>1691.95</v>
      </c>
      <c r="J477" s="104" t="s">
        <v>203</v>
      </c>
      <c r="K477" s="104" t="n">
        <v>1</v>
      </c>
      <c r="L477" s="101" t="n">
        <v>2</v>
      </c>
      <c r="M477" s="104" t="s">
        <v>902</v>
      </c>
      <c r="N477" s="98"/>
      <c r="O477" s="105" t="n">
        <f aca="false">IF(M477="Y",I477,IF(ISNUMBER(H477),H477*L477,0))</f>
        <v>1691.95</v>
      </c>
      <c r="P477" s="106" t="str">
        <f aca="false">IF(J477="","",J477&amp;"|"&amp;A477&amp;"|"&amp;K477)</f>
        <v>R032|Mountainland|1</v>
      </c>
    </row>
    <row r="478" customFormat="false" ht="15" hidden="false" customHeight="false" outlineLevel="0" collapsed="false">
      <c r="A478" s="98" t="s">
        <v>27</v>
      </c>
      <c r="B478" s="99" t="s">
        <v>1733</v>
      </c>
      <c r="C478" s="99" t="s">
        <v>130</v>
      </c>
      <c r="D478" s="98" t="s">
        <v>930</v>
      </c>
      <c r="E478" s="100" t="s">
        <v>1734</v>
      </c>
      <c r="F478" s="101" t="n">
        <v>2</v>
      </c>
      <c r="G478" s="101" t="s">
        <v>1679</v>
      </c>
      <c r="H478" s="102" t="n">
        <v>1148.049</v>
      </c>
      <c r="I478" s="103" t="n">
        <v>2296.1</v>
      </c>
      <c r="J478" s="104" t="s">
        <v>145</v>
      </c>
      <c r="K478" s="104" t="n">
        <v>1</v>
      </c>
      <c r="L478" s="101" t="n">
        <v>2</v>
      </c>
      <c r="M478" s="104" t="s">
        <v>902</v>
      </c>
      <c r="N478" s="98"/>
      <c r="O478" s="105" t="n">
        <f aca="false">IF(M478="Y",I478,IF(ISNUMBER(H478),H478*L478,0))</f>
        <v>2296.1</v>
      </c>
      <c r="P478" s="106" t="str">
        <f aca="false">IF(J478="","",J478&amp;"|"&amp;A478&amp;"|"&amp;K478)</f>
        <v>R006|Mountainland|1</v>
      </c>
    </row>
    <row r="479" customFormat="false" ht="15" hidden="false" customHeight="false" outlineLevel="0" collapsed="false">
      <c r="A479" s="98" t="s">
        <v>27</v>
      </c>
      <c r="B479" s="99" t="s">
        <v>1735</v>
      </c>
      <c r="C479" s="99" t="s">
        <v>130</v>
      </c>
      <c r="D479" s="98" t="s">
        <v>930</v>
      </c>
      <c r="E479" s="100" t="s">
        <v>1736</v>
      </c>
      <c r="F479" s="101" t="n">
        <v>2</v>
      </c>
      <c r="G479" s="101" t="s">
        <v>1679</v>
      </c>
      <c r="H479" s="102" t="n">
        <v>393.659</v>
      </c>
      <c r="I479" s="103" t="n">
        <v>787.32</v>
      </c>
      <c r="J479" s="104" t="s">
        <v>173</v>
      </c>
      <c r="K479" s="104" t="n">
        <v>1</v>
      </c>
      <c r="L479" s="101" t="n">
        <v>2</v>
      </c>
      <c r="M479" s="104" t="s">
        <v>902</v>
      </c>
      <c r="N479" s="98"/>
      <c r="O479" s="105" t="n">
        <f aca="false">IF(M479="Y",I479,IF(ISNUMBER(H479),H479*L479,0))</f>
        <v>787.32</v>
      </c>
      <c r="P479" s="106" t="str">
        <f aca="false">IF(J479="","",J479&amp;"|"&amp;A479&amp;"|"&amp;K479)</f>
        <v>R019|Mountainland|1</v>
      </c>
    </row>
    <row r="480" customFormat="false" ht="15" hidden="false" customHeight="false" outlineLevel="0" collapsed="false">
      <c r="A480" s="98" t="s">
        <v>27</v>
      </c>
      <c r="B480" s="99" t="s">
        <v>1737</v>
      </c>
      <c r="C480" s="99" t="s">
        <v>130</v>
      </c>
      <c r="D480" s="98" t="s">
        <v>930</v>
      </c>
      <c r="E480" s="100" t="s">
        <v>1738</v>
      </c>
      <c r="F480" s="101" t="n">
        <v>12</v>
      </c>
      <c r="G480" s="101" t="s">
        <v>1679</v>
      </c>
      <c r="H480" s="102" t="n">
        <v>29.925</v>
      </c>
      <c r="I480" s="103" t="n">
        <v>359.1</v>
      </c>
      <c r="J480" s="104" t="s">
        <v>315</v>
      </c>
      <c r="K480" s="104" t="n">
        <v>1</v>
      </c>
      <c r="L480" s="101" t="n">
        <v>12</v>
      </c>
      <c r="M480" s="104" t="s">
        <v>902</v>
      </c>
      <c r="N480" s="98"/>
      <c r="O480" s="105" t="n">
        <f aca="false">IF(M480="Y",I480,IF(ISNUMBER(H480),H480*L480,0))</f>
        <v>359.1</v>
      </c>
      <c r="P480" s="106" t="str">
        <f aca="false">IF(J480="","",J480&amp;"|"&amp;A480&amp;"|"&amp;K480)</f>
        <v>R079|Mountainland|1</v>
      </c>
    </row>
    <row r="481" customFormat="false" ht="15" hidden="false" customHeight="false" outlineLevel="0" collapsed="false">
      <c r="A481" s="98" t="s">
        <v>27</v>
      </c>
      <c r="B481" s="99" t="s">
        <v>1739</v>
      </c>
      <c r="C481" s="99" t="s">
        <v>130</v>
      </c>
      <c r="D481" s="98" t="s">
        <v>930</v>
      </c>
      <c r="E481" s="100" t="s">
        <v>1740</v>
      </c>
      <c r="F481" s="101" t="n">
        <v>2</v>
      </c>
      <c r="G481" s="101" t="s">
        <v>1679</v>
      </c>
      <c r="H481" s="102" t="n">
        <v>1190.933</v>
      </c>
      <c r="I481" s="103" t="n">
        <v>2381.87</v>
      </c>
      <c r="J481" s="104" t="s">
        <v>205</v>
      </c>
      <c r="K481" s="104" t="n">
        <v>1</v>
      </c>
      <c r="L481" s="101" t="n">
        <v>2</v>
      </c>
      <c r="M481" s="104" t="s">
        <v>902</v>
      </c>
      <c r="N481" s="98"/>
      <c r="O481" s="105" t="n">
        <f aca="false">IF(M481="Y",I481,IF(ISNUMBER(H481),H481*L481,0))</f>
        <v>2381.87</v>
      </c>
      <c r="P481" s="106" t="str">
        <f aca="false">IF(J481="","",J481&amp;"|"&amp;A481&amp;"|"&amp;K481)</f>
        <v>R033|Mountainland|1</v>
      </c>
    </row>
    <row r="482" customFormat="false" ht="15" hidden="false" customHeight="false" outlineLevel="0" collapsed="false">
      <c r="A482" s="98" t="s">
        <v>27</v>
      </c>
      <c r="B482" s="99" t="s">
        <v>1741</v>
      </c>
      <c r="C482" s="99" t="s">
        <v>130</v>
      </c>
      <c r="D482" s="98" t="s">
        <v>930</v>
      </c>
      <c r="E482" s="100" t="s">
        <v>1742</v>
      </c>
      <c r="F482" s="101" t="n">
        <v>2</v>
      </c>
      <c r="G482" s="101" t="s">
        <v>1679</v>
      </c>
      <c r="H482" s="102" t="n">
        <v>104.738</v>
      </c>
      <c r="I482" s="103" t="n">
        <v>209.48</v>
      </c>
      <c r="J482" s="104" t="s">
        <v>328</v>
      </c>
      <c r="K482" s="104" t="n">
        <v>1</v>
      </c>
      <c r="L482" s="101" t="n">
        <v>2</v>
      </c>
      <c r="M482" s="104" t="s">
        <v>902</v>
      </c>
      <c r="N482" s="98"/>
      <c r="O482" s="105" t="n">
        <f aca="false">IF(M482="Y",I482,IF(ISNUMBER(H482),H482*L482,0))</f>
        <v>209.48</v>
      </c>
      <c r="P482" s="106" t="str">
        <f aca="false">IF(J482="","",J482&amp;"|"&amp;A482&amp;"|"&amp;K482)</f>
        <v>R084|Mountainland|1</v>
      </c>
    </row>
    <row r="483" customFormat="false" ht="15" hidden="false" customHeight="false" outlineLevel="0" collapsed="false">
      <c r="A483" s="98" t="s">
        <v>27</v>
      </c>
      <c r="B483" s="99" t="s">
        <v>1743</v>
      </c>
      <c r="C483" s="99" t="s">
        <v>130</v>
      </c>
      <c r="D483" s="98" t="s">
        <v>930</v>
      </c>
      <c r="E483" s="100" t="s">
        <v>1744</v>
      </c>
      <c r="F483" s="101" t="n">
        <v>2</v>
      </c>
      <c r="G483" s="101" t="s">
        <v>1679</v>
      </c>
      <c r="H483" s="102" t="n">
        <v>657.425</v>
      </c>
      <c r="I483" s="103" t="n">
        <v>1314.85</v>
      </c>
      <c r="J483" s="104" t="s">
        <v>243</v>
      </c>
      <c r="K483" s="104" t="n">
        <v>1</v>
      </c>
      <c r="L483" s="101" t="n">
        <v>2</v>
      </c>
      <c r="M483" s="104" t="s">
        <v>902</v>
      </c>
      <c r="N483" s="98"/>
      <c r="O483" s="105" t="n">
        <f aca="false">IF(M483="Y",I483,IF(ISNUMBER(H483),H483*L483,0))</f>
        <v>1314.85</v>
      </c>
      <c r="P483" s="106" t="str">
        <f aca="false">IF(J483="","",J483&amp;"|"&amp;A483&amp;"|"&amp;K483)</f>
        <v>R051|Mountainland|1</v>
      </c>
    </row>
    <row r="484" customFormat="false" ht="15" hidden="false" customHeight="false" outlineLevel="0" collapsed="false">
      <c r="A484" s="98" t="s">
        <v>27</v>
      </c>
      <c r="B484" s="99" t="s">
        <v>1745</v>
      </c>
      <c r="C484" s="99" t="s">
        <v>130</v>
      </c>
      <c r="D484" s="98" t="s">
        <v>930</v>
      </c>
      <c r="E484" s="100" t="s">
        <v>1746</v>
      </c>
      <c r="F484" s="101" t="n">
        <v>2</v>
      </c>
      <c r="G484" s="101" t="s">
        <v>1679</v>
      </c>
      <c r="H484" s="102" t="n">
        <v>507.073</v>
      </c>
      <c r="I484" s="103" t="n">
        <v>1014.15</v>
      </c>
      <c r="J484" s="104" t="s">
        <v>149</v>
      </c>
      <c r="K484" s="104" t="n">
        <v>1</v>
      </c>
      <c r="L484" s="101" t="n">
        <v>2</v>
      </c>
      <c r="M484" s="104" t="s">
        <v>902</v>
      </c>
      <c r="N484" s="98"/>
      <c r="O484" s="105" t="n">
        <f aca="false">IF(M484="Y",I484,IF(ISNUMBER(H484),H484*L484,0))</f>
        <v>1014.15</v>
      </c>
      <c r="P484" s="106" t="str">
        <f aca="false">IF(J484="","",J484&amp;"|"&amp;A484&amp;"|"&amp;K484)</f>
        <v>R008|Mountainland|1</v>
      </c>
    </row>
    <row r="485" customFormat="false" ht="15" hidden="false" customHeight="false" outlineLevel="0" collapsed="false">
      <c r="A485" s="98" t="s">
        <v>27</v>
      </c>
      <c r="B485" s="99" t="s">
        <v>1747</v>
      </c>
      <c r="C485" s="99" t="s">
        <v>130</v>
      </c>
      <c r="D485" s="98" t="s">
        <v>930</v>
      </c>
      <c r="E485" s="100" t="s">
        <v>1748</v>
      </c>
      <c r="F485" s="101" t="n">
        <v>1</v>
      </c>
      <c r="G485" s="101" t="s">
        <v>1679</v>
      </c>
      <c r="H485" s="102" t="n">
        <v>791.56</v>
      </c>
      <c r="I485" s="103" t="n">
        <v>791.56</v>
      </c>
      <c r="J485" s="104" t="s">
        <v>209</v>
      </c>
      <c r="K485" s="104" t="n">
        <v>1</v>
      </c>
      <c r="L485" s="101" t="n">
        <v>1</v>
      </c>
      <c r="M485" s="104" t="s">
        <v>902</v>
      </c>
      <c r="N485" s="98"/>
      <c r="O485" s="105" t="n">
        <f aca="false">IF(M485="Y",I485,IF(ISNUMBER(H485),H485*L485,0))</f>
        <v>791.56</v>
      </c>
      <c r="P485" s="106" t="str">
        <f aca="false">IF(J485="","",J485&amp;"|"&amp;A485&amp;"|"&amp;K485)</f>
        <v>R035|Mountainland|1</v>
      </c>
    </row>
    <row r="486" customFormat="false" ht="15" hidden="false" customHeight="false" outlineLevel="0" collapsed="false">
      <c r="A486" s="98" t="s">
        <v>27</v>
      </c>
      <c r="B486" s="99" t="s">
        <v>1749</v>
      </c>
      <c r="C486" s="99" t="s">
        <v>130</v>
      </c>
      <c r="D486" s="98" t="s">
        <v>930</v>
      </c>
      <c r="E486" s="100" t="s">
        <v>1750</v>
      </c>
      <c r="F486" s="101" t="n">
        <v>6</v>
      </c>
      <c r="G486" s="101" t="s">
        <v>1679</v>
      </c>
      <c r="H486" s="102" t="n">
        <v>15.313</v>
      </c>
      <c r="I486" s="103" t="n">
        <v>91.88</v>
      </c>
      <c r="J486" s="104" t="s">
        <v>317</v>
      </c>
      <c r="K486" s="104" t="n">
        <v>1</v>
      </c>
      <c r="L486" s="101" t="n">
        <v>6</v>
      </c>
      <c r="M486" s="104" t="s">
        <v>902</v>
      </c>
      <c r="N486" s="98"/>
      <c r="O486" s="105" t="n">
        <f aca="false">IF(M486="Y",I486,IF(ISNUMBER(H486),H486*L486,0))</f>
        <v>91.88</v>
      </c>
      <c r="P486" s="106" t="str">
        <f aca="false">IF(J486="","",J486&amp;"|"&amp;A486&amp;"|"&amp;K486)</f>
        <v>R080|Mountainland|1</v>
      </c>
    </row>
    <row r="487" customFormat="false" ht="15" hidden="false" customHeight="false" outlineLevel="0" collapsed="false">
      <c r="A487" s="98" t="s">
        <v>27</v>
      </c>
      <c r="B487" s="99" t="s">
        <v>1751</v>
      </c>
      <c r="C487" s="99" t="s">
        <v>130</v>
      </c>
      <c r="D487" s="98" t="s">
        <v>930</v>
      </c>
      <c r="E487" s="100" t="s">
        <v>1752</v>
      </c>
      <c r="F487" s="101" t="n">
        <v>1</v>
      </c>
      <c r="G487" s="101" t="s">
        <v>1679</v>
      </c>
      <c r="H487" s="102" t="n">
        <v>19777.059</v>
      </c>
      <c r="I487" s="103" t="n">
        <v>19777.06</v>
      </c>
      <c r="J487" s="104" t="s">
        <v>239</v>
      </c>
      <c r="K487" s="104" t="n">
        <v>1</v>
      </c>
      <c r="L487" s="101" t="n">
        <v>1</v>
      </c>
      <c r="M487" s="104" t="s">
        <v>902</v>
      </c>
      <c r="N487" s="98"/>
      <c r="O487" s="105" t="n">
        <f aca="false">IF(M487="Y",I487,IF(ISNUMBER(H487),H487*L487,0))</f>
        <v>19777.06</v>
      </c>
      <c r="P487" s="106" t="str">
        <f aca="false">IF(J487="","",J487&amp;"|"&amp;A487&amp;"|"&amp;K487)</f>
        <v>R050|Mountainland|1</v>
      </c>
    </row>
    <row r="488" customFormat="false" ht="15" hidden="false" customHeight="false" outlineLevel="0" collapsed="false">
      <c r="A488" s="98" t="s">
        <v>27</v>
      </c>
      <c r="B488" s="99" t="s">
        <v>1753</v>
      </c>
      <c r="C488" s="99" t="s">
        <v>130</v>
      </c>
      <c r="D488" s="98" t="s">
        <v>930</v>
      </c>
      <c r="E488" s="100" t="s">
        <v>1754</v>
      </c>
      <c r="F488" s="101" t="n">
        <v>1</v>
      </c>
      <c r="G488" s="101" t="s">
        <v>1679</v>
      </c>
      <c r="H488" s="102" t="n">
        <v>7942.059</v>
      </c>
      <c r="I488" s="103" t="n">
        <v>7942.06</v>
      </c>
      <c r="J488" s="104" t="s">
        <v>239</v>
      </c>
      <c r="K488" s="104" t="n">
        <v>2</v>
      </c>
      <c r="L488" s="101" t="n">
        <v>1</v>
      </c>
      <c r="M488" s="104" t="s">
        <v>902</v>
      </c>
      <c r="N488" s="98"/>
      <c r="O488" s="105" t="n">
        <f aca="false">IF(M488="Y",I488,IF(ISNUMBER(H488),H488*L488,0))</f>
        <v>7942.06</v>
      </c>
      <c r="P488" s="106" t="str">
        <f aca="false">IF(J488="","",J488&amp;"|"&amp;A488&amp;"|"&amp;K488)</f>
        <v>R050|Mountainland|2</v>
      </c>
    </row>
    <row r="489" customFormat="false" ht="15" hidden="false" customHeight="false" outlineLevel="0" collapsed="false">
      <c r="A489" s="98" t="s">
        <v>27</v>
      </c>
      <c r="B489" s="99" t="s">
        <v>1755</v>
      </c>
      <c r="C489" s="99" t="s">
        <v>130</v>
      </c>
      <c r="D489" s="98" t="s">
        <v>930</v>
      </c>
      <c r="E489" s="100" t="s">
        <v>1756</v>
      </c>
      <c r="F489" s="101" t="n">
        <v>1</v>
      </c>
      <c r="G489" s="101" t="s">
        <v>1679</v>
      </c>
      <c r="H489" s="102" t="n">
        <v>4854.906</v>
      </c>
      <c r="I489" s="103" t="n">
        <v>4854.91</v>
      </c>
      <c r="J489" s="104" t="s">
        <v>250</v>
      </c>
      <c r="K489" s="104" t="n">
        <v>1</v>
      </c>
      <c r="L489" s="101" t="n">
        <v>1</v>
      </c>
      <c r="M489" s="104" t="s">
        <v>902</v>
      </c>
      <c r="N489" s="98"/>
      <c r="O489" s="105" t="n">
        <f aca="false">IF(M489="Y",I489,IF(ISNUMBER(H489),H489*L489,0))</f>
        <v>4854.91</v>
      </c>
      <c r="P489" s="106" t="str">
        <f aca="false">IF(J489="","",J489&amp;"|"&amp;A489&amp;"|"&amp;K489)</f>
        <v>R054|Mountainland|1</v>
      </c>
    </row>
    <row r="490" customFormat="false" ht="15" hidden="false" customHeight="false" outlineLevel="0" collapsed="false">
      <c r="A490" s="98" t="s">
        <v>27</v>
      </c>
      <c r="B490" s="99" t="s">
        <v>1757</v>
      </c>
      <c r="C490" s="99" t="s">
        <v>130</v>
      </c>
      <c r="D490" s="98" t="s">
        <v>930</v>
      </c>
      <c r="E490" s="100" t="s">
        <v>1758</v>
      </c>
      <c r="F490" s="101" t="n">
        <v>1</v>
      </c>
      <c r="G490" s="101" t="s">
        <v>1679</v>
      </c>
      <c r="H490" s="102" t="n">
        <v>6451.765</v>
      </c>
      <c r="I490" s="103" t="n">
        <v>6451.76</v>
      </c>
      <c r="J490" s="104" t="s">
        <v>247</v>
      </c>
      <c r="K490" s="104" t="n">
        <v>1</v>
      </c>
      <c r="L490" s="101" t="n">
        <v>1</v>
      </c>
      <c r="M490" s="104" t="s">
        <v>902</v>
      </c>
      <c r="N490" s="98"/>
      <c r="O490" s="105" t="n">
        <f aca="false">IF(M490="Y",I490,IF(ISNUMBER(H490),H490*L490,0))</f>
        <v>6451.76</v>
      </c>
      <c r="P490" s="106" t="str">
        <f aca="false">IF(J490="","",J490&amp;"|"&amp;A490&amp;"|"&amp;K490)</f>
        <v>R053|Mountainland|1</v>
      </c>
    </row>
    <row r="491" customFormat="false" ht="15" hidden="false" customHeight="false" outlineLevel="0" collapsed="false">
      <c r="A491" s="98" t="s">
        <v>27</v>
      </c>
      <c r="B491" s="99" t="s">
        <v>1759</v>
      </c>
      <c r="C491" s="99" t="s">
        <v>130</v>
      </c>
      <c r="D491" s="98" t="s">
        <v>1760</v>
      </c>
      <c r="E491" s="100" t="s">
        <v>1697</v>
      </c>
      <c r="F491" s="101" t="n">
        <v>5</v>
      </c>
      <c r="G491" s="101" t="s">
        <v>1679</v>
      </c>
      <c r="H491" s="102" t="n">
        <v>24.249</v>
      </c>
      <c r="I491" s="103" t="n">
        <v>121.25</v>
      </c>
      <c r="J491" s="104" t="s">
        <v>428</v>
      </c>
      <c r="K491" s="104" t="n">
        <v>1</v>
      </c>
      <c r="L491" s="101" t="n">
        <v>5</v>
      </c>
      <c r="M491" s="104" t="s">
        <v>902</v>
      </c>
      <c r="N491" s="98"/>
      <c r="O491" s="105" t="n">
        <f aca="false">IF(M491="Y",I491,IF(ISNUMBER(H491),H491*L491,0))</f>
        <v>121.25</v>
      </c>
      <c r="P491" s="106" t="str">
        <f aca="false">IF(J491="","",J491&amp;"|"&amp;A491&amp;"|"&amp;K491)</f>
        <v>R126|Mountainland|1</v>
      </c>
    </row>
    <row r="492" customFormat="false" ht="15" hidden="false" customHeight="false" outlineLevel="0" collapsed="false">
      <c r="A492" s="98" t="s">
        <v>27</v>
      </c>
      <c r="B492" s="99" t="s">
        <v>1761</v>
      </c>
      <c r="C492" s="99" t="s">
        <v>130</v>
      </c>
      <c r="D492" s="98" t="s">
        <v>1760</v>
      </c>
      <c r="E492" s="100" t="s">
        <v>1762</v>
      </c>
      <c r="F492" s="101" t="n">
        <v>1</v>
      </c>
      <c r="G492" s="101" t="s">
        <v>1679</v>
      </c>
      <c r="H492" s="102" t="n">
        <v>73.172</v>
      </c>
      <c r="I492" s="103" t="n">
        <v>73.17</v>
      </c>
      <c r="J492" s="104" t="s">
        <v>426</v>
      </c>
      <c r="K492" s="104" t="n">
        <v>1</v>
      </c>
      <c r="L492" s="101" t="n">
        <v>1</v>
      </c>
      <c r="M492" s="104" t="s">
        <v>902</v>
      </c>
      <c r="N492" s="98"/>
      <c r="O492" s="105" t="n">
        <f aca="false">IF(M492="Y",I492,IF(ISNUMBER(H492),H492*L492,0))</f>
        <v>73.17</v>
      </c>
      <c r="P492" s="106" t="str">
        <f aca="false">IF(J492="","",J492&amp;"|"&amp;A492&amp;"|"&amp;K492)</f>
        <v>R125|Mountainland|1</v>
      </c>
    </row>
    <row r="493" customFormat="false" ht="15" hidden="false" customHeight="false" outlineLevel="0" collapsed="false">
      <c r="A493" s="98" t="s">
        <v>27</v>
      </c>
      <c r="B493" s="99" t="s">
        <v>1763</v>
      </c>
      <c r="C493" s="99" t="s">
        <v>130</v>
      </c>
      <c r="D493" s="98" t="s">
        <v>1760</v>
      </c>
      <c r="E493" s="100" t="s">
        <v>1764</v>
      </c>
      <c r="F493" s="101" t="n">
        <v>2</v>
      </c>
      <c r="G493" s="101" t="s">
        <v>1679</v>
      </c>
      <c r="H493" s="102" t="n">
        <v>106.312</v>
      </c>
      <c r="I493" s="103" t="n">
        <v>212.62</v>
      </c>
      <c r="J493" s="104" t="s">
        <v>269</v>
      </c>
      <c r="K493" s="104" t="n">
        <v>1</v>
      </c>
      <c r="L493" s="101" t="n">
        <v>2</v>
      </c>
      <c r="M493" s="104" t="s">
        <v>902</v>
      </c>
      <c r="N493" s="98"/>
      <c r="O493" s="105" t="n">
        <f aca="false">IF(M493="Y",I493,IF(ISNUMBER(H493),H493*L493,0))</f>
        <v>212.62</v>
      </c>
      <c r="P493" s="106" t="str">
        <f aca="false">IF(J493="","",J493&amp;"|"&amp;A493&amp;"|"&amp;K493)</f>
        <v>R061|Mountainland|1</v>
      </c>
    </row>
    <row r="494" customFormat="false" ht="15" hidden="false" customHeight="false" outlineLevel="0" collapsed="false">
      <c r="A494" s="98" t="s">
        <v>27</v>
      </c>
      <c r="B494" s="99" t="s">
        <v>1765</v>
      </c>
      <c r="C494" s="99" t="s">
        <v>130</v>
      </c>
      <c r="D494" s="98" t="s">
        <v>1760</v>
      </c>
      <c r="E494" s="100" t="s">
        <v>1766</v>
      </c>
      <c r="F494" s="101" t="n">
        <v>1</v>
      </c>
      <c r="G494" s="101" t="s">
        <v>1679</v>
      </c>
      <c r="H494" s="102" t="n">
        <v>1189.744</v>
      </c>
      <c r="I494" s="103" t="n">
        <v>1189.74</v>
      </c>
      <c r="J494" s="104" t="s">
        <v>260</v>
      </c>
      <c r="K494" s="104" t="n">
        <v>1</v>
      </c>
      <c r="L494" s="101" t="n">
        <v>1</v>
      </c>
      <c r="M494" s="104" t="s">
        <v>902</v>
      </c>
      <c r="N494" s="98"/>
      <c r="O494" s="105" t="n">
        <f aca="false">IF(M494="Y",I494,IF(ISNUMBER(H494),H494*L494,0))</f>
        <v>1189.74</v>
      </c>
      <c r="P494" s="106" t="str">
        <f aca="false">IF(J494="","",J494&amp;"|"&amp;A494&amp;"|"&amp;K494)</f>
        <v>R058|Mountainland|1</v>
      </c>
    </row>
    <row r="495" customFormat="false" ht="15" hidden="false" customHeight="false" outlineLevel="0" collapsed="false">
      <c r="A495" s="98" t="s">
        <v>27</v>
      </c>
      <c r="B495" s="99" t="s">
        <v>1767</v>
      </c>
      <c r="C495" s="99" t="s">
        <v>130</v>
      </c>
      <c r="D495" s="98" t="s">
        <v>1760</v>
      </c>
      <c r="E495" s="100" t="s">
        <v>1768</v>
      </c>
      <c r="F495" s="101" t="n">
        <v>1</v>
      </c>
      <c r="G495" s="101" t="s">
        <v>1679</v>
      </c>
      <c r="H495" s="102" t="n">
        <v>1444.412</v>
      </c>
      <c r="I495" s="103" t="n">
        <v>1444.41</v>
      </c>
      <c r="J495" s="104" t="s">
        <v>264</v>
      </c>
      <c r="K495" s="104" t="n">
        <v>1</v>
      </c>
      <c r="L495" s="101" t="n">
        <v>1</v>
      </c>
      <c r="M495" s="104" t="s">
        <v>902</v>
      </c>
      <c r="N495" s="98"/>
      <c r="O495" s="105" t="n">
        <f aca="false">IF(M495="Y",I495,IF(ISNUMBER(H495),H495*L495,0))</f>
        <v>1444.41</v>
      </c>
      <c r="P495" s="106" t="str">
        <f aca="false">IF(J495="","",J495&amp;"|"&amp;A495&amp;"|"&amp;K495)</f>
        <v>R059|Mountainland|1</v>
      </c>
    </row>
    <row r="496" customFormat="false" ht="15" hidden="false" customHeight="false" outlineLevel="0" collapsed="false">
      <c r="A496" s="98" t="s">
        <v>27</v>
      </c>
      <c r="B496" s="99" t="s">
        <v>1769</v>
      </c>
      <c r="C496" s="99" t="s">
        <v>130</v>
      </c>
      <c r="D496" s="98" t="s">
        <v>1760</v>
      </c>
      <c r="E496" s="100" t="s">
        <v>1770</v>
      </c>
      <c r="F496" s="101" t="n">
        <v>2</v>
      </c>
      <c r="G496" s="101" t="s">
        <v>1679</v>
      </c>
      <c r="H496" s="102" t="n">
        <v>8.012</v>
      </c>
      <c r="I496" s="103" t="n">
        <v>16.02</v>
      </c>
      <c r="J496" s="104" t="s">
        <v>406</v>
      </c>
      <c r="K496" s="104" t="n">
        <v>1</v>
      </c>
      <c r="L496" s="101" t="n">
        <v>2</v>
      </c>
      <c r="M496" s="104" t="s">
        <v>902</v>
      </c>
      <c r="N496" s="98"/>
      <c r="O496" s="105" t="n">
        <f aca="false">IF(M496="Y",I496,IF(ISNUMBER(H496),H496*L496,0))</f>
        <v>16.02</v>
      </c>
      <c r="P496" s="106" t="str">
        <f aca="false">IF(J496="","",J496&amp;"|"&amp;A496&amp;"|"&amp;K496)</f>
        <v>R116|Mountainland|1</v>
      </c>
    </row>
    <row r="497" customFormat="false" ht="15" hidden="false" customHeight="false" outlineLevel="0" collapsed="false">
      <c r="A497" s="98" t="s">
        <v>27</v>
      </c>
      <c r="B497" s="99" t="s">
        <v>1771</v>
      </c>
      <c r="C497" s="99" t="s">
        <v>130</v>
      </c>
      <c r="D497" s="98" t="s">
        <v>1760</v>
      </c>
      <c r="E497" s="100" t="s">
        <v>1772</v>
      </c>
      <c r="F497" s="101" t="n">
        <v>4</v>
      </c>
      <c r="G497" s="101" t="s">
        <v>1679</v>
      </c>
      <c r="H497" s="102" t="n">
        <v>12.039</v>
      </c>
      <c r="I497" s="103" t="n">
        <v>48.16</v>
      </c>
      <c r="J497" s="104" t="s">
        <v>401</v>
      </c>
      <c r="K497" s="104" t="n">
        <v>1</v>
      </c>
      <c r="L497" s="101" t="n">
        <v>4</v>
      </c>
      <c r="M497" s="104" t="s">
        <v>902</v>
      </c>
      <c r="N497" s="98"/>
      <c r="O497" s="105" t="n">
        <f aca="false">IF(M497="Y",I497,IF(ISNUMBER(H497),H497*L497,0))</f>
        <v>48.16</v>
      </c>
      <c r="P497" s="106" t="str">
        <f aca="false">IF(J497="","",J497&amp;"|"&amp;A497&amp;"|"&amp;K497)</f>
        <v>R114|Mountainland|1</v>
      </c>
    </row>
    <row r="498" customFormat="false" ht="15" hidden="false" customHeight="false" outlineLevel="0" collapsed="false">
      <c r="A498" s="98" t="s">
        <v>27</v>
      </c>
      <c r="B498" s="99" t="s">
        <v>1773</v>
      </c>
      <c r="C498" s="99" t="s">
        <v>130</v>
      </c>
      <c r="D498" s="98" t="s">
        <v>1760</v>
      </c>
      <c r="E498" s="100" t="s">
        <v>1774</v>
      </c>
      <c r="F498" s="101" t="n">
        <v>1</v>
      </c>
      <c r="G498" s="101" t="s">
        <v>1679</v>
      </c>
      <c r="H498" s="102" t="n">
        <v>29.876</v>
      </c>
      <c r="I498" s="103" t="n">
        <v>29.88</v>
      </c>
      <c r="J498" s="104" t="s">
        <v>413</v>
      </c>
      <c r="K498" s="104" t="n">
        <v>1</v>
      </c>
      <c r="L498" s="101" t="n">
        <v>1</v>
      </c>
      <c r="M498" s="104" t="s">
        <v>902</v>
      </c>
      <c r="N498" s="98"/>
      <c r="O498" s="105" t="n">
        <f aca="false">IF(M498="Y",I498,IF(ISNUMBER(H498),H498*L498,0))</f>
        <v>29.88</v>
      </c>
      <c r="P498" s="106" t="str">
        <f aca="false">IF(J498="","",J498&amp;"|"&amp;A498&amp;"|"&amp;K498)</f>
        <v>R119|Mountainland|1</v>
      </c>
    </row>
    <row r="499" customFormat="false" ht="15" hidden="false" customHeight="false" outlineLevel="0" collapsed="false">
      <c r="A499" s="98" t="s">
        <v>27</v>
      </c>
      <c r="B499" s="99" t="s">
        <v>1775</v>
      </c>
      <c r="C499" s="99" t="s">
        <v>130</v>
      </c>
      <c r="D499" s="98" t="s">
        <v>1760</v>
      </c>
      <c r="E499" s="100" t="s">
        <v>1776</v>
      </c>
      <c r="F499" s="101" t="n">
        <v>1</v>
      </c>
      <c r="G499" s="101" t="s">
        <v>1679</v>
      </c>
      <c r="H499" s="102" t="n">
        <v>44.002</v>
      </c>
      <c r="I499" s="103" t="n">
        <v>44</v>
      </c>
      <c r="J499" s="104" t="s">
        <v>415</v>
      </c>
      <c r="K499" s="104" t="n">
        <v>1</v>
      </c>
      <c r="L499" s="101" t="n">
        <v>1</v>
      </c>
      <c r="M499" s="104" t="s">
        <v>902</v>
      </c>
      <c r="N499" s="98"/>
      <c r="O499" s="105" t="n">
        <f aca="false">IF(M499="Y",I499,IF(ISNUMBER(H499),H499*L499,0))</f>
        <v>44</v>
      </c>
      <c r="P499" s="106" t="str">
        <f aca="false">IF(J499="","",J499&amp;"|"&amp;A499&amp;"|"&amp;K499)</f>
        <v>R120|Mountainland|1</v>
      </c>
    </row>
    <row r="500" customFormat="false" ht="15" hidden="false" customHeight="false" outlineLevel="0" collapsed="false">
      <c r="A500" s="98" t="s">
        <v>27</v>
      </c>
      <c r="B500" s="99" t="s">
        <v>1777</v>
      </c>
      <c r="C500" s="99" t="s">
        <v>130</v>
      </c>
      <c r="D500" s="98" t="s">
        <v>1760</v>
      </c>
      <c r="E500" s="100" t="s">
        <v>1778</v>
      </c>
      <c r="F500" s="101" t="n">
        <v>2</v>
      </c>
      <c r="G500" s="101" t="s">
        <v>1679</v>
      </c>
      <c r="H500" s="102" t="n">
        <v>65.706</v>
      </c>
      <c r="I500" s="103" t="n">
        <v>131.41</v>
      </c>
      <c r="J500" s="104" t="s">
        <v>420</v>
      </c>
      <c r="K500" s="104" t="n">
        <v>1</v>
      </c>
      <c r="L500" s="101" t="n">
        <v>2</v>
      </c>
      <c r="M500" s="104" t="s">
        <v>902</v>
      </c>
      <c r="N500" s="98"/>
      <c r="O500" s="105" t="n">
        <f aca="false">IF(M500="Y",I500,IF(ISNUMBER(H500),H500*L500,0))</f>
        <v>131.41</v>
      </c>
      <c r="P500" s="106" t="str">
        <f aca="false">IF(J500="","",J500&amp;"|"&amp;A500&amp;"|"&amp;K500)</f>
        <v>R122|Mountainland|1</v>
      </c>
    </row>
    <row r="501" customFormat="false" ht="15" hidden="false" customHeight="false" outlineLevel="0" collapsed="false">
      <c r="A501" s="98" t="s">
        <v>27</v>
      </c>
      <c r="B501" s="99" t="s">
        <v>1779</v>
      </c>
      <c r="C501" s="99" t="s">
        <v>130</v>
      </c>
      <c r="D501" s="98" t="s">
        <v>1760</v>
      </c>
      <c r="E501" s="100" t="s">
        <v>1780</v>
      </c>
      <c r="F501" s="101" t="n">
        <v>2</v>
      </c>
      <c r="G501" s="101" t="s">
        <v>1679</v>
      </c>
      <c r="H501" s="102" t="n">
        <v>9.696</v>
      </c>
      <c r="I501" s="103" t="n">
        <v>19.39</v>
      </c>
      <c r="J501" s="104" t="s">
        <v>422</v>
      </c>
      <c r="K501" s="104" t="n">
        <v>1</v>
      </c>
      <c r="L501" s="101" t="n">
        <v>2</v>
      </c>
      <c r="M501" s="104" t="s">
        <v>902</v>
      </c>
      <c r="N501" s="98"/>
      <c r="O501" s="105" t="n">
        <f aca="false">IF(M501="Y",I501,IF(ISNUMBER(H501),H501*L501,0))</f>
        <v>19.39</v>
      </c>
      <c r="P501" s="106" t="str">
        <f aca="false">IF(J501="","",J501&amp;"|"&amp;A501&amp;"|"&amp;K501)</f>
        <v>R123|Mountainland|1</v>
      </c>
    </row>
    <row r="502" customFormat="false" ht="15" hidden="false" customHeight="false" outlineLevel="0" collapsed="false">
      <c r="A502" s="98" t="s">
        <v>27</v>
      </c>
      <c r="B502" s="99" t="s">
        <v>1781</v>
      </c>
      <c r="C502" s="99" t="s">
        <v>130</v>
      </c>
      <c r="D502" s="98" t="s">
        <v>1760</v>
      </c>
      <c r="E502" s="100" t="s">
        <v>1782</v>
      </c>
      <c r="F502" s="101" t="n">
        <v>2</v>
      </c>
      <c r="G502" s="101" t="s">
        <v>1679</v>
      </c>
      <c r="H502" s="102" t="n">
        <v>11.886</v>
      </c>
      <c r="I502" s="103" t="n">
        <v>23.77</v>
      </c>
      <c r="J502" s="104" t="s">
        <v>409</v>
      </c>
      <c r="K502" s="104" t="n">
        <v>1</v>
      </c>
      <c r="L502" s="101" t="n">
        <v>2</v>
      </c>
      <c r="M502" s="104" t="s">
        <v>902</v>
      </c>
      <c r="N502" s="98"/>
      <c r="O502" s="105" t="n">
        <f aca="false">IF(M502="Y",I502,IF(ISNUMBER(H502),H502*L502,0))</f>
        <v>23.77</v>
      </c>
      <c r="P502" s="106" t="str">
        <f aca="false">IF(J502="","",J502&amp;"|"&amp;A502&amp;"|"&amp;K502)</f>
        <v>R117|Mountainland|1</v>
      </c>
    </row>
    <row r="503" customFormat="false" ht="15" hidden="false" customHeight="false" outlineLevel="0" collapsed="false">
      <c r="A503" s="98" t="s">
        <v>27</v>
      </c>
      <c r="B503" s="99" t="s">
        <v>1783</v>
      </c>
      <c r="C503" s="99" t="s">
        <v>130</v>
      </c>
      <c r="D503" s="98" t="s">
        <v>1760</v>
      </c>
      <c r="E503" s="100" t="s">
        <v>1784</v>
      </c>
      <c r="F503" s="101" t="n">
        <v>2</v>
      </c>
      <c r="G503" s="101" t="s">
        <v>1679</v>
      </c>
      <c r="H503" s="102" t="n">
        <v>64.286</v>
      </c>
      <c r="I503" s="103" t="n">
        <v>128.57</v>
      </c>
      <c r="J503" s="104" t="s">
        <v>398</v>
      </c>
      <c r="K503" s="104" t="n">
        <v>1</v>
      </c>
      <c r="L503" s="101" t="n">
        <v>2</v>
      </c>
      <c r="M503" s="104" t="s">
        <v>902</v>
      </c>
      <c r="N503" s="98"/>
      <c r="O503" s="105" t="n">
        <f aca="false">IF(M503="Y",I503,IF(ISNUMBER(H503),H503*L503,0))</f>
        <v>128.57</v>
      </c>
      <c r="P503" s="106" t="str">
        <f aca="false">IF(J503="","",J503&amp;"|"&amp;A503&amp;"|"&amp;K503)</f>
        <v>R113|Mountainland|1</v>
      </c>
    </row>
    <row r="504" customFormat="false" ht="15" hidden="false" customHeight="false" outlineLevel="0" collapsed="false">
      <c r="A504" s="98" t="s">
        <v>27</v>
      </c>
      <c r="B504" s="99" t="s">
        <v>1785</v>
      </c>
      <c r="C504" s="99" t="s">
        <v>130</v>
      </c>
      <c r="D504" s="98" t="s">
        <v>1760</v>
      </c>
      <c r="E504" s="100" t="s">
        <v>1786</v>
      </c>
      <c r="F504" s="101" t="n">
        <v>1</v>
      </c>
      <c r="G504" s="101" t="s">
        <v>1679</v>
      </c>
      <c r="H504" s="102" t="n">
        <v>10.796</v>
      </c>
      <c r="I504" s="103" t="n">
        <v>10.8</v>
      </c>
      <c r="J504" s="104" t="s">
        <v>430</v>
      </c>
      <c r="K504" s="104" t="n">
        <v>1</v>
      </c>
      <c r="L504" s="101" t="n">
        <v>1</v>
      </c>
      <c r="M504" s="104" t="s">
        <v>902</v>
      </c>
      <c r="N504" s="98"/>
      <c r="O504" s="105" t="n">
        <f aca="false">IF(M504="Y",I504,IF(ISNUMBER(H504),H504*L504,0))</f>
        <v>10.8</v>
      </c>
      <c r="P504" s="106" t="str">
        <f aca="false">IF(J504="","",J504&amp;"|"&amp;A504&amp;"|"&amp;K504)</f>
        <v>R127|Mountainland|1</v>
      </c>
    </row>
    <row r="505" customFormat="false" ht="15" hidden="false" customHeight="false" outlineLevel="0" collapsed="false">
      <c r="A505" s="98" t="s">
        <v>27</v>
      </c>
      <c r="B505" s="99" t="s">
        <v>1787</v>
      </c>
      <c r="C505" s="99" t="s">
        <v>130</v>
      </c>
      <c r="D505" s="98" t="s">
        <v>1760</v>
      </c>
      <c r="E505" s="100" t="s">
        <v>1788</v>
      </c>
      <c r="F505" s="101" t="n">
        <v>1</v>
      </c>
      <c r="G505" s="101" t="s">
        <v>1679</v>
      </c>
      <c r="H505" s="102" t="n">
        <v>31.911</v>
      </c>
      <c r="I505" s="103" t="n">
        <v>31.91</v>
      </c>
      <c r="J505" s="104" t="s">
        <v>274</v>
      </c>
      <c r="K505" s="104" t="n">
        <v>1</v>
      </c>
      <c r="L505" s="101" t="n">
        <v>1</v>
      </c>
      <c r="M505" s="104" t="s">
        <v>902</v>
      </c>
      <c r="N505" s="98"/>
      <c r="O505" s="105" t="n">
        <f aca="false">IF(M505="Y",I505,IF(ISNUMBER(H505),H505*L505,0))</f>
        <v>31.91</v>
      </c>
      <c r="P505" s="106" t="str">
        <f aca="false">IF(J505="","",J505&amp;"|"&amp;A505&amp;"|"&amp;K505)</f>
        <v>R063|Mountainland|1</v>
      </c>
    </row>
    <row r="506" customFormat="false" ht="15" hidden="false" customHeight="false" outlineLevel="0" collapsed="false">
      <c r="A506" s="98" t="s">
        <v>27</v>
      </c>
      <c r="B506" s="99" t="s">
        <v>1789</v>
      </c>
      <c r="C506" s="99" t="s">
        <v>130</v>
      </c>
      <c r="D506" s="98" t="s">
        <v>1760</v>
      </c>
      <c r="E506" s="100" t="s">
        <v>1790</v>
      </c>
      <c r="F506" s="101" t="n">
        <v>1</v>
      </c>
      <c r="G506" s="101" t="s">
        <v>1679</v>
      </c>
      <c r="H506" s="102" t="n">
        <v>27.119</v>
      </c>
      <c r="I506" s="103" t="n">
        <v>27.12</v>
      </c>
      <c r="J506" s="104" t="s">
        <v>439</v>
      </c>
      <c r="K506" s="104" t="n">
        <v>1</v>
      </c>
      <c r="L506" s="101" t="n">
        <v>1</v>
      </c>
      <c r="M506" s="104" t="s">
        <v>902</v>
      </c>
      <c r="N506" s="98"/>
      <c r="O506" s="105" t="n">
        <f aca="false">IF(M506="Y",I506,IF(ISNUMBER(H506),H506*L506,0))</f>
        <v>27.12</v>
      </c>
      <c r="P506" s="106" t="str">
        <f aca="false">IF(J506="","",J506&amp;"|"&amp;A506&amp;"|"&amp;K506)</f>
        <v>R131|Mountainland|1</v>
      </c>
    </row>
    <row r="507" customFormat="false" ht="15" hidden="false" customHeight="false" outlineLevel="0" collapsed="false">
      <c r="A507" s="98" t="s">
        <v>27</v>
      </c>
      <c r="B507" s="99" t="s">
        <v>1791</v>
      </c>
      <c r="C507" s="99" t="s">
        <v>130</v>
      </c>
      <c r="D507" s="98" t="s">
        <v>1760</v>
      </c>
      <c r="E507" s="100" t="s">
        <v>1792</v>
      </c>
      <c r="F507" s="101" t="n">
        <v>1</v>
      </c>
      <c r="G507" s="101" t="s">
        <v>1679</v>
      </c>
      <c r="H507" s="102" t="n">
        <v>2.307</v>
      </c>
      <c r="I507" s="103" t="n">
        <v>2.31</v>
      </c>
      <c r="J507" s="104" t="s">
        <v>441</v>
      </c>
      <c r="K507" s="104" t="n">
        <v>1</v>
      </c>
      <c r="L507" s="101" t="n">
        <v>1</v>
      </c>
      <c r="M507" s="104" t="s">
        <v>902</v>
      </c>
      <c r="N507" s="98"/>
      <c r="O507" s="105" t="n">
        <f aca="false">IF(M507="Y",I507,IF(ISNUMBER(H507),H507*L507,0))</f>
        <v>2.31</v>
      </c>
      <c r="P507" s="106" t="str">
        <f aca="false">IF(J507="","",J507&amp;"|"&amp;A507&amp;"|"&amp;K507)</f>
        <v>R132|Mountainland|1</v>
      </c>
    </row>
    <row r="508" customFormat="false" ht="15" hidden="false" customHeight="false" outlineLevel="0" collapsed="false">
      <c r="A508" s="98" t="s">
        <v>27</v>
      </c>
      <c r="B508" s="99" t="s">
        <v>1793</v>
      </c>
      <c r="C508" s="99" t="s">
        <v>130</v>
      </c>
      <c r="D508" s="98" t="s">
        <v>1760</v>
      </c>
      <c r="E508" s="100" t="s">
        <v>1794</v>
      </c>
      <c r="F508" s="101" t="n">
        <v>100</v>
      </c>
      <c r="G508" s="101" t="s">
        <v>1704</v>
      </c>
      <c r="H508" s="102" t="n">
        <v>0.758</v>
      </c>
      <c r="I508" s="103" t="n">
        <v>75.82</v>
      </c>
      <c r="J508" s="104" t="s">
        <v>443</v>
      </c>
      <c r="K508" s="104" t="n">
        <v>1</v>
      </c>
      <c r="L508" s="101" t="n">
        <v>100</v>
      </c>
      <c r="M508" s="104" t="s">
        <v>902</v>
      </c>
      <c r="N508" s="98"/>
      <c r="O508" s="105" t="n">
        <f aca="false">IF(M508="Y",I508,IF(ISNUMBER(H508),H508*L508,0))</f>
        <v>75.82</v>
      </c>
      <c r="P508" s="106" t="str">
        <f aca="false">IF(J508="","",J508&amp;"|"&amp;A508&amp;"|"&amp;K508)</f>
        <v>R133|Mountainland|1</v>
      </c>
    </row>
    <row r="509" customFormat="false" ht="15" hidden="false" customHeight="false" outlineLevel="0" collapsed="false">
      <c r="A509" s="98" t="s">
        <v>27</v>
      </c>
      <c r="B509" s="99" t="s">
        <v>1795</v>
      </c>
      <c r="C509" s="99" t="s">
        <v>130</v>
      </c>
      <c r="D509" s="98" t="s">
        <v>1796</v>
      </c>
      <c r="E509" s="100" t="s">
        <v>1797</v>
      </c>
      <c r="F509" s="101" t="n">
        <v>3</v>
      </c>
      <c r="G509" s="101" t="s">
        <v>1679</v>
      </c>
      <c r="H509" s="102" t="n">
        <v>481.973</v>
      </c>
      <c r="I509" s="103" t="n">
        <v>1445.92</v>
      </c>
      <c r="J509" s="104" t="s">
        <v>392</v>
      </c>
      <c r="K509" s="104" t="n">
        <v>1</v>
      </c>
      <c r="L509" s="101" t="n">
        <v>3</v>
      </c>
      <c r="M509" s="104" t="s">
        <v>902</v>
      </c>
      <c r="N509" s="98"/>
      <c r="O509" s="105" t="n">
        <f aca="false">IF(M509="Y",I509,IF(ISNUMBER(H509),H509*L509,0))</f>
        <v>1445.92</v>
      </c>
      <c r="P509" s="106" t="str">
        <f aca="false">IF(J509="","",J509&amp;"|"&amp;A509&amp;"|"&amp;K509)</f>
        <v>R111|Mountainland|1</v>
      </c>
    </row>
    <row r="510" customFormat="false" ht="15" hidden="false" customHeight="false" outlineLevel="0" collapsed="false">
      <c r="A510" s="98" t="s">
        <v>27</v>
      </c>
      <c r="B510" s="99" t="s">
        <v>1798</v>
      </c>
      <c r="C510" s="99" t="s">
        <v>130</v>
      </c>
      <c r="D510" s="98" t="s">
        <v>1796</v>
      </c>
      <c r="E510" s="100" t="s">
        <v>1799</v>
      </c>
      <c r="F510" s="101" t="n">
        <v>100</v>
      </c>
      <c r="G510" s="101" t="s">
        <v>1704</v>
      </c>
      <c r="H510" s="102" t="n">
        <v>2.841</v>
      </c>
      <c r="I510" s="103" t="n">
        <v>284.14</v>
      </c>
      <c r="J510" s="104" t="s">
        <v>348</v>
      </c>
      <c r="K510" s="104" t="n">
        <v>1</v>
      </c>
      <c r="L510" s="101" t="n">
        <v>100</v>
      </c>
      <c r="M510" s="104" t="s">
        <v>902</v>
      </c>
      <c r="N510" s="98"/>
      <c r="O510" s="105" t="n">
        <f aca="false">IF(M510="Y",I510,IF(ISNUMBER(H510),H510*L510,0))</f>
        <v>284.14</v>
      </c>
      <c r="P510" s="106" t="str">
        <f aca="false">IF(J510="","",J510&amp;"|"&amp;A510&amp;"|"&amp;K510)</f>
        <v>R092|Mountainland|1</v>
      </c>
    </row>
    <row r="511" customFormat="false" ht="15" hidden="false" customHeight="false" outlineLevel="0" collapsed="false">
      <c r="A511" s="98" t="s">
        <v>27</v>
      </c>
      <c r="B511" s="99" t="s">
        <v>1800</v>
      </c>
      <c r="C511" s="99" t="s">
        <v>130</v>
      </c>
      <c r="D511" s="98" t="s">
        <v>1796</v>
      </c>
      <c r="E511" s="100" t="s">
        <v>1801</v>
      </c>
      <c r="F511" s="101" t="n">
        <v>3</v>
      </c>
      <c r="G511" s="101" t="s">
        <v>1679</v>
      </c>
      <c r="H511" s="102" t="n">
        <v>20.086</v>
      </c>
      <c r="I511" s="103" t="n">
        <v>60.26</v>
      </c>
      <c r="J511" s="104" t="s">
        <v>354</v>
      </c>
      <c r="K511" s="104" t="n">
        <v>1</v>
      </c>
      <c r="L511" s="101" t="n">
        <v>3</v>
      </c>
      <c r="M511" s="104" t="s">
        <v>902</v>
      </c>
      <c r="N511" s="98"/>
      <c r="O511" s="105" t="n">
        <f aca="false">IF(M511="Y",I511,IF(ISNUMBER(H511),H511*L511,0))</f>
        <v>60.26</v>
      </c>
      <c r="P511" s="106" t="str">
        <f aca="false">IF(J511="","",J511&amp;"|"&amp;A511&amp;"|"&amp;K511)</f>
        <v>R095|Mountainland|1</v>
      </c>
    </row>
    <row r="512" customFormat="false" ht="15" hidden="false" customHeight="false" outlineLevel="0" collapsed="false">
      <c r="A512" s="98" t="s">
        <v>27</v>
      </c>
      <c r="B512" s="99" t="s">
        <v>1802</v>
      </c>
      <c r="C512" s="99" t="s">
        <v>130</v>
      </c>
      <c r="D512" s="98" t="s">
        <v>1796</v>
      </c>
      <c r="E512" s="100" t="s">
        <v>1803</v>
      </c>
      <c r="F512" s="101" t="n">
        <v>1</v>
      </c>
      <c r="G512" s="101" t="s">
        <v>1679</v>
      </c>
      <c r="H512" s="102" t="n">
        <v>0.732</v>
      </c>
      <c r="I512" s="103" t="n">
        <v>0.73</v>
      </c>
      <c r="J512" s="104" t="s">
        <v>379</v>
      </c>
      <c r="K512" s="104" t="n">
        <v>1</v>
      </c>
      <c r="L512" s="101" t="n">
        <v>1</v>
      </c>
      <c r="M512" s="104" t="s">
        <v>902</v>
      </c>
      <c r="N512" s="98"/>
      <c r="O512" s="105" t="n">
        <f aca="false">IF(M512="Y",I512,IF(ISNUMBER(H512),H512*L512,0))</f>
        <v>0.73</v>
      </c>
      <c r="P512" s="106" t="str">
        <f aca="false">IF(J512="","",J512&amp;"|"&amp;A512&amp;"|"&amp;K512)</f>
        <v>R105|Mountainland|1</v>
      </c>
    </row>
    <row r="513" customFormat="false" ht="15" hidden="false" customHeight="false" outlineLevel="0" collapsed="false">
      <c r="A513" s="98" t="s">
        <v>27</v>
      </c>
      <c r="B513" s="99" t="s">
        <v>1804</v>
      </c>
      <c r="C513" s="99" t="s">
        <v>130</v>
      </c>
      <c r="D513" s="98" t="s">
        <v>1796</v>
      </c>
      <c r="E513" s="100" t="s">
        <v>1805</v>
      </c>
      <c r="F513" s="101" t="n">
        <v>1</v>
      </c>
      <c r="G513" s="101" t="s">
        <v>1679</v>
      </c>
      <c r="H513" s="102" t="n">
        <v>34.652</v>
      </c>
      <c r="I513" s="103" t="n">
        <v>34.65</v>
      </c>
      <c r="J513" s="104" t="s">
        <v>362</v>
      </c>
      <c r="K513" s="104" t="n">
        <v>1</v>
      </c>
      <c r="L513" s="101" t="n">
        <v>1</v>
      </c>
      <c r="M513" s="104" t="s">
        <v>902</v>
      </c>
      <c r="N513" s="98"/>
      <c r="O513" s="105" t="n">
        <f aca="false">IF(M513="Y",I513,IF(ISNUMBER(H513),H513*L513,0))</f>
        <v>34.65</v>
      </c>
      <c r="P513" s="106" t="str">
        <f aca="false">IF(J513="","",J513&amp;"|"&amp;A513&amp;"|"&amp;K513)</f>
        <v>R098|Mountainland|1</v>
      </c>
    </row>
    <row r="514" customFormat="false" ht="15" hidden="false" customHeight="false" outlineLevel="0" collapsed="false">
      <c r="A514" s="98" t="s">
        <v>27</v>
      </c>
      <c r="B514" s="99" t="s">
        <v>1806</v>
      </c>
      <c r="C514" s="99" t="s">
        <v>130</v>
      </c>
      <c r="D514" s="98" t="s">
        <v>1796</v>
      </c>
      <c r="E514" s="100" t="s">
        <v>1807</v>
      </c>
      <c r="F514" s="101" t="n">
        <v>1</v>
      </c>
      <c r="G514" s="101" t="s">
        <v>1679</v>
      </c>
      <c r="H514" s="102" t="n">
        <v>103.902</v>
      </c>
      <c r="I514" s="103" t="n">
        <v>103.9</v>
      </c>
      <c r="J514" s="104" t="s">
        <v>171</v>
      </c>
      <c r="K514" s="104" t="n">
        <v>1</v>
      </c>
      <c r="L514" s="101" t="n">
        <v>1</v>
      </c>
      <c r="M514" s="104" t="s">
        <v>902</v>
      </c>
      <c r="N514" s="98"/>
      <c r="O514" s="105" t="n">
        <f aca="false">IF(M514="Y",I514,IF(ISNUMBER(H514),H514*L514,0))</f>
        <v>103.9</v>
      </c>
      <c r="P514" s="106" t="str">
        <f aca="false">IF(J514="","",J514&amp;"|"&amp;A514&amp;"|"&amp;K514)</f>
        <v>R018|Mountainland|1</v>
      </c>
    </row>
    <row r="515" customFormat="false" ht="15" hidden="false" customHeight="false" outlineLevel="0" collapsed="false">
      <c r="A515" s="98" t="s">
        <v>27</v>
      </c>
      <c r="B515" s="99" t="s">
        <v>1808</v>
      </c>
      <c r="C515" s="99" t="s">
        <v>130</v>
      </c>
      <c r="D515" s="98" t="s">
        <v>1796</v>
      </c>
      <c r="E515" s="100" t="s">
        <v>1809</v>
      </c>
      <c r="F515" s="101" t="n">
        <v>1</v>
      </c>
      <c r="G515" s="101" t="s">
        <v>1679</v>
      </c>
      <c r="H515" s="102" t="n">
        <v>9.745</v>
      </c>
      <c r="I515" s="103" t="n">
        <v>9.74</v>
      </c>
      <c r="J515" s="104" t="s">
        <v>322</v>
      </c>
      <c r="K515" s="104" t="n">
        <v>1</v>
      </c>
      <c r="L515" s="101" t="n">
        <v>1</v>
      </c>
      <c r="M515" s="104" t="s">
        <v>902</v>
      </c>
      <c r="N515" s="98"/>
      <c r="O515" s="105" t="n">
        <f aca="false">IF(M515="Y",I515,IF(ISNUMBER(H515),H515*L515,0))</f>
        <v>9.74</v>
      </c>
      <c r="P515" s="106" t="str">
        <f aca="false">IF(J515="","",J515&amp;"|"&amp;A515&amp;"|"&amp;K515)</f>
        <v>R082|Mountainland|1</v>
      </c>
    </row>
    <row r="516" customFormat="false" ht="15" hidden="false" customHeight="false" outlineLevel="0" collapsed="false">
      <c r="A516" s="98" t="s">
        <v>27</v>
      </c>
      <c r="B516" s="99" t="s">
        <v>1810</v>
      </c>
      <c r="C516" s="99" t="s">
        <v>130</v>
      </c>
      <c r="D516" s="98" t="s">
        <v>1796</v>
      </c>
      <c r="E516" s="100" t="s">
        <v>1811</v>
      </c>
      <c r="F516" s="101" t="n">
        <v>1</v>
      </c>
      <c r="G516" s="101" t="s">
        <v>1679</v>
      </c>
      <c r="H516" s="102" t="n">
        <v>65.537</v>
      </c>
      <c r="I516" s="103" t="n">
        <v>65.54</v>
      </c>
      <c r="J516" s="104" t="s">
        <v>303</v>
      </c>
      <c r="K516" s="104" t="n">
        <v>1</v>
      </c>
      <c r="L516" s="101" t="n">
        <v>1</v>
      </c>
      <c r="M516" s="104" t="s">
        <v>902</v>
      </c>
      <c r="N516" s="98"/>
      <c r="O516" s="105" t="n">
        <f aca="false">IF(M516="Y",I516,IF(ISNUMBER(H516),H516*L516,0))</f>
        <v>65.54</v>
      </c>
      <c r="P516" s="106" t="str">
        <f aca="false">IF(J516="","",J516&amp;"|"&amp;A516&amp;"|"&amp;K516)</f>
        <v>R075|Mountainland|1</v>
      </c>
    </row>
    <row r="517" customFormat="false" ht="15" hidden="false" customHeight="false" outlineLevel="0" collapsed="false">
      <c r="A517" s="98" t="s">
        <v>27</v>
      </c>
      <c r="B517" s="99" t="s">
        <v>1812</v>
      </c>
      <c r="C517" s="99" t="s">
        <v>130</v>
      </c>
      <c r="D517" s="98" t="s">
        <v>1796</v>
      </c>
      <c r="E517" s="100" t="s">
        <v>1813</v>
      </c>
      <c r="F517" s="101" t="n">
        <v>1</v>
      </c>
      <c r="G517" s="101" t="s">
        <v>1679</v>
      </c>
      <c r="H517" s="102" t="n">
        <v>281.25</v>
      </c>
      <c r="I517" s="103" t="n">
        <v>281.25</v>
      </c>
      <c r="J517" s="104" t="s">
        <v>395</v>
      </c>
      <c r="K517" s="104" t="n">
        <v>1</v>
      </c>
      <c r="L517" s="101" t="n">
        <v>1</v>
      </c>
      <c r="M517" s="104" t="s">
        <v>902</v>
      </c>
      <c r="N517" s="98"/>
      <c r="O517" s="105" t="n">
        <f aca="false">IF(M517="Y",I517,IF(ISNUMBER(H517),H517*L517,0))</f>
        <v>281.25</v>
      </c>
      <c r="P517" s="106" t="str">
        <f aca="false">IF(J517="","",J517&amp;"|"&amp;A517&amp;"|"&amp;K517)</f>
        <v>R112|Mountainland|1</v>
      </c>
    </row>
    <row r="518" customFormat="false" ht="15" hidden="false" customHeight="false" outlineLevel="0" collapsed="false">
      <c r="A518" s="98" t="s">
        <v>27</v>
      </c>
      <c r="B518" s="99" t="s">
        <v>1814</v>
      </c>
      <c r="C518" s="99" t="s">
        <v>457</v>
      </c>
      <c r="D518" s="98"/>
      <c r="E518" s="100" t="s">
        <v>1815</v>
      </c>
      <c r="F518" s="101" t="n">
        <v>560</v>
      </c>
      <c r="G518" s="101" t="s">
        <v>1704</v>
      </c>
      <c r="H518" s="102" t="n">
        <v>8.479</v>
      </c>
      <c r="I518" s="103" t="n">
        <v>4748.33</v>
      </c>
      <c r="J518" s="104" t="s">
        <v>456</v>
      </c>
      <c r="K518" s="104" t="n">
        <v>1</v>
      </c>
      <c r="L518" s="101" t="n">
        <v>560</v>
      </c>
      <c r="M518" s="104" t="s">
        <v>902</v>
      </c>
      <c r="N518" s="98"/>
      <c r="O518" s="105" t="n">
        <f aca="false">IF(M518="Y",I518,IF(ISNUMBER(H518),H518*L518,0))</f>
        <v>4748.33</v>
      </c>
      <c r="P518" s="106" t="str">
        <f aca="false">IF(J518="","",J518&amp;"|"&amp;A518&amp;"|"&amp;K518)</f>
        <v>R139|Mountainland|1</v>
      </c>
    </row>
    <row r="519" customFormat="false" ht="15" hidden="false" customHeight="false" outlineLevel="0" collapsed="false">
      <c r="A519" s="98" t="s">
        <v>27</v>
      </c>
      <c r="B519" s="99" t="s">
        <v>1816</v>
      </c>
      <c r="C519" s="99" t="s">
        <v>457</v>
      </c>
      <c r="D519" s="98"/>
      <c r="E519" s="100" t="s">
        <v>1817</v>
      </c>
      <c r="F519" s="101" t="n">
        <v>500</v>
      </c>
      <c r="G519" s="101" t="s">
        <v>1704</v>
      </c>
      <c r="H519" s="102" t="n">
        <v>0.297</v>
      </c>
      <c r="I519" s="103" t="n">
        <v>148.5</v>
      </c>
      <c r="J519" s="104" t="s">
        <v>459</v>
      </c>
      <c r="K519" s="104" t="n">
        <v>1</v>
      </c>
      <c r="L519" s="101" t="n">
        <v>500</v>
      </c>
      <c r="M519" s="104" t="s">
        <v>902</v>
      </c>
      <c r="N519" s="98"/>
      <c r="O519" s="105" t="n">
        <f aca="false">IF(M519="Y",I519,IF(ISNUMBER(H519),H519*L519,0))</f>
        <v>148.5</v>
      </c>
      <c r="P519" s="106" t="str">
        <f aca="false">IF(J519="","",J519&amp;"|"&amp;A519&amp;"|"&amp;K519)</f>
        <v>R140|Mountainland|1</v>
      </c>
    </row>
    <row r="520" customFormat="false" ht="15" hidden="false" customHeight="false" outlineLevel="0" collapsed="false">
      <c r="A520" s="98" t="s">
        <v>27</v>
      </c>
      <c r="B520" s="99" t="s">
        <v>1818</v>
      </c>
      <c r="C520" s="99" t="s">
        <v>481</v>
      </c>
      <c r="D520" s="98"/>
      <c r="E520" s="100" t="s">
        <v>1819</v>
      </c>
      <c r="F520" s="101" t="n">
        <v>3000</v>
      </c>
      <c r="G520" s="101" t="s">
        <v>1704</v>
      </c>
      <c r="H520" s="102" t="n">
        <v>38.601</v>
      </c>
      <c r="I520" s="103" t="n">
        <v>115803.11</v>
      </c>
      <c r="J520" s="104" t="s">
        <v>480</v>
      </c>
      <c r="K520" s="104" t="n">
        <v>1</v>
      </c>
      <c r="L520" s="101" t="n">
        <v>3000</v>
      </c>
      <c r="M520" s="104" t="s">
        <v>902</v>
      </c>
      <c r="N520" s="98"/>
      <c r="O520" s="105" t="n">
        <f aca="false">IF(M520="Y",I520,IF(ISNUMBER(H520),H520*L520,0))</f>
        <v>115803.11</v>
      </c>
      <c r="P520" s="106" t="str">
        <f aca="false">IF(J520="","",J520&amp;"|"&amp;A520&amp;"|"&amp;K520)</f>
        <v>R147|Mountainland|1</v>
      </c>
    </row>
    <row r="521" customFormat="false" ht="15" hidden="false" customHeight="false" outlineLevel="0" collapsed="false">
      <c r="A521" s="98" t="s">
        <v>27</v>
      </c>
      <c r="B521" s="99" t="s">
        <v>1820</v>
      </c>
      <c r="C521" s="99" t="s">
        <v>481</v>
      </c>
      <c r="D521" s="98"/>
      <c r="E521" s="100" t="s">
        <v>1817</v>
      </c>
      <c r="F521" s="101" t="n">
        <v>3000</v>
      </c>
      <c r="G521" s="101" t="s">
        <v>1704</v>
      </c>
      <c r="H521" s="102" t="n">
        <v>0.297</v>
      </c>
      <c r="I521" s="103" t="n">
        <v>891</v>
      </c>
      <c r="J521" s="104" t="s">
        <v>484</v>
      </c>
      <c r="K521" s="104" t="n">
        <v>1</v>
      </c>
      <c r="L521" s="101" t="n">
        <v>3000</v>
      </c>
      <c r="M521" s="104" t="s">
        <v>902</v>
      </c>
      <c r="N521" s="98"/>
      <c r="O521" s="105" t="n">
        <f aca="false">IF(M521="Y",I521,IF(ISNUMBER(H521),H521*L521,0))</f>
        <v>891</v>
      </c>
      <c r="P521" s="106" t="str">
        <f aca="false">IF(J521="","",J521&amp;"|"&amp;A521&amp;"|"&amp;K521)</f>
        <v>R148|Mountainland|1</v>
      </c>
    </row>
    <row r="522" customFormat="false" ht="15" hidden="false" customHeight="false" outlineLevel="0" collapsed="false">
      <c r="A522" s="98" t="s">
        <v>27</v>
      </c>
      <c r="B522" s="99" t="s">
        <v>1821</v>
      </c>
      <c r="C522" s="99" t="s">
        <v>498</v>
      </c>
      <c r="D522" s="98"/>
      <c r="E522" s="100" t="s">
        <v>1822</v>
      </c>
      <c r="F522" s="101" t="n">
        <v>12500</v>
      </c>
      <c r="G522" s="101" t="s">
        <v>1704</v>
      </c>
      <c r="H522" s="102" t="n">
        <v>30.083</v>
      </c>
      <c r="I522" s="103" t="n">
        <v>376038.42</v>
      </c>
      <c r="J522" s="104" t="s">
        <v>497</v>
      </c>
      <c r="K522" s="104" t="n">
        <v>1</v>
      </c>
      <c r="L522" s="101" t="n">
        <v>12500</v>
      </c>
      <c r="M522" s="104" t="s">
        <v>902</v>
      </c>
      <c r="N522" s="98"/>
      <c r="O522" s="105" t="n">
        <f aca="false">IF(M522="Y",I522,IF(ISNUMBER(H522),H522*L522,0))</f>
        <v>376038.42</v>
      </c>
      <c r="P522" s="106" t="str">
        <f aca="false">IF(J522="","",J522&amp;"|"&amp;A522&amp;"|"&amp;K522)</f>
        <v>R156|Mountainland|1</v>
      </c>
    </row>
    <row r="523" customFormat="false" ht="15" hidden="false" customHeight="false" outlineLevel="0" collapsed="false">
      <c r="A523" s="98" t="s">
        <v>27</v>
      </c>
      <c r="B523" s="99" t="s">
        <v>1823</v>
      </c>
      <c r="C523" s="99" t="s">
        <v>498</v>
      </c>
      <c r="D523" s="98"/>
      <c r="E523" s="100" t="s">
        <v>1817</v>
      </c>
      <c r="F523" s="101" t="n">
        <v>12500</v>
      </c>
      <c r="G523" s="101" t="s">
        <v>1704</v>
      </c>
      <c r="H523" s="102" t="n">
        <v>0.297</v>
      </c>
      <c r="I523" s="103" t="n">
        <v>3712.5</v>
      </c>
      <c r="J523" s="104" t="s">
        <v>500</v>
      </c>
      <c r="K523" s="104" t="n">
        <v>1</v>
      </c>
      <c r="L523" s="101" t="n">
        <v>12500</v>
      </c>
      <c r="M523" s="104" t="s">
        <v>902</v>
      </c>
      <c r="N523" s="98"/>
      <c r="O523" s="105" t="n">
        <f aca="false">IF(M523="Y",I523,IF(ISNUMBER(H523),H523*L523,0))</f>
        <v>3712.5</v>
      </c>
      <c r="P523" s="106" t="str">
        <f aca="false">IF(J523="","",J523&amp;"|"&amp;A523&amp;"|"&amp;K523)</f>
        <v>R157|Mountainland|1</v>
      </c>
    </row>
    <row r="524" customFormat="false" ht="15" hidden="false" customHeight="false" outlineLevel="0" collapsed="false">
      <c r="A524" s="98" t="s">
        <v>27</v>
      </c>
      <c r="B524" s="99" t="s">
        <v>1824</v>
      </c>
      <c r="C524" s="99" t="s">
        <v>511</v>
      </c>
      <c r="D524" s="98"/>
      <c r="E524" s="100" t="s">
        <v>1825</v>
      </c>
      <c r="F524" s="101" t="n">
        <v>16</v>
      </c>
      <c r="G524" s="101" t="s">
        <v>1679</v>
      </c>
      <c r="H524" s="102" t="n">
        <v>1131.923</v>
      </c>
      <c r="I524" s="103" t="n">
        <v>18110.77</v>
      </c>
      <c r="J524" s="104" t="s">
        <v>510</v>
      </c>
      <c r="K524" s="104" t="n">
        <v>1</v>
      </c>
      <c r="L524" s="101" t="n">
        <v>16</v>
      </c>
      <c r="M524" s="104" t="s">
        <v>902</v>
      </c>
      <c r="N524" s="98"/>
      <c r="O524" s="105" t="n">
        <f aca="false">IF(M524="Y",I524,IF(ISNUMBER(H524),H524*L524,0))</f>
        <v>18110.77</v>
      </c>
      <c r="P524" s="106" t="str">
        <f aca="false">IF(J524="","",J524&amp;"|"&amp;A524&amp;"|"&amp;K524)</f>
        <v>R164|Mountainland|1</v>
      </c>
    </row>
    <row r="525" customFormat="false" ht="15" hidden="false" customHeight="false" outlineLevel="0" collapsed="false">
      <c r="A525" s="98" t="s">
        <v>27</v>
      </c>
      <c r="B525" s="99" t="s">
        <v>1826</v>
      </c>
      <c r="C525" s="99" t="s">
        <v>511</v>
      </c>
      <c r="D525" s="98"/>
      <c r="E525" s="100" t="s">
        <v>1827</v>
      </c>
      <c r="F525" s="101" t="n">
        <v>16</v>
      </c>
      <c r="G525" s="101" t="s">
        <v>1679</v>
      </c>
      <c r="H525" s="102" t="n">
        <v>14.582</v>
      </c>
      <c r="I525" s="103" t="n">
        <v>233.31</v>
      </c>
      <c r="J525" s="104" t="s">
        <v>518</v>
      </c>
      <c r="K525" s="104" t="n">
        <v>1</v>
      </c>
      <c r="L525" s="101" t="n">
        <v>16</v>
      </c>
      <c r="M525" s="104" t="s">
        <v>902</v>
      </c>
      <c r="N525" s="98"/>
      <c r="O525" s="105" t="n">
        <f aca="false">IF(M525="Y",I525,IF(ISNUMBER(H525),H525*L525,0))</f>
        <v>233.31</v>
      </c>
      <c r="P525" s="106" t="str">
        <f aca="false">IF(J525="","",J525&amp;"|"&amp;A525&amp;"|"&amp;K525)</f>
        <v>R167|Mountainland|1</v>
      </c>
    </row>
    <row r="526" customFormat="false" ht="15" hidden="false" customHeight="false" outlineLevel="0" collapsed="false">
      <c r="A526" s="98" t="s">
        <v>27</v>
      </c>
      <c r="B526" s="99" t="s">
        <v>1828</v>
      </c>
      <c r="C526" s="99" t="s">
        <v>511</v>
      </c>
      <c r="D526" s="98"/>
      <c r="E526" s="100" t="s">
        <v>1829</v>
      </c>
      <c r="F526" s="101" t="n">
        <v>16</v>
      </c>
      <c r="G526" s="101" t="s">
        <v>1679</v>
      </c>
      <c r="H526" s="102" t="n">
        <v>132.5</v>
      </c>
      <c r="I526" s="103" t="n">
        <v>2120</v>
      </c>
      <c r="J526" s="104" t="s">
        <v>513</v>
      </c>
      <c r="K526" s="104" t="n">
        <v>1</v>
      </c>
      <c r="L526" s="101" t="n">
        <v>16</v>
      </c>
      <c r="M526" s="104" t="s">
        <v>902</v>
      </c>
      <c r="N526" s="98"/>
      <c r="O526" s="105" t="n">
        <f aca="false">IF(M526="Y",I526,IF(ISNUMBER(H526),H526*L526,0))</f>
        <v>2120</v>
      </c>
      <c r="P526" s="106" t="str">
        <f aca="false">IF(J526="","",J526&amp;"|"&amp;A526&amp;"|"&amp;K526)</f>
        <v>R165|Mountainland|1</v>
      </c>
    </row>
    <row r="527" customFormat="false" ht="15" hidden="false" customHeight="false" outlineLevel="0" collapsed="false">
      <c r="A527" s="98" t="s">
        <v>27</v>
      </c>
      <c r="B527" s="99" t="s">
        <v>1830</v>
      </c>
      <c r="C527" s="99" t="s">
        <v>511</v>
      </c>
      <c r="D527" s="98"/>
      <c r="E527" s="100" t="s">
        <v>1831</v>
      </c>
      <c r="F527" s="101" t="n">
        <v>16</v>
      </c>
      <c r="G527" s="101" t="s">
        <v>1679</v>
      </c>
      <c r="H527" s="102" t="n">
        <v>66.471</v>
      </c>
      <c r="I527" s="103" t="n">
        <v>1063.53</v>
      </c>
      <c r="J527" s="104" t="s">
        <v>516</v>
      </c>
      <c r="K527" s="104" t="n">
        <v>1</v>
      </c>
      <c r="L527" s="101" t="n">
        <v>16</v>
      </c>
      <c r="M527" s="104" t="s">
        <v>902</v>
      </c>
      <c r="N527" s="98"/>
      <c r="O527" s="105" t="n">
        <f aca="false">IF(M527="Y",I527,IF(ISNUMBER(H527),H527*L527,0))</f>
        <v>1063.53</v>
      </c>
      <c r="P527" s="106" t="str">
        <f aca="false">IF(J527="","",J527&amp;"|"&amp;A527&amp;"|"&amp;K527)</f>
        <v>R166|Mountainland|1</v>
      </c>
    </row>
    <row r="528" customFormat="false" ht="15" hidden="false" customHeight="false" outlineLevel="0" collapsed="false">
      <c r="A528" s="98" t="s">
        <v>27</v>
      </c>
      <c r="B528" s="99" t="s">
        <v>1832</v>
      </c>
      <c r="C528" s="99" t="s">
        <v>511</v>
      </c>
      <c r="D528" s="98"/>
      <c r="E528" s="100" t="s">
        <v>1833</v>
      </c>
      <c r="F528" s="101" t="n">
        <v>18</v>
      </c>
      <c r="G528" s="101" t="s">
        <v>1679</v>
      </c>
      <c r="H528" s="102" t="n">
        <v>62.706</v>
      </c>
      <c r="I528" s="103" t="n">
        <v>1128.71</v>
      </c>
      <c r="J528" s="104" t="s">
        <v>465</v>
      </c>
      <c r="K528" s="104" t="n">
        <v>1</v>
      </c>
      <c r="L528" s="101" t="n">
        <v>18</v>
      </c>
      <c r="M528" s="104" t="s">
        <v>902</v>
      </c>
      <c r="N528" s="98"/>
      <c r="O528" s="105" t="n">
        <f aca="false">IF(M528="Y",I528,IF(ISNUMBER(H528),H528*L528,0))</f>
        <v>1128.71</v>
      </c>
      <c r="P528" s="106" t="str">
        <f aca="false">IF(J528="","",J528&amp;"|"&amp;A528&amp;"|"&amp;K528)</f>
        <v>R142|Mountainland|1</v>
      </c>
    </row>
    <row r="529" customFormat="false" ht="15" hidden="false" customHeight="false" outlineLevel="0" collapsed="false">
      <c r="A529" s="98" t="s">
        <v>27</v>
      </c>
      <c r="B529" s="99" t="s">
        <v>1834</v>
      </c>
      <c r="C529" s="99" t="s">
        <v>523</v>
      </c>
      <c r="D529" s="98"/>
      <c r="E529" s="100" t="s">
        <v>1835</v>
      </c>
      <c r="F529" s="101" t="n">
        <v>4</v>
      </c>
      <c r="G529" s="101" t="s">
        <v>1679</v>
      </c>
      <c r="H529" s="102" t="n">
        <v>1768.269</v>
      </c>
      <c r="I529" s="103" t="n">
        <v>7073.08</v>
      </c>
      <c r="J529" s="104" t="s">
        <v>522</v>
      </c>
      <c r="K529" s="104" t="n">
        <v>1</v>
      </c>
      <c r="L529" s="101" t="n">
        <v>4</v>
      </c>
      <c r="M529" s="104" t="s">
        <v>902</v>
      </c>
      <c r="N529" s="98"/>
      <c r="O529" s="105" t="n">
        <f aca="false">IF(M529="Y",I529,IF(ISNUMBER(H529),H529*L529,0))</f>
        <v>7073.08</v>
      </c>
      <c r="P529" s="106" t="str">
        <f aca="false">IF(J529="","",J529&amp;"|"&amp;A529&amp;"|"&amp;K529)</f>
        <v>R168|Mountainland|1</v>
      </c>
    </row>
    <row r="530" customFormat="false" ht="15" hidden="false" customHeight="false" outlineLevel="0" collapsed="false">
      <c r="A530" s="98" t="s">
        <v>27</v>
      </c>
      <c r="B530" s="99" t="s">
        <v>1836</v>
      </c>
      <c r="C530" s="99" t="s">
        <v>523</v>
      </c>
      <c r="D530" s="98"/>
      <c r="E530" s="100" t="s">
        <v>1750</v>
      </c>
      <c r="F530" s="101" t="n">
        <v>4</v>
      </c>
      <c r="G530" s="101" t="s">
        <v>1679</v>
      </c>
      <c r="H530" s="102" t="n">
        <v>15.313</v>
      </c>
      <c r="I530" s="103" t="n">
        <v>61.25</v>
      </c>
      <c r="J530" s="104" t="s">
        <v>530</v>
      </c>
      <c r="K530" s="104" t="n">
        <v>1</v>
      </c>
      <c r="L530" s="101" t="n">
        <v>4</v>
      </c>
      <c r="M530" s="104" t="s">
        <v>902</v>
      </c>
      <c r="N530" s="98"/>
      <c r="O530" s="105" t="n">
        <f aca="false">IF(M530="Y",I530,IF(ISNUMBER(H530),H530*L530,0))</f>
        <v>61.25</v>
      </c>
      <c r="P530" s="106" t="str">
        <f aca="false">IF(J530="","",J530&amp;"|"&amp;A530&amp;"|"&amp;K530)</f>
        <v>R172|Mountainland|1</v>
      </c>
    </row>
    <row r="531" customFormat="false" ht="15" hidden="false" customHeight="false" outlineLevel="0" collapsed="false">
      <c r="A531" s="98" t="s">
        <v>27</v>
      </c>
      <c r="B531" s="99" t="s">
        <v>1837</v>
      </c>
      <c r="C531" s="99" t="s">
        <v>523</v>
      </c>
      <c r="D531" s="98"/>
      <c r="E531" s="100" t="s">
        <v>1829</v>
      </c>
      <c r="F531" s="101" t="n">
        <v>4</v>
      </c>
      <c r="G531" s="101" t="s">
        <v>1679</v>
      </c>
      <c r="H531" s="102" t="n">
        <v>132.5</v>
      </c>
      <c r="I531" s="103" t="n">
        <v>530</v>
      </c>
      <c r="J531" s="104" t="s">
        <v>525</v>
      </c>
      <c r="K531" s="104" t="n">
        <v>1</v>
      </c>
      <c r="L531" s="101" t="n">
        <v>4</v>
      </c>
      <c r="M531" s="104" t="s">
        <v>902</v>
      </c>
      <c r="N531" s="98"/>
      <c r="O531" s="105" t="n">
        <f aca="false">IF(M531="Y",I531,IF(ISNUMBER(H531),H531*L531,0))</f>
        <v>530</v>
      </c>
      <c r="P531" s="106" t="str">
        <f aca="false">IF(J531="","",J531&amp;"|"&amp;A531&amp;"|"&amp;K531)</f>
        <v>R169|Mountainland|1</v>
      </c>
    </row>
    <row r="532" customFormat="false" ht="15" hidden="false" customHeight="false" outlineLevel="0" collapsed="false">
      <c r="A532" s="98" t="s">
        <v>27</v>
      </c>
      <c r="B532" s="99" t="s">
        <v>1838</v>
      </c>
      <c r="C532" s="99" t="s">
        <v>523</v>
      </c>
      <c r="D532" s="98"/>
      <c r="E532" s="100" t="s">
        <v>1839</v>
      </c>
      <c r="F532" s="101" t="n">
        <v>2</v>
      </c>
      <c r="G532" s="101" t="s">
        <v>1679</v>
      </c>
      <c r="H532" s="102" t="n">
        <v>74.388</v>
      </c>
      <c r="I532" s="103" t="n">
        <v>148.78</v>
      </c>
      <c r="J532" s="104" t="s">
        <v>526</v>
      </c>
      <c r="K532" s="104" t="n">
        <v>1</v>
      </c>
      <c r="L532" s="101" t="n">
        <v>2</v>
      </c>
      <c r="M532" s="104" t="s">
        <v>902</v>
      </c>
      <c r="N532" s="98"/>
      <c r="O532" s="105" t="n">
        <f aca="false">IF(M532="Y",I532,IF(ISNUMBER(H532),H532*L532,0))</f>
        <v>148.78</v>
      </c>
      <c r="P532" s="106" t="str">
        <f aca="false">IF(J532="","",J532&amp;"|"&amp;A532&amp;"|"&amp;K532)</f>
        <v>R170|Mountainland|1</v>
      </c>
    </row>
    <row r="533" customFormat="false" ht="15" hidden="false" customHeight="false" outlineLevel="0" collapsed="false">
      <c r="A533" s="98" t="s">
        <v>27</v>
      </c>
      <c r="B533" s="99" t="s">
        <v>1840</v>
      </c>
      <c r="C533" s="99" t="s">
        <v>523</v>
      </c>
      <c r="D533" s="98"/>
      <c r="E533" s="100" t="s">
        <v>1841</v>
      </c>
      <c r="F533" s="101" t="n">
        <v>2</v>
      </c>
      <c r="G533" s="101" t="s">
        <v>1679</v>
      </c>
      <c r="H533" s="102" t="n">
        <v>70.247</v>
      </c>
      <c r="I533" s="103" t="n">
        <v>140.49</v>
      </c>
      <c r="J533" s="104" t="s">
        <v>528</v>
      </c>
      <c r="K533" s="104" t="n">
        <v>1</v>
      </c>
      <c r="L533" s="101" t="n">
        <v>2</v>
      </c>
      <c r="M533" s="104" t="s">
        <v>902</v>
      </c>
      <c r="N533" s="98"/>
      <c r="O533" s="105" t="n">
        <f aca="false">IF(M533="Y",I533,IF(ISNUMBER(H533),H533*L533,0))</f>
        <v>140.49</v>
      </c>
      <c r="P533" s="106" t="str">
        <f aca="false">IF(J533="","",J533&amp;"|"&amp;A533&amp;"|"&amp;K533)</f>
        <v>R171|Mountainland|1</v>
      </c>
    </row>
    <row r="534" customFormat="false" ht="15" hidden="false" customHeight="false" outlineLevel="0" collapsed="false">
      <c r="A534" s="98" t="s">
        <v>27</v>
      </c>
      <c r="B534" s="99" t="s">
        <v>1842</v>
      </c>
      <c r="C534" s="99" t="s">
        <v>523</v>
      </c>
      <c r="D534" s="98"/>
      <c r="E534" s="100" t="s">
        <v>1843</v>
      </c>
      <c r="F534" s="101" t="n">
        <v>2</v>
      </c>
      <c r="G534" s="101" t="s">
        <v>1679</v>
      </c>
      <c r="H534" s="102" t="n">
        <v>141.951</v>
      </c>
      <c r="I534" s="103" t="n">
        <v>283.9</v>
      </c>
      <c r="J534" s="104" t="s">
        <v>532</v>
      </c>
      <c r="K534" s="104" t="n">
        <v>1</v>
      </c>
      <c r="L534" s="101" t="n">
        <v>2</v>
      </c>
      <c r="M534" s="104" t="s">
        <v>902</v>
      </c>
      <c r="N534" s="98"/>
      <c r="O534" s="105" t="n">
        <f aca="false">IF(M534="Y",I534,IF(ISNUMBER(H534),H534*L534,0))</f>
        <v>283.9</v>
      </c>
      <c r="P534" s="106" t="str">
        <f aca="false">IF(J534="","",J534&amp;"|"&amp;A534&amp;"|"&amp;K534)</f>
        <v>R173|Mountainland|1</v>
      </c>
    </row>
    <row r="535" customFormat="false" ht="15" hidden="false" customHeight="false" outlineLevel="0" collapsed="false">
      <c r="A535" s="98" t="s">
        <v>27</v>
      </c>
      <c r="B535" s="99" t="s">
        <v>1844</v>
      </c>
      <c r="C535" s="99" t="s">
        <v>523</v>
      </c>
      <c r="D535" s="98"/>
      <c r="E535" s="100" t="s">
        <v>1845</v>
      </c>
      <c r="F535" s="101" t="n">
        <v>2</v>
      </c>
      <c r="G535" s="101" t="s">
        <v>1679</v>
      </c>
      <c r="H535" s="102" t="n">
        <v>36.488</v>
      </c>
      <c r="I535" s="103" t="n">
        <v>72.98</v>
      </c>
      <c r="J535" s="104" t="s">
        <v>534</v>
      </c>
      <c r="K535" s="104" t="n">
        <v>1</v>
      </c>
      <c r="L535" s="101" t="n">
        <v>2</v>
      </c>
      <c r="M535" s="104" t="s">
        <v>902</v>
      </c>
      <c r="N535" s="98"/>
      <c r="O535" s="105" t="n">
        <f aca="false">IF(M535="Y",I535,IF(ISNUMBER(H535),H535*L535,0))</f>
        <v>72.98</v>
      </c>
      <c r="P535" s="106" t="str">
        <f aca="false">IF(J535="","",J535&amp;"|"&amp;A535&amp;"|"&amp;K535)</f>
        <v>R174|Mountainland|1</v>
      </c>
    </row>
    <row r="536" customFormat="false" ht="15" hidden="false" customHeight="false" outlineLevel="0" collapsed="false">
      <c r="A536" s="98" t="s">
        <v>27</v>
      </c>
      <c r="B536" s="99" t="s">
        <v>1846</v>
      </c>
      <c r="C536" s="99" t="s">
        <v>523</v>
      </c>
      <c r="D536" s="98"/>
      <c r="E536" s="100" t="s">
        <v>1847</v>
      </c>
      <c r="F536" s="101" t="n">
        <v>8</v>
      </c>
      <c r="G536" s="101" t="s">
        <v>1679</v>
      </c>
      <c r="H536" s="102" t="n">
        <v>89.012</v>
      </c>
      <c r="I536" s="103" t="n">
        <v>712.09</v>
      </c>
      <c r="J536" s="104" t="s">
        <v>536</v>
      </c>
      <c r="K536" s="104" t="n">
        <v>1</v>
      </c>
      <c r="L536" s="101" t="n">
        <v>8</v>
      </c>
      <c r="M536" s="104" t="s">
        <v>902</v>
      </c>
      <c r="N536" s="98"/>
      <c r="O536" s="105" t="n">
        <f aca="false">IF(M536="Y",I536,IF(ISNUMBER(H536),H536*L536,0))</f>
        <v>712.09</v>
      </c>
      <c r="P536" s="106" t="str">
        <f aca="false">IF(J536="","",J536&amp;"|"&amp;A536&amp;"|"&amp;K536)</f>
        <v>R175|Mountainland|1</v>
      </c>
    </row>
    <row r="537" customFormat="false" ht="15" hidden="false" customHeight="false" outlineLevel="0" collapsed="false">
      <c r="A537" s="98" t="s">
        <v>27</v>
      </c>
      <c r="B537" s="99" t="s">
        <v>1848</v>
      </c>
      <c r="C537" s="99" t="s">
        <v>540</v>
      </c>
      <c r="D537" s="98"/>
      <c r="E537" s="100" t="s">
        <v>1849</v>
      </c>
      <c r="F537" s="101" t="n">
        <v>16</v>
      </c>
      <c r="G537" s="101" t="s">
        <v>1679</v>
      </c>
      <c r="H537" s="102" t="n">
        <v>3391.731</v>
      </c>
      <c r="I537" s="103" t="n">
        <v>54267.69</v>
      </c>
      <c r="J537" s="104" t="s">
        <v>539</v>
      </c>
      <c r="K537" s="104" t="n">
        <v>1</v>
      </c>
      <c r="L537" s="101" t="n">
        <v>16</v>
      </c>
      <c r="M537" s="104" t="s">
        <v>902</v>
      </c>
      <c r="N537" s="98"/>
      <c r="O537" s="105" t="n">
        <f aca="false">IF(M537="Y",I537,IF(ISNUMBER(H537),H537*L537,0))</f>
        <v>54267.69</v>
      </c>
      <c r="P537" s="106" t="str">
        <f aca="false">IF(J537="","",J537&amp;"|"&amp;A537&amp;"|"&amp;K537)</f>
        <v>R176|Mountainland|1</v>
      </c>
    </row>
    <row r="538" customFormat="false" ht="15" hidden="false" customHeight="false" outlineLevel="0" collapsed="false">
      <c r="A538" s="98" t="s">
        <v>27</v>
      </c>
      <c r="B538" s="99" t="s">
        <v>1850</v>
      </c>
      <c r="C538" s="99" t="s">
        <v>540</v>
      </c>
      <c r="D538" s="98"/>
      <c r="E538" s="100" t="s">
        <v>1695</v>
      </c>
      <c r="F538" s="101" t="n">
        <v>16</v>
      </c>
      <c r="G538" s="101" t="s">
        <v>1679</v>
      </c>
      <c r="H538" s="102" t="n">
        <v>35.06</v>
      </c>
      <c r="I538" s="103" t="n">
        <v>560.96</v>
      </c>
      <c r="J538" s="104" t="s">
        <v>544</v>
      </c>
      <c r="K538" s="104" t="n">
        <v>1</v>
      </c>
      <c r="L538" s="101" t="n">
        <v>16</v>
      </c>
      <c r="M538" s="104" t="s">
        <v>902</v>
      </c>
      <c r="N538" s="98"/>
      <c r="O538" s="105" t="n">
        <f aca="false">IF(M538="Y",I538,IF(ISNUMBER(H538),H538*L538,0))</f>
        <v>560.96</v>
      </c>
      <c r="P538" s="106" t="str">
        <f aca="false">IF(J538="","",J538&amp;"|"&amp;A538&amp;"|"&amp;K538)</f>
        <v>R180|Mountainland|1</v>
      </c>
    </row>
    <row r="539" customFormat="false" ht="15" hidden="false" customHeight="false" outlineLevel="0" collapsed="false">
      <c r="A539" s="98" t="s">
        <v>27</v>
      </c>
      <c r="B539" s="99" t="s">
        <v>1851</v>
      </c>
      <c r="C539" s="99" t="s">
        <v>540</v>
      </c>
      <c r="D539" s="98"/>
      <c r="E539" s="100" t="s">
        <v>1829</v>
      </c>
      <c r="F539" s="101" t="n">
        <v>16</v>
      </c>
      <c r="G539" s="101" t="s">
        <v>1679</v>
      </c>
      <c r="H539" s="102" t="n">
        <v>132.5</v>
      </c>
      <c r="I539" s="103" t="n">
        <v>2120</v>
      </c>
      <c r="J539" s="104" t="s">
        <v>541</v>
      </c>
      <c r="K539" s="104" t="n">
        <v>1</v>
      </c>
      <c r="L539" s="101" t="n">
        <v>16</v>
      </c>
      <c r="M539" s="104" t="s">
        <v>902</v>
      </c>
      <c r="N539" s="98"/>
      <c r="O539" s="105" t="n">
        <f aca="false">IF(M539="Y",I539,IF(ISNUMBER(H539),H539*L539,0))</f>
        <v>2120</v>
      </c>
      <c r="P539" s="106" t="str">
        <f aca="false">IF(J539="","",J539&amp;"|"&amp;A539&amp;"|"&amp;K539)</f>
        <v>R177|Mountainland|1</v>
      </c>
    </row>
    <row r="540" customFormat="false" ht="15" hidden="false" customHeight="false" outlineLevel="0" collapsed="false">
      <c r="A540" s="98" t="s">
        <v>27</v>
      </c>
      <c r="B540" s="99" t="s">
        <v>1852</v>
      </c>
      <c r="C540" s="99" t="s">
        <v>540</v>
      </c>
      <c r="D540" s="98"/>
      <c r="E540" s="100" t="s">
        <v>1713</v>
      </c>
      <c r="F540" s="101" t="n">
        <v>15</v>
      </c>
      <c r="G540" s="101" t="s">
        <v>1679</v>
      </c>
      <c r="H540" s="102" t="n">
        <v>136.588</v>
      </c>
      <c r="I540" s="103" t="n">
        <v>2048.82</v>
      </c>
      <c r="J540" s="104" t="s">
        <v>542</v>
      </c>
      <c r="K540" s="104" t="n">
        <v>1</v>
      </c>
      <c r="L540" s="101" t="n">
        <v>15</v>
      </c>
      <c r="M540" s="104" t="s">
        <v>902</v>
      </c>
      <c r="N540" s="98"/>
      <c r="O540" s="105" t="n">
        <f aca="false">IF(M540="Y",I540,IF(ISNUMBER(H540),H540*L540,0))</f>
        <v>2048.82</v>
      </c>
      <c r="P540" s="106" t="str">
        <f aca="false">IF(J540="","",J540&amp;"|"&amp;A540&amp;"|"&amp;K540)</f>
        <v>R178|Mountainland|1</v>
      </c>
    </row>
    <row r="541" customFormat="false" ht="15" hidden="false" customHeight="false" outlineLevel="0" collapsed="false">
      <c r="A541" s="98" t="s">
        <v>27</v>
      </c>
      <c r="B541" s="99" t="s">
        <v>1853</v>
      </c>
      <c r="C541" s="99" t="s">
        <v>540</v>
      </c>
      <c r="D541" s="98"/>
      <c r="E541" s="100" t="s">
        <v>1685</v>
      </c>
      <c r="F541" s="101" t="n">
        <v>1</v>
      </c>
      <c r="G541" s="101" t="s">
        <v>1679</v>
      </c>
      <c r="H541" s="102" t="n">
        <v>134.118</v>
      </c>
      <c r="I541" s="103" t="n">
        <v>134.12</v>
      </c>
      <c r="J541" s="104" t="s">
        <v>543</v>
      </c>
      <c r="K541" s="104" t="n">
        <v>1</v>
      </c>
      <c r="L541" s="101" t="n">
        <v>1</v>
      </c>
      <c r="M541" s="104" t="s">
        <v>902</v>
      </c>
      <c r="N541" s="98"/>
      <c r="O541" s="105" t="n">
        <f aca="false">IF(M541="Y",I541,IF(ISNUMBER(H541),H541*L541,0))</f>
        <v>134.12</v>
      </c>
      <c r="P541" s="106" t="str">
        <f aca="false">IF(J541="","",J541&amp;"|"&amp;A541&amp;"|"&amp;K541)</f>
        <v>R179|Mountainland|1</v>
      </c>
    </row>
    <row r="542" customFormat="false" ht="15" hidden="false" customHeight="false" outlineLevel="0" collapsed="false">
      <c r="A542" s="98" t="s">
        <v>27</v>
      </c>
      <c r="B542" s="99" t="s">
        <v>1854</v>
      </c>
      <c r="C542" s="99" t="s">
        <v>540</v>
      </c>
      <c r="D542" s="98"/>
      <c r="E542" s="100" t="s">
        <v>1855</v>
      </c>
      <c r="F542" s="101" t="n">
        <v>1</v>
      </c>
      <c r="G542" s="101" t="s">
        <v>1679</v>
      </c>
      <c r="H542" s="102" t="n">
        <v>242.927</v>
      </c>
      <c r="I542" s="103" t="n">
        <v>242.93</v>
      </c>
      <c r="J542" s="104" t="s">
        <v>546</v>
      </c>
      <c r="K542" s="104" t="n">
        <v>1</v>
      </c>
      <c r="L542" s="101" t="n">
        <v>1</v>
      </c>
      <c r="M542" s="104" t="s">
        <v>902</v>
      </c>
      <c r="N542" s="98"/>
      <c r="O542" s="105" t="n">
        <f aca="false">IF(M542="Y",I542,IF(ISNUMBER(H542),H542*L542,0))</f>
        <v>242.93</v>
      </c>
      <c r="P542" s="106" t="str">
        <f aca="false">IF(J542="","",J542&amp;"|"&amp;A542&amp;"|"&amp;K542)</f>
        <v>R181|Mountainland|1</v>
      </c>
    </row>
    <row r="543" customFormat="false" ht="15" hidden="false" customHeight="false" outlineLevel="0" collapsed="false">
      <c r="A543" s="98" t="s">
        <v>27</v>
      </c>
      <c r="B543" s="99" t="s">
        <v>1856</v>
      </c>
      <c r="C543" s="99" t="s">
        <v>540</v>
      </c>
      <c r="D543" s="98"/>
      <c r="E543" s="100" t="s">
        <v>1857</v>
      </c>
      <c r="F543" s="101" t="n">
        <v>1</v>
      </c>
      <c r="G543" s="101" t="s">
        <v>1679</v>
      </c>
      <c r="H543" s="102" t="n">
        <v>74.976</v>
      </c>
      <c r="I543" s="103" t="n">
        <v>74.98</v>
      </c>
      <c r="J543" s="104" t="s">
        <v>548</v>
      </c>
      <c r="K543" s="104" t="n">
        <v>1</v>
      </c>
      <c r="L543" s="101" t="n">
        <v>1</v>
      </c>
      <c r="M543" s="104" t="s">
        <v>902</v>
      </c>
      <c r="N543" s="98"/>
      <c r="O543" s="105" t="n">
        <f aca="false">IF(M543="Y",I543,IF(ISNUMBER(H543),H543*L543,0))</f>
        <v>74.98</v>
      </c>
      <c r="P543" s="106" t="str">
        <f aca="false">IF(J543="","",J543&amp;"|"&amp;A543&amp;"|"&amp;K543)</f>
        <v>R182|Mountainland|1</v>
      </c>
    </row>
    <row r="544" customFormat="false" ht="15" hidden="false" customHeight="false" outlineLevel="0" collapsed="false">
      <c r="A544" s="98" t="s">
        <v>27</v>
      </c>
      <c r="B544" s="99" t="s">
        <v>1858</v>
      </c>
      <c r="C544" s="99" t="s">
        <v>540</v>
      </c>
      <c r="D544" s="98"/>
      <c r="E544" s="100" t="s">
        <v>1859</v>
      </c>
      <c r="F544" s="101" t="n">
        <v>92</v>
      </c>
      <c r="G544" s="101" t="s">
        <v>1679</v>
      </c>
      <c r="H544" s="102" t="n">
        <v>164.482</v>
      </c>
      <c r="I544" s="103" t="n">
        <v>15132.38</v>
      </c>
      <c r="J544" s="104" t="s">
        <v>502</v>
      </c>
      <c r="K544" s="104" t="n">
        <v>1</v>
      </c>
      <c r="L544" s="101" t="n">
        <v>92</v>
      </c>
      <c r="M544" s="104" t="s">
        <v>902</v>
      </c>
      <c r="N544" s="98"/>
      <c r="O544" s="105" t="n">
        <f aca="false">IF(M544="Y",I544,IF(ISNUMBER(H544),H544*L544,0))</f>
        <v>15132.38</v>
      </c>
      <c r="P544" s="106" t="str">
        <f aca="false">IF(J544="","",J544&amp;"|"&amp;A544&amp;"|"&amp;K544)</f>
        <v>R159|Mountainland|1</v>
      </c>
    </row>
    <row r="545" customFormat="false" ht="15" hidden="false" customHeight="false" outlineLevel="0" collapsed="false">
      <c r="A545" s="98" t="s">
        <v>27</v>
      </c>
      <c r="B545" s="99" t="s">
        <v>1860</v>
      </c>
      <c r="C545" s="99" t="s">
        <v>552</v>
      </c>
      <c r="D545" s="98"/>
      <c r="E545" s="100" t="s">
        <v>1861</v>
      </c>
      <c r="F545" s="101" t="n">
        <v>12</v>
      </c>
      <c r="G545" s="101" t="s">
        <v>1679</v>
      </c>
      <c r="H545" s="102" t="n">
        <v>4341.176</v>
      </c>
      <c r="I545" s="103" t="n">
        <v>52094.12</v>
      </c>
      <c r="J545" s="104" t="s">
        <v>551</v>
      </c>
      <c r="K545" s="104" t="n">
        <v>1</v>
      </c>
      <c r="L545" s="101" t="n">
        <v>12</v>
      </c>
      <c r="M545" s="104" t="s">
        <v>902</v>
      </c>
      <c r="N545" s="98"/>
      <c r="O545" s="105" t="n">
        <f aca="false">IF(M545="Y",I545,IF(ISNUMBER(H545),H545*L545,0))</f>
        <v>52094.12</v>
      </c>
      <c r="P545" s="106" t="str">
        <f aca="false">IF(J545="","",J545&amp;"|"&amp;A545&amp;"|"&amp;K545)</f>
        <v>R183|Mountainland|1</v>
      </c>
    </row>
    <row r="546" customFormat="false" ht="15" hidden="false" customHeight="false" outlineLevel="0" collapsed="false">
      <c r="A546" s="98" t="s">
        <v>27</v>
      </c>
      <c r="B546" s="99" t="s">
        <v>1862</v>
      </c>
      <c r="C546" s="99" t="s">
        <v>552</v>
      </c>
      <c r="D546" s="98"/>
      <c r="E546" s="100" t="s">
        <v>1728</v>
      </c>
      <c r="F546" s="101" t="n">
        <v>12</v>
      </c>
      <c r="G546" s="101" t="s">
        <v>1679</v>
      </c>
      <c r="H546" s="102" t="n">
        <v>64.284</v>
      </c>
      <c r="I546" s="103" t="n">
        <v>771.4</v>
      </c>
      <c r="J546" s="104" t="s">
        <v>558</v>
      </c>
      <c r="K546" s="104" t="n">
        <v>1</v>
      </c>
      <c r="L546" s="101" t="n">
        <v>12</v>
      </c>
      <c r="M546" s="104" t="s">
        <v>902</v>
      </c>
      <c r="N546" s="98"/>
      <c r="O546" s="105" t="n">
        <f aca="false">IF(M546="Y",I546,IF(ISNUMBER(H546),H546*L546,0))</f>
        <v>771.4</v>
      </c>
      <c r="P546" s="106" t="str">
        <f aca="false">IF(J546="","",J546&amp;"|"&amp;A546&amp;"|"&amp;K546)</f>
        <v>R187|Mountainland|1</v>
      </c>
    </row>
    <row r="547" customFormat="false" ht="15" hidden="false" customHeight="false" outlineLevel="0" collapsed="false">
      <c r="A547" s="98" t="s">
        <v>27</v>
      </c>
      <c r="B547" s="99" t="s">
        <v>1863</v>
      </c>
      <c r="C547" s="99" t="s">
        <v>552</v>
      </c>
      <c r="D547" s="98"/>
      <c r="E547" s="100" t="s">
        <v>1829</v>
      </c>
      <c r="F547" s="101" t="n">
        <v>12</v>
      </c>
      <c r="G547" s="101" t="s">
        <v>1679</v>
      </c>
      <c r="H547" s="102" t="n">
        <v>132.5</v>
      </c>
      <c r="I547" s="103" t="n">
        <v>1590</v>
      </c>
      <c r="J547" s="104" t="s">
        <v>555</v>
      </c>
      <c r="K547" s="104" t="n">
        <v>1</v>
      </c>
      <c r="L547" s="101" t="n">
        <v>12</v>
      </c>
      <c r="M547" s="104" t="s">
        <v>902</v>
      </c>
      <c r="N547" s="98"/>
      <c r="O547" s="105" t="n">
        <f aca="false">IF(M547="Y",I547,IF(ISNUMBER(H547),H547*L547,0))</f>
        <v>1590</v>
      </c>
      <c r="P547" s="106" t="str">
        <f aca="false">IF(J547="","",J547&amp;"|"&amp;A547&amp;"|"&amp;K547)</f>
        <v>R184|Mountainland|1</v>
      </c>
    </row>
    <row r="548" customFormat="false" ht="15" hidden="false" customHeight="false" outlineLevel="0" collapsed="false">
      <c r="A548" s="98" t="s">
        <v>27</v>
      </c>
      <c r="B548" s="99" t="s">
        <v>1864</v>
      </c>
      <c r="C548" s="99" t="s">
        <v>552</v>
      </c>
      <c r="D548" s="98"/>
      <c r="E548" s="100" t="s">
        <v>1681</v>
      </c>
      <c r="F548" s="101" t="n">
        <v>11</v>
      </c>
      <c r="G548" s="101" t="s">
        <v>1679</v>
      </c>
      <c r="H548" s="102" t="n">
        <v>241.176</v>
      </c>
      <c r="I548" s="103" t="n">
        <v>2652.94</v>
      </c>
      <c r="J548" s="104" t="s">
        <v>556</v>
      </c>
      <c r="K548" s="104" t="n">
        <v>1</v>
      </c>
      <c r="L548" s="101" t="n">
        <v>11</v>
      </c>
      <c r="M548" s="104" t="s">
        <v>902</v>
      </c>
      <c r="N548" s="98"/>
      <c r="O548" s="105" t="n">
        <f aca="false">IF(M548="Y",I548,IF(ISNUMBER(H548),H548*L548,0))</f>
        <v>2652.94</v>
      </c>
      <c r="P548" s="106" t="str">
        <f aca="false">IF(J548="","",J548&amp;"|"&amp;A548&amp;"|"&amp;K548)</f>
        <v>R185|Mountainland|1</v>
      </c>
    </row>
    <row r="549" customFormat="false" ht="15" hidden="false" customHeight="false" outlineLevel="0" collapsed="false">
      <c r="A549" s="98" t="s">
        <v>27</v>
      </c>
      <c r="B549" s="99" t="s">
        <v>1865</v>
      </c>
      <c r="C549" s="99" t="s">
        <v>552</v>
      </c>
      <c r="D549" s="98"/>
      <c r="E549" s="100" t="s">
        <v>1683</v>
      </c>
      <c r="F549" s="101" t="n">
        <v>1</v>
      </c>
      <c r="G549" s="101" t="s">
        <v>1679</v>
      </c>
      <c r="H549" s="102" t="n">
        <v>234.953</v>
      </c>
      <c r="I549" s="103" t="n">
        <v>234.95</v>
      </c>
      <c r="J549" s="104" t="s">
        <v>557</v>
      </c>
      <c r="K549" s="104" t="n">
        <v>1</v>
      </c>
      <c r="L549" s="101" t="n">
        <v>1</v>
      </c>
      <c r="M549" s="104" t="s">
        <v>902</v>
      </c>
      <c r="N549" s="98"/>
      <c r="O549" s="105" t="n">
        <f aca="false">IF(M549="Y",I549,IF(ISNUMBER(H549),H549*L549,0))</f>
        <v>234.95</v>
      </c>
      <c r="P549" s="106" t="str">
        <f aca="false">IF(J549="","",J549&amp;"|"&amp;A549&amp;"|"&amp;K549)</f>
        <v>R186|Mountainland|1</v>
      </c>
    </row>
    <row r="550" customFormat="false" ht="15" hidden="false" customHeight="false" outlineLevel="0" collapsed="false">
      <c r="A550" s="98" t="s">
        <v>27</v>
      </c>
      <c r="B550" s="99" t="s">
        <v>1866</v>
      </c>
      <c r="C550" s="99" t="s">
        <v>552</v>
      </c>
      <c r="D550" s="98"/>
      <c r="E550" s="100" t="s">
        <v>1867</v>
      </c>
      <c r="F550" s="101" t="n">
        <v>1</v>
      </c>
      <c r="G550" s="101" t="s">
        <v>1679</v>
      </c>
      <c r="H550" s="102" t="n">
        <v>638.049</v>
      </c>
      <c r="I550" s="103" t="n">
        <v>638.05</v>
      </c>
      <c r="J550" s="104" t="s">
        <v>561</v>
      </c>
      <c r="K550" s="104" t="n">
        <v>1</v>
      </c>
      <c r="L550" s="101" t="n">
        <v>1</v>
      </c>
      <c r="M550" s="104" t="s">
        <v>902</v>
      </c>
      <c r="N550" s="98"/>
      <c r="O550" s="105" t="n">
        <f aca="false">IF(M550="Y",I550,IF(ISNUMBER(H550),H550*L550,0))</f>
        <v>638.05</v>
      </c>
      <c r="P550" s="106" t="str">
        <f aca="false">IF(J550="","",J550&amp;"|"&amp;A550&amp;"|"&amp;K550)</f>
        <v>R188|Mountainland|1</v>
      </c>
    </row>
    <row r="551" customFormat="false" ht="15" hidden="false" customHeight="false" outlineLevel="0" collapsed="false">
      <c r="A551" s="98" t="s">
        <v>27</v>
      </c>
      <c r="B551" s="99" t="s">
        <v>1868</v>
      </c>
      <c r="C551" s="99" t="s">
        <v>552</v>
      </c>
      <c r="D551" s="98"/>
      <c r="E551" s="100" t="s">
        <v>1869</v>
      </c>
      <c r="F551" s="101" t="n">
        <v>90</v>
      </c>
      <c r="G551" s="101" t="s">
        <v>1679</v>
      </c>
      <c r="H551" s="102" t="n">
        <v>408.482</v>
      </c>
      <c r="I551" s="103" t="n">
        <v>36763.41</v>
      </c>
      <c r="J551" s="104" t="s">
        <v>486</v>
      </c>
      <c r="K551" s="104" t="n">
        <v>1</v>
      </c>
      <c r="L551" s="101" t="n">
        <v>90</v>
      </c>
      <c r="M551" s="104" t="s">
        <v>902</v>
      </c>
      <c r="N551" s="98"/>
      <c r="O551" s="105" t="n">
        <f aca="false">IF(M551="Y",I551,IF(ISNUMBER(H551),H551*L551,0))</f>
        <v>36763.41</v>
      </c>
      <c r="P551" s="106" t="str">
        <f aca="false">IF(J551="","",J551&amp;"|"&amp;A551&amp;"|"&amp;K551)</f>
        <v>R150|Mountainland|1</v>
      </c>
    </row>
    <row r="552" customFormat="false" ht="15" hidden="false" customHeight="false" outlineLevel="0" collapsed="false">
      <c r="A552" s="98" t="s">
        <v>27</v>
      </c>
      <c r="B552" s="99" t="s">
        <v>1870</v>
      </c>
      <c r="C552" s="99" t="s">
        <v>552</v>
      </c>
      <c r="D552" s="98"/>
      <c r="E552" s="100" t="s">
        <v>1871</v>
      </c>
      <c r="F552" s="101" t="n">
        <v>48</v>
      </c>
      <c r="G552" s="101" t="s">
        <v>1679</v>
      </c>
      <c r="H552" s="102" t="n">
        <v>3.448</v>
      </c>
      <c r="I552" s="103" t="n">
        <v>165.49</v>
      </c>
      <c r="J552" s="104" t="s">
        <v>558</v>
      </c>
      <c r="K552" s="104" t="n">
        <v>2</v>
      </c>
      <c r="L552" s="101" t="n">
        <v>12</v>
      </c>
      <c r="M552" s="104" t="s">
        <v>902</v>
      </c>
      <c r="N552" s="98" t="s">
        <v>1872</v>
      </c>
      <c r="O552" s="105" t="n">
        <f aca="false">IF(M552="Y",I552,IF(ISNUMBER(H552),H552*L552,0))</f>
        <v>165.49</v>
      </c>
      <c r="P552" s="106" t="str">
        <f aca="false">IF(J552="","",J552&amp;"|"&amp;A552&amp;"|"&amp;K552)</f>
        <v>R187|Mountainland|2</v>
      </c>
    </row>
    <row r="553" customFormat="false" ht="15" hidden="false" customHeight="false" outlineLevel="0" collapsed="false">
      <c r="A553" s="98" t="s">
        <v>27</v>
      </c>
      <c r="B553" s="99" t="s">
        <v>1873</v>
      </c>
      <c r="C553" s="99" t="s">
        <v>569</v>
      </c>
      <c r="D553" s="98"/>
      <c r="E553" s="100" t="s">
        <v>1874</v>
      </c>
      <c r="F553" s="101" t="n">
        <v>2</v>
      </c>
      <c r="G553" s="101" t="s">
        <v>1679</v>
      </c>
      <c r="H553" s="102" t="n">
        <v>372.439</v>
      </c>
      <c r="I553" s="103" t="n">
        <v>744.88</v>
      </c>
      <c r="J553" s="104" t="s">
        <v>568</v>
      </c>
      <c r="K553" s="104" t="n">
        <v>1</v>
      </c>
      <c r="L553" s="101" t="n">
        <v>2</v>
      </c>
      <c r="M553" s="104" t="s">
        <v>902</v>
      </c>
      <c r="N553" s="98"/>
      <c r="O553" s="105" t="n">
        <f aca="false">IF(M553="Y",I553,IF(ISNUMBER(H553),H553*L553,0))</f>
        <v>744.88</v>
      </c>
      <c r="P553" s="106" t="str">
        <f aca="false">IF(J553="","",J553&amp;"|"&amp;A553&amp;"|"&amp;K553)</f>
        <v>R191|Mountainland|1</v>
      </c>
    </row>
    <row r="554" customFormat="false" ht="15" hidden="false" customHeight="false" outlineLevel="0" collapsed="false">
      <c r="A554" s="98" t="s">
        <v>27</v>
      </c>
      <c r="B554" s="99" t="s">
        <v>1875</v>
      </c>
      <c r="C554" s="99" t="s">
        <v>569</v>
      </c>
      <c r="D554" s="98"/>
      <c r="E554" s="100" t="s">
        <v>1713</v>
      </c>
      <c r="F554" s="101" t="n">
        <v>4</v>
      </c>
      <c r="G554" s="101" t="s">
        <v>1679</v>
      </c>
      <c r="H554" s="102" t="n">
        <v>136.588</v>
      </c>
      <c r="I554" s="103" t="n">
        <v>546.35</v>
      </c>
      <c r="J554" s="104" t="s">
        <v>571</v>
      </c>
      <c r="K554" s="104" t="n">
        <v>1</v>
      </c>
      <c r="L554" s="101" t="n">
        <v>4</v>
      </c>
      <c r="M554" s="104" t="s">
        <v>902</v>
      </c>
      <c r="N554" s="98"/>
      <c r="O554" s="105" t="n">
        <f aca="false">IF(M554="Y",I554,IF(ISNUMBER(H554),H554*L554,0))</f>
        <v>546.35</v>
      </c>
      <c r="P554" s="106" t="str">
        <f aca="false">IF(J554="","",J554&amp;"|"&amp;A554&amp;"|"&amp;K554)</f>
        <v>R192|Mountainland|1</v>
      </c>
    </row>
    <row r="555" customFormat="false" ht="15" hidden="false" customHeight="false" outlineLevel="0" collapsed="false">
      <c r="A555" s="98" t="s">
        <v>27</v>
      </c>
      <c r="B555" s="99" t="s">
        <v>1876</v>
      </c>
      <c r="C555" s="99" t="s">
        <v>574</v>
      </c>
      <c r="D555" s="98"/>
      <c r="E555" s="100" t="s">
        <v>1877</v>
      </c>
      <c r="F555" s="101" t="n">
        <v>1</v>
      </c>
      <c r="G555" s="101" t="s">
        <v>1679</v>
      </c>
      <c r="H555" s="102" t="n">
        <v>454.39</v>
      </c>
      <c r="I555" s="103" t="n">
        <v>454.39</v>
      </c>
      <c r="J555" s="104" t="s">
        <v>573</v>
      </c>
      <c r="K555" s="104" t="n">
        <v>1</v>
      </c>
      <c r="L555" s="101" t="n">
        <v>1</v>
      </c>
      <c r="M555" s="104" t="s">
        <v>902</v>
      </c>
      <c r="N555" s="98"/>
      <c r="O555" s="105" t="n">
        <f aca="false">IF(M555="Y",I555,IF(ISNUMBER(H555),H555*L555,0))</f>
        <v>454.39</v>
      </c>
      <c r="P555" s="106" t="str">
        <f aca="false">IF(J555="","",J555&amp;"|"&amp;A555&amp;"|"&amp;K555)</f>
        <v>R193|Mountainland|1</v>
      </c>
    </row>
    <row r="556" customFormat="false" ht="15" hidden="false" customHeight="false" outlineLevel="0" collapsed="false">
      <c r="A556" s="98" t="s">
        <v>27</v>
      </c>
      <c r="B556" s="99" t="s">
        <v>1878</v>
      </c>
      <c r="C556" s="99" t="s">
        <v>574</v>
      </c>
      <c r="D556" s="98"/>
      <c r="E556" s="100" t="s">
        <v>1713</v>
      </c>
      <c r="F556" s="101" t="n">
        <v>2</v>
      </c>
      <c r="G556" s="101" t="s">
        <v>1679</v>
      </c>
      <c r="H556" s="102" t="n">
        <v>136.588</v>
      </c>
      <c r="I556" s="103" t="n">
        <v>273.18</v>
      </c>
      <c r="J556" s="104" t="s">
        <v>576</v>
      </c>
      <c r="K556" s="104" t="n">
        <v>1</v>
      </c>
      <c r="L556" s="101" t="n">
        <v>2</v>
      </c>
      <c r="M556" s="104" t="s">
        <v>902</v>
      </c>
      <c r="N556" s="98"/>
      <c r="O556" s="105" t="n">
        <f aca="false">IF(M556="Y",I556,IF(ISNUMBER(H556),H556*L556,0))</f>
        <v>273.18</v>
      </c>
      <c r="P556" s="106" t="str">
        <f aca="false">IF(J556="","",J556&amp;"|"&amp;A556&amp;"|"&amp;K556)</f>
        <v>R194|Mountainland|1</v>
      </c>
    </row>
    <row r="557" customFormat="false" ht="15" hidden="false" customHeight="false" outlineLevel="0" collapsed="false">
      <c r="A557" s="98" t="s">
        <v>27</v>
      </c>
      <c r="B557" s="99" t="s">
        <v>1879</v>
      </c>
      <c r="C557" s="99" t="s">
        <v>579</v>
      </c>
      <c r="D557" s="98"/>
      <c r="E557" s="100" t="s">
        <v>1880</v>
      </c>
      <c r="F557" s="101" t="n">
        <v>1</v>
      </c>
      <c r="G557" s="101" t="s">
        <v>1679</v>
      </c>
      <c r="H557" s="102" t="n">
        <v>680.488</v>
      </c>
      <c r="I557" s="103" t="n">
        <v>680.49</v>
      </c>
      <c r="J557" s="104" t="s">
        <v>581</v>
      </c>
      <c r="K557" s="104" t="n">
        <v>1</v>
      </c>
      <c r="L557" s="101" t="n">
        <v>1</v>
      </c>
      <c r="M557" s="104" t="s">
        <v>902</v>
      </c>
      <c r="N557" s="98"/>
      <c r="O557" s="105" t="n">
        <f aca="false">IF(M557="Y",I557,IF(ISNUMBER(H557),H557*L557,0))</f>
        <v>680.49</v>
      </c>
      <c r="P557" s="106" t="str">
        <f aca="false">IF(J557="","",J557&amp;"|"&amp;A557&amp;"|"&amp;K557)</f>
        <v>R196|Mountainland|1</v>
      </c>
    </row>
    <row r="558" customFormat="false" ht="15" hidden="false" customHeight="false" outlineLevel="0" collapsed="false">
      <c r="A558" s="98" t="s">
        <v>27</v>
      </c>
      <c r="B558" s="99" t="s">
        <v>1881</v>
      </c>
      <c r="C558" s="99" t="s">
        <v>579</v>
      </c>
      <c r="D558" s="98"/>
      <c r="E558" s="100" t="s">
        <v>1882</v>
      </c>
      <c r="F558" s="101" t="n">
        <v>11</v>
      </c>
      <c r="G558" s="101" t="s">
        <v>1679</v>
      </c>
      <c r="H558" s="102" t="n">
        <v>1315.61</v>
      </c>
      <c r="I558" s="103" t="n">
        <v>14471.71</v>
      </c>
      <c r="J558" s="104" t="s">
        <v>578</v>
      </c>
      <c r="K558" s="104" t="n">
        <v>1</v>
      </c>
      <c r="L558" s="101" t="n">
        <v>11</v>
      </c>
      <c r="M558" s="104" t="s">
        <v>902</v>
      </c>
      <c r="N558" s="98"/>
      <c r="O558" s="105" t="n">
        <f aca="false">IF(M558="Y",I558,IF(ISNUMBER(H558),H558*L558,0))</f>
        <v>14471.71</v>
      </c>
      <c r="P558" s="106" t="str">
        <f aca="false">IF(J558="","",J558&amp;"|"&amp;A558&amp;"|"&amp;K558)</f>
        <v>R195|Mountainland|1</v>
      </c>
    </row>
    <row r="559" customFormat="false" ht="15" hidden="false" customHeight="false" outlineLevel="0" collapsed="false">
      <c r="A559" s="98" t="s">
        <v>27</v>
      </c>
      <c r="B559" s="99" t="s">
        <v>1883</v>
      </c>
      <c r="C559" s="99" t="s">
        <v>579</v>
      </c>
      <c r="D559" s="98"/>
      <c r="E559" s="100" t="s">
        <v>1884</v>
      </c>
      <c r="F559" s="101" t="n">
        <v>8</v>
      </c>
      <c r="G559" s="101" t="s">
        <v>1679</v>
      </c>
      <c r="H559" s="102" t="n">
        <v>476.341</v>
      </c>
      <c r="I559" s="103" t="n">
        <v>3810.73</v>
      </c>
      <c r="J559" s="104" t="s">
        <v>583</v>
      </c>
      <c r="K559" s="104" t="n">
        <v>1</v>
      </c>
      <c r="L559" s="101" t="n">
        <v>8</v>
      </c>
      <c r="M559" s="104" t="s">
        <v>902</v>
      </c>
      <c r="N559" s="98"/>
      <c r="O559" s="105" t="n">
        <f aca="false">IF(M559="Y",I559,IF(ISNUMBER(H559),H559*L559,0))</f>
        <v>3810.73</v>
      </c>
      <c r="P559" s="106" t="str">
        <f aca="false">IF(J559="","",J559&amp;"|"&amp;A559&amp;"|"&amp;K559)</f>
        <v>R197|Mountainland|1</v>
      </c>
    </row>
    <row r="560" customFormat="false" ht="15" hidden="false" customHeight="false" outlineLevel="0" collapsed="false">
      <c r="A560" s="98" t="s">
        <v>27</v>
      </c>
      <c r="B560" s="99" t="s">
        <v>1885</v>
      </c>
      <c r="C560" s="99" t="s">
        <v>579</v>
      </c>
      <c r="D560" s="98"/>
      <c r="E560" s="100" t="s">
        <v>1695</v>
      </c>
      <c r="F560" s="101" t="n">
        <v>8</v>
      </c>
      <c r="G560" s="101" t="s">
        <v>1679</v>
      </c>
      <c r="H560" s="102" t="n">
        <v>35.06</v>
      </c>
      <c r="I560" s="103" t="n">
        <v>280.48</v>
      </c>
      <c r="J560" s="104" t="s">
        <v>586</v>
      </c>
      <c r="K560" s="104" t="n">
        <v>1</v>
      </c>
      <c r="L560" s="101" t="n">
        <v>8</v>
      </c>
      <c r="M560" s="104" t="s">
        <v>902</v>
      </c>
      <c r="N560" s="98"/>
      <c r="O560" s="105" t="n">
        <f aca="false">IF(M560="Y",I560,IF(ISNUMBER(H560),H560*L560,0))</f>
        <v>280.48</v>
      </c>
      <c r="P560" s="106" t="str">
        <f aca="false">IF(J560="","",J560&amp;"|"&amp;A560&amp;"|"&amp;K560)</f>
        <v>R199|Mountainland|1</v>
      </c>
    </row>
    <row r="561" customFormat="false" ht="15" hidden="false" customHeight="false" outlineLevel="0" collapsed="false">
      <c r="A561" s="98" t="s">
        <v>27</v>
      </c>
      <c r="B561" s="99" t="s">
        <v>1886</v>
      </c>
      <c r="C561" s="99" t="s">
        <v>579</v>
      </c>
      <c r="D561" s="98"/>
      <c r="E561" s="100" t="s">
        <v>1713</v>
      </c>
      <c r="F561" s="101" t="n">
        <v>10</v>
      </c>
      <c r="G561" s="101" t="s">
        <v>1679</v>
      </c>
      <c r="H561" s="102" t="n">
        <v>136.588</v>
      </c>
      <c r="I561" s="103" t="n">
        <v>1365.88</v>
      </c>
      <c r="J561" s="104" t="s">
        <v>585</v>
      </c>
      <c r="K561" s="104" t="n">
        <v>1</v>
      </c>
      <c r="L561" s="101" t="n">
        <v>10</v>
      </c>
      <c r="M561" s="104" t="s">
        <v>902</v>
      </c>
      <c r="N561" s="98"/>
      <c r="O561" s="105" t="n">
        <f aca="false">IF(M561="Y",I561,IF(ISNUMBER(H561),H561*L561,0))</f>
        <v>1365.88</v>
      </c>
      <c r="P561" s="106" t="str">
        <f aca="false">IF(J561="","",J561&amp;"|"&amp;A561&amp;"|"&amp;K561)</f>
        <v>R198|Mountainland|1</v>
      </c>
    </row>
    <row r="562" customFormat="false" ht="15" hidden="false" customHeight="false" outlineLevel="0" collapsed="false">
      <c r="A562" s="98" t="s">
        <v>27</v>
      </c>
      <c r="B562" s="99" t="s">
        <v>1887</v>
      </c>
      <c r="C562" s="99" t="s">
        <v>591</v>
      </c>
      <c r="D562" s="98"/>
      <c r="E562" s="100" t="s">
        <v>1888</v>
      </c>
      <c r="F562" s="101" t="n">
        <v>2</v>
      </c>
      <c r="G562" s="101" t="s">
        <v>1679</v>
      </c>
      <c r="H562" s="102" t="n">
        <v>2387.561</v>
      </c>
      <c r="I562" s="103" t="n">
        <v>4775.12</v>
      </c>
      <c r="J562" s="104" t="s">
        <v>590</v>
      </c>
      <c r="K562" s="104" t="n">
        <v>1</v>
      </c>
      <c r="L562" s="101" t="n">
        <v>2</v>
      </c>
      <c r="M562" s="104" t="s">
        <v>902</v>
      </c>
      <c r="N562" s="98"/>
      <c r="O562" s="105" t="n">
        <f aca="false">IF(M562="Y",I562,IF(ISNUMBER(H562),H562*L562,0))</f>
        <v>4775.12</v>
      </c>
      <c r="P562" s="106" t="str">
        <f aca="false">IF(J562="","",J562&amp;"|"&amp;A562&amp;"|"&amp;K562)</f>
        <v>R201|Mountainland|1</v>
      </c>
    </row>
    <row r="563" customFormat="false" ht="15" hidden="false" customHeight="false" outlineLevel="0" collapsed="false">
      <c r="A563" s="98" t="s">
        <v>27</v>
      </c>
      <c r="B563" s="99" t="s">
        <v>1889</v>
      </c>
      <c r="C563" s="99" t="s">
        <v>591</v>
      </c>
      <c r="D563" s="98"/>
      <c r="E563" s="100" t="s">
        <v>1890</v>
      </c>
      <c r="F563" s="101" t="n">
        <v>1</v>
      </c>
      <c r="G563" s="101" t="s">
        <v>1679</v>
      </c>
      <c r="H563" s="102" t="n">
        <v>862.683</v>
      </c>
      <c r="I563" s="103" t="n">
        <v>862.68</v>
      </c>
      <c r="J563" s="104" t="s">
        <v>595</v>
      </c>
      <c r="K563" s="104" t="n">
        <v>1</v>
      </c>
      <c r="L563" s="101" t="n">
        <v>1</v>
      </c>
      <c r="M563" s="104" t="s">
        <v>902</v>
      </c>
      <c r="N563" s="98"/>
      <c r="O563" s="105" t="n">
        <f aca="false">IF(M563="Y",I563,IF(ISNUMBER(H563),H563*L563,0))</f>
        <v>862.68</v>
      </c>
      <c r="P563" s="106" t="str">
        <f aca="false">IF(J563="","",J563&amp;"|"&amp;A563&amp;"|"&amp;K563)</f>
        <v>R203|Mountainland|1</v>
      </c>
    </row>
    <row r="564" customFormat="false" ht="15" hidden="false" customHeight="false" outlineLevel="0" collapsed="false">
      <c r="A564" s="98" t="s">
        <v>27</v>
      </c>
      <c r="B564" s="99" t="s">
        <v>1891</v>
      </c>
      <c r="C564" s="99" t="s">
        <v>591</v>
      </c>
      <c r="D564" s="98"/>
      <c r="E564" s="100" t="s">
        <v>1728</v>
      </c>
      <c r="F564" s="101" t="n">
        <v>1</v>
      </c>
      <c r="G564" s="101" t="s">
        <v>1679</v>
      </c>
      <c r="H564" s="102" t="n">
        <v>64.284</v>
      </c>
      <c r="I564" s="103" t="n">
        <v>64.28</v>
      </c>
      <c r="J564" s="104" t="s">
        <v>599</v>
      </c>
      <c r="K564" s="104" t="n">
        <v>1</v>
      </c>
      <c r="L564" s="101" t="n">
        <v>1</v>
      </c>
      <c r="M564" s="104" t="s">
        <v>902</v>
      </c>
      <c r="N564" s="98"/>
      <c r="O564" s="105" t="n">
        <f aca="false">IF(M564="Y",I564,IF(ISNUMBER(H564),H564*L564,0))</f>
        <v>64.28</v>
      </c>
      <c r="P564" s="106" t="str">
        <f aca="false">IF(J564="","",J564&amp;"|"&amp;A564&amp;"|"&amp;K564)</f>
        <v>R205|Mountainland|1</v>
      </c>
    </row>
    <row r="565" customFormat="false" ht="15" hidden="false" customHeight="false" outlineLevel="0" collapsed="false">
      <c r="A565" s="98" t="s">
        <v>27</v>
      </c>
      <c r="B565" s="99" t="s">
        <v>1892</v>
      </c>
      <c r="C565" s="99" t="s">
        <v>591</v>
      </c>
      <c r="D565" s="98"/>
      <c r="E565" s="100" t="s">
        <v>1681</v>
      </c>
      <c r="F565" s="101" t="n">
        <v>1</v>
      </c>
      <c r="G565" s="101" t="s">
        <v>1679</v>
      </c>
      <c r="H565" s="102" t="n">
        <v>241.176</v>
      </c>
      <c r="I565" s="103" t="n">
        <v>241.18</v>
      </c>
      <c r="J565" s="104" t="s">
        <v>597</v>
      </c>
      <c r="K565" s="104" t="n">
        <v>1</v>
      </c>
      <c r="L565" s="101" t="n">
        <v>1</v>
      </c>
      <c r="M565" s="104" t="s">
        <v>902</v>
      </c>
      <c r="N565" s="98"/>
      <c r="O565" s="105" t="n">
        <f aca="false">IF(M565="Y",I565,IF(ISNUMBER(H565),H565*L565,0))</f>
        <v>241.18</v>
      </c>
      <c r="P565" s="106" t="str">
        <f aca="false">IF(J565="","",J565&amp;"|"&amp;A565&amp;"|"&amp;K565)</f>
        <v>R204|Mountainland|1</v>
      </c>
    </row>
    <row r="566" customFormat="false" ht="15" hidden="false" customHeight="false" outlineLevel="0" collapsed="false">
      <c r="A566" s="98" t="s">
        <v>27</v>
      </c>
      <c r="B566" s="99" t="s">
        <v>1893</v>
      </c>
      <c r="C566" s="99" t="s">
        <v>604</v>
      </c>
      <c r="D566" s="98"/>
      <c r="E566" s="100" t="s">
        <v>1894</v>
      </c>
      <c r="F566" s="101" t="n">
        <v>1</v>
      </c>
      <c r="G566" s="101" t="s">
        <v>1679</v>
      </c>
      <c r="H566" s="102" t="n">
        <v>2581.463</v>
      </c>
      <c r="I566" s="103" t="n">
        <v>2581.46</v>
      </c>
      <c r="J566" s="104" t="s">
        <v>603</v>
      </c>
      <c r="K566" s="104" t="n">
        <v>1</v>
      </c>
      <c r="L566" s="101" t="n">
        <v>1</v>
      </c>
      <c r="M566" s="104" t="s">
        <v>902</v>
      </c>
      <c r="N566" s="98"/>
      <c r="O566" s="105" t="n">
        <f aca="false">IF(M566="Y",I566,IF(ISNUMBER(H566),H566*L566,0))</f>
        <v>2581.46</v>
      </c>
      <c r="P566" s="106" t="str">
        <f aca="false">IF(J566="","",J566&amp;"|"&amp;A566&amp;"|"&amp;K566)</f>
        <v>R207|Mountainland|1</v>
      </c>
    </row>
    <row r="567" customFormat="false" ht="15" hidden="false" customHeight="false" outlineLevel="0" collapsed="false">
      <c r="A567" s="98" t="s">
        <v>27</v>
      </c>
      <c r="B567" s="99" t="s">
        <v>1895</v>
      </c>
      <c r="C567" s="99" t="s">
        <v>604</v>
      </c>
      <c r="D567" s="98"/>
      <c r="E567" s="100" t="s">
        <v>1896</v>
      </c>
      <c r="F567" s="101" t="n">
        <v>1</v>
      </c>
      <c r="G567" s="101" t="s">
        <v>1679</v>
      </c>
      <c r="H567" s="102" t="n">
        <v>799.756</v>
      </c>
      <c r="I567" s="103" t="n">
        <v>799.76</v>
      </c>
      <c r="J567" s="104" t="s">
        <v>606</v>
      </c>
      <c r="K567" s="104" t="n">
        <v>1</v>
      </c>
      <c r="L567" s="101" t="n">
        <v>1</v>
      </c>
      <c r="M567" s="104" t="s">
        <v>902</v>
      </c>
      <c r="N567" s="98"/>
      <c r="O567" s="105" t="n">
        <f aca="false">IF(M567="Y",I567,IF(ISNUMBER(H567),H567*L567,0))</f>
        <v>799.76</v>
      </c>
      <c r="P567" s="106" t="str">
        <f aca="false">IF(J567="","",J567&amp;"|"&amp;A567&amp;"|"&amp;K567)</f>
        <v>R208|Mountainland|1</v>
      </c>
    </row>
    <row r="568" customFormat="false" ht="15" hidden="false" customHeight="false" outlineLevel="0" collapsed="false">
      <c r="A568" s="98" t="s">
        <v>27</v>
      </c>
      <c r="B568" s="99" t="s">
        <v>1897</v>
      </c>
      <c r="C568" s="99" t="s">
        <v>604</v>
      </c>
      <c r="D568" s="98"/>
      <c r="E568" s="100" t="s">
        <v>1681</v>
      </c>
      <c r="F568" s="101" t="n">
        <v>2</v>
      </c>
      <c r="G568" s="101" t="s">
        <v>1679</v>
      </c>
      <c r="H568" s="102" t="n">
        <v>241.176</v>
      </c>
      <c r="I568" s="103" t="n">
        <v>482.35</v>
      </c>
      <c r="J568" s="104" t="s">
        <v>609</v>
      </c>
      <c r="K568" s="104" t="n">
        <v>1</v>
      </c>
      <c r="L568" s="101" t="n">
        <v>2</v>
      </c>
      <c r="M568" s="104" t="s">
        <v>902</v>
      </c>
      <c r="N568" s="98"/>
      <c r="O568" s="105" t="n">
        <f aca="false">IF(M568="Y",I568,IF(ISNUMBER(H568),H568*L568,0))</f>
        <v>482.35</v>
      </c>
      <c r="P568" s="106" t="str">
        <f aca="false">IF(J568="","",J568&amp;"|"&amp;A568&amp;"|"&amp;K568)</f>
        <v>R209|Mountainland|1</v>
      </c>
    </row>
    <row r="569" customFormat="false" ht="15" hidden="false" customHeight="false" outlineLevel="0" collapsed="false">
      <c r="A569" s="98" t="s">
        <v>27</v>
      </c>
      <c r="B569" s="99" t="s">
        <v>1898</v>
      </c>
      <c r="C569" s="99" t="s">
        <v>616</v>
      </c>
      <c r="D569" s="98"/>
      <c r="E569" s="100" t="s">
        <v>1899</v>
      </c>
      <c r="F569" s="101" t="n">
        <v>1</v>
      </c>
      <c r="G569" s="101" t="s">
        <v>1679</v>
      </c>
      <c r="H569" s="102" t="n">
        <v>18638.25</v>
      </c>
      <c r="I569" s="103" t="n">
        <v>18638.25</v>
      </c>
      <c r="J569" s="104" t="s">
        <v>615</v>
      </c>
      <c r="K569" s="104" t="n">
        <v>1</v>
      </c>
      <c r="L569" s="101" t="n">
        <v>1</v>
      </c>
      <c r="M569" s="104" t="s">
        <v>902</v>
      </c>
      <c r="N569" s="98"/>
      <c r="O569" s="105" t="n">
        <f aca="false">IF(M569="Y",I569,IF(ISNUMBER(H569),H569*L569,0))</f>
        <v>18638.25</v>
      </c>
      <c r="P569" s="106" t="str">
        <f aca="false">IF(J569="","",J569&amp;"|"&amp;A569&amp;"|"&amp;K569)</f>
        <v>R212|Mountainland|1</v>
      </c>
    </row>
    <row r="570" customFormat="false" ht="15" hidden="false" customHeight="false" outlineLevel="0" collapsed="false">
      <c r="A570" s="98" t="s">
        <v>27</v>
      </c>
      <c r="B570" s="99" t="s">
        <v>1900</v>
      </c>
      <c r="C570" s="99" t="s">
        <v>616</v>
      </c>
      <c r="D570" s="98"/>
      <c r="E570" s="100" t="s">
        <v>1901</v>
      </c>
      <c r="F570" s="101" t="n">
        <v>1</v>
      </c>
      <c r="G570" s="101" t="s">
        <v>1679</v>
      </c>
      <c r="H570" s="102" t="n">
        <v>4919.512</v>
      </c>
      <c r="I570" s="103" t="n">
        <v>4919.51</v>
      </c>
      <c r="J570" s="104" t="s">
        <v>618</v>
      </c>
      <c r="K570" s="104" t="n">
        <v>1</v>
      </c>
      <c r="L570" s="101" t="n">
        <v>1</v>
      </c>
      <c r="M570" s="104" t="s">
        <v>902</v>
      </c>
      <c r="N570" s="98"/>
      <c r="O570" s="105" t="n">
        <f aca="false">IF(M570="Y",I570,IF(ISNUMBER(H570),H570*L570,0))</f>
        <v>4919.51</v>
      </c>
      <c r="P570" s="106" t="str">
        <f aca="false">IF(J570="","",J570&amp;"|"&amp;A570&amp;"|"&amp;K570)</f>
        <v>R213|Mountainland|1</v>
      </c>
    </row>
    <row r="571" customFormat="false" ht="15" hidden="false" customHeight="false" outlineLevel="0" collapsed="false">
      <c r="A571" s="98" t="s">
        <v>27</v>
      </c>
      <c r="B571" s="99" t="s">
        <v>1902</v>
      </c>
      <c r="C571" s="99" t="s">
        <v>616</v>
      </c>
      <c r="D571" s="98"/>
      <c r="E571" s="100" t="s">
        <v>1903</v>
      </c>
      <c r="F571" s="101" t="n">
        <v>4</v>
      </c>
      <c r="G571" s="101" t="s">
        <v>1679</v>
      </c>
      <c r="H571" s="102" t="n">
        <v>1064.565</v>
      </c>
      <c r="I571" s="103" t="n">
        <v>4258.26</v>
      </c>
      <c r="J571" s="104" t="s">
        <v>620</v>
      </c>
      <c r="K571" s="104" t="n">
        <v>1</v>
      </c>
      <c r="L571" s="101" t="n">
        <v>4</v>
      </c>
      <c r="M571" s="104" t="s">
        <v>902</v>
      </c>
      <c r="N571" s="98"/>
      <c r="O571" s="105" t="n">
        <f aca="false">IF(M571="Y",I571,IF(ISNUMBER(H571),H571*L571,0))</f>
        <v>4258.26</v>
      </c>
      <c r="P571" s="106" t="str">
        <f aca="false">IF(J571="","",J571&amp;"|"&amp;A571&amp;"|"&amp;K571)</f>
        <v>R214|Mountainland|1</v>
      </c>
    </row>
    <row r="572" customFormat="false" ht="15" hidden="false" customHeight="false" outlineLevel="0" collapsed="false">
      <c r="A572" s="98" t="s">
        <v>27</v>
      </c>
      <c r="B572" s="99" t="s">
        <v>1904</v>
      </c>
      <c r="C572" s="99" t="s">
        <v>629</v>
      </c>
      <c r="D572" s="98"/>
      <c r="E572" s="100" t="s">
        <v>1905</v>
      </c>
      <c r="F572" s="101" t="n">
        <v>3</v>
      </c>
      <c r="G572" s="101" t="s">
        <v>1679</v>
      </c>
      <c r="H572" s="102" t="n">
        <v>3675.366</v>
      </c>
      <c r="I572" s="103" t="n">
        <v>11026.1</v>
      </c>
      <c r="J572" s="104" t="s">
        <v>628</v>
      </c>
      <c r="K572" s="104" t="n">
        <v>1</v>
      </c>
      <c r="L572" s="101" t="n">
        <v>3</v>
      </c>
      <c r="M572" s="104" t="s">
        <v>902</v>
      </c>
      <c r="N572" s="98"/>
      <c r="O572" s="105" t="n">
        <f aca="false">IF(M572="Y",I572,IF(ISNUMBER(H572),H572*L572,0))</f>
        <v>11026.1</v>
      </c>
      <c r="P572" s="106" t="str">
        <f aca="false">IF(J572="","",J572&amp;"|"&amp;A572&amp;"|"&amp;K572)</f>
        <v>R217|Mountainland|1</v>
      </c>
    </row>
    <row r="573" customFormat="false" ht="15" hidden="false" customHeight="false" outlineLevel="0" collapsed="false">
      <c r="A573" s="98" t="s">
        <v>27</v>
      </c>
      <c r="B573" s="99" t="s">
        <v>1906</v>
      </c>
      <c r="C573" s="99" t="s">
        <v>636</v>
      </c>
      <c r="D573" s="98"/>
      <c r="E573" s="100" t="s">
        <v>1907</v>
      </c>
      <c r="F573" s="101" t="n">
        <v>2</v>
      </c>
      <c r="G573" s="101" t="s">
        <v>1679</v>
      </c>
      <c r="H573" s="102" t="n">
        <v>163.171</v>
      </c>
      <c r="I573" s="103" t="n">
        <v>326.34</v>
      </c>
      <c r="J573" s="104" t="s">
        <v>635</v>
      </c>
      <c r="K573" s="104" t="n">
        <v>1</v>
      </c>
      <c r="L573" s="101" t="n">
        <v>2</v>
      </c>
      <c r="M573" s="104" t="s">
        <v>902</v>
      </c>
      <c r="N573" s="98"/>
      <c r="O573" s="105" t="n">
        <f aca="false">IF(M573="Y",I573,IF(ISNUMBER(H573),H573*L573,0))</f>
        <v>326.34</v>
      </c>
      <c r="P573" s="106" t="str">
        <f aca="false">IF(J573="","",J573&amp;"|"&amp;A573&amp;"|"&amp;K573)</f>
        <v>R220|Mountainland|1</v>
      </c>
    </row>
    <row r="574" customFormat="false" ht="15" hidden="false" customHeight="false" outlineLevel="0" collapsed="false">
      <c r="A574" s="98" t="s">
        <v>27</v>
      </c>
      <c r="B574" s="99" t="s">
        <v>1908</v>
      </c>
      <c r="C574" s="99" t="s">
        <v>636</v>
      </c>
      <c r="D574" s="98"/>
      <c r="E574" s="100" t="s">
        <v>1831</v>
      </c>
      <c r="F574" s="101" t="n">
        <v>2</v>
      </c>
      <c r="G574" s="101" t="s">
        <v>1679</v>
      </c>
      <c r="H574" s="102" t="n">
        <v>74.118</v>
      </c>
      <c r="I574" s="103" t="n">
        <v>148.24</v>
      </c>
      <c r="J574" s="104" t="s">
        <v>641</v>
      </c>
      <c r="K574" s="104" t="n">
        <v>1</v>
      </c>
      <c r="L574" s="101" t="n">
        <v>2</v>
      </c>
      <c r="M574" s="104" t="s">
        <v>902</v>
      </c>
      <c r="N574" s="98"/>
      <c r="O574" s="105" t="n">
        <f aca="false">IF(M574="Y",I574,IF(ISNUMBER(H574),H574*L574,0))</f>
        <v>148.24</v>
      </c>
      <c r="P574" s="106" t="str">
        <f aca="false">IF(J574="","",J574&amp;"|"&amp;A574&amp;"|"&amp;K574)</f>
        <v>R222|Mountainland|1</v>
      </c>
    </row>
    <row r="575" customFormat="false" ht="15" hidden="false" customHeight="false" outlineLevel="0" collapsed="false">
      <c r="A575" s="98" t="s">
        <v>27</v>
      </c>
      <c r="B575" s="99" t="s">
        <v>1909</v>
      </c>
      <c r="C575" s="99" t="s">
        <v>636</v>
      </c>
      <c r="D575" s="98"/>
      <c r="E575" s="100" t="s">
        <v>1841</v>
      </c>
      <c r="F575" s="101" t="n">
        <v>2</v>
      </c>
      <c r="G575" s="101" t="s">
        <v>1679</v>
      </c>
      <c r="H575" s="102" t="n">
        <v>70.365</v>
      </c>
      <c r="I575" s="103" t="n">
        <v>140.73</v>
      </c>
      <c r="J575" s="104" t="s">
        <v>643</v>
      </c>
      <c r="K575" s="104" t="n">
        <v>1</v>
      </c>
      <c r="L575" s="101" t="n">
        <v>2</v>
      </c>
      <c r="M575" s="104" t="s">
        <v>902</v>
      </c>
      <c r="N575" s="98"/>
      <c r="O575" s="105" t="n">
        <f aca="false">IF(M575="Y",I575,IF(ISNUMBER(H575),H575*L575,0))</f>
        <v>140.73</v>
      </c>
      <c r="P575" s="106" t="str">
        <f aca="false">IF(J575="","",J575&amp;"|"&amp;A575&amp;"|"&amp;K575)</f>
        <v>R223|Mountainland|1</v>
      </c>
    </row>
    <row r="576" customFormat="false" ht="15" hidden="false" customHeight="false" outlineLevel="0" collapsed="false">
      <c r="A576" s="98" t="s">
        <v>27</v>
      </c>
      <c r="B576" s="99" t="s">
        <v>1910</v>
      </c>
      <c r="C576" s="99" t="s">
        <v>647</v>
      </c>
      <c r="D576" s="98"/>
      <c r="E576" s="100" t="s">
        <v>1911</v>
      </c>
      <c r="F576" s="101" t="n">
        <v>1</v>
      </c>
      <c r="G576" s="101" t="s">
        <v>1679</v>
      </c>
      <c r="H576" s="102" t="n">
        <v>905.366</v>
      </c>
      <c r="I576" s="103" t="n">
        <v>905.37</v>
      </c>
      <c r="J576" s="104" t="s">
        <v>646</v>
      </c>
      <c r="K576" s="104" t="n">
        <v>1</v>
      </c>
      <c r="L576" s="101" t="n">
        <v>1</v>
      </c>
      <c r="M576" s="104" t="s">
        <v>902</v>
      </c>
      <c r="N576" s="98"/>
      <c r="O576" s="105" t="n">
        <f aca="false">IF(M576="Y",I576,IF(ISNUMBER(H576),H576*L576,0))</f>
        <v>905.37</v>
      </c>
      <c r="P576" s="106" t="str">
        <f aca="false">IF(J576="","",J576&amp;"|"&amp;A576&amp;"|"&amp;K576)</f>
        <v>R225|Mountainland|1</v>
      </c>
    </row>
    <row r="577" customFormat="false" ht="15" hidden="false" customHeight="false" outlineLevel="0" collapsed="false">
      <c r="A577" s="98" t="s">
        <v>27</v>
      </c>
      <c r="B577" s="99" t="s">
        <v>1912</v>
      </c>
      <c r="C577" s="99" t="s">
        <v>647</v>
      </c>
      <c r="D577" s="98"/>
      <c r="E577" s="100" t="s">
        <v>1728</v>
      </c>
      <c r="F577" s="101" t="n">
        <v>1</v>
      </c>
      <c r="G577" s="101" t="s">
        <v>1679</v>
      </c>
      <c r="H577" s="102" t="n">
        <v>64.284</v>
      </c>
      <c r="I577" s="103" t="n">
        <v>64.28</v>
      </c>
      <c r="J577" s="104" t="s">
        <v>649</v>
      </c>
      <c r="K577" s="104" t="n">
        <v>1</v>
      </c>
      <c r="L577" s="101" t="n">
        <v>1</v>
      </c>
      <c r="M577" s="104" t="s">
        <v>902</v>
      </c>
      <c r="N577" s="98"/>
      <c r="O577" s="105" t="n">
        <f aca="false">IF(M577="Y",I577,IF(ISNUMBER(H577),H577*L577,0))</f>
        <v>64.28</v>
      </c>
      <c r="P577" s="106" t="str">
        <f aca="false">IF(J577="","",J577&amp;"|"&amp;A577&amp;"|"&amp;K577)</f>
        <v>R226|Mountainland|1</v>
      </c>
    </row>
    <row r="578" customFormat="false" ht="15" hidden="false" customHeight="false" outlineLevel="0" collapsed="false">
      <c r="A578" s="98" t="s">
        <v>27</v>
      </c>
      <c r="B578" s="99" t="s">
        <v>1913</v>
      </c>
      <c r="C578" s="99" t="s">
        <v>653</v>
      </c>
      <c r="D578" s="98"/>
      <c r="E578" s="100" t="s">
        <v>1914</v>
      </c>
      <c r="F578" s="101" t="n">
        <v>4</v>
      </c>
      <c r="G578" s="101" t="s">
        <v>1679</v>
      </c>
      <c r="H578" s="102" t="n">
        <v>956.341</v>
      </c>
      <c r="I578" s="103" t="n">
        <v>3825.37</v>
      </c>
      <c r="J578" s="104" t="s">
        <v>652</v>
      </c>
      <c r="K578" s="104" t="n">
        <v>1</v>
      </c>
      <c r="L578" s="101" t="n">
        <v>4</v>
      </c>
      <c r="M578" s="104" t="s">
        <v>902</v>
      </c>
      <c r="N578" s="98"/>
      <c r="O578" s="105" t="n">
        <f aca="false">IF(M578="Y",I578,IF(ISNUMBER(H578),H578*L578,0))</f>
        <v>3825.37</v>
      </c>
      <c r="P578" s="106" t="str">
        <f aca="false">IF(J578="","",J578&amp;"|"&amp;A578&amp;"|"&amp;K578)</f>
        <v>R228|Mountainland|1</v>
      </c>
    </row>
    <row r="579" customFormat="false" ht="15" hidden="false" customHeight="false" outlineLevel="0" collapsed="false">
      <c r="A579" s="98" t="s">
        <v>27</v>
      </c>
      <c r="B579" s="99" t="s">
        <v>1915</v>
      </c>
      <c r="C579" s="99" t="s">
        <v>653</v>
      </c>
      <c r="D579" s="98"/>
      <c r="E579" s="100" t="s">
        <v>1728</v>
      </c>
      <c r="F579" s="101" t="n">
        <v>4</v>
      </c>
      <c r="G579" s="101" t="s">
        <v>1679</v>
      </c>
      <c r="H579" s="102" t="n">
        <v>64.284</v>
      </c>
      <c r="I579" s="103" t="n">
        <v>257.13</v>
      </c>
      <c r="J579" s="104" t="s">
        <v>655</v>
      </c>
      <c r="K579" s="104" t="n">
        <v>1</v>
      </c>
      <c r="L579" s="101" t="n">
        <v>4</v>
      </c>
      <c r="M579" s="104" t="s">
        <v>902</v>
      </c>
      <c r="N579" s="98"/>
      <c r="O579" s="105" t="n">
        <f aca="false">IF(M579="Y",I579,IF(ISNUMBER(H579),H579*L579,0))</f>
        <v>257.13</v>
      </c>
      <c r="P579" s="106" t="str">
        <f aca="false">IF(J579="","",J579&amp;"|"&amp;A579&amp;"|"&amp;K579)</f>
        <v>R229|Mountainland|1</v>
      </c>
    </row>
    <row r="580" customFormat="false" ht="15" hidden="false" customHeight="false" outlineLevel="0" collapsed="false">
      <c r="A580" s="98" t="s">
        <v>27</v>
      </c>
      <c r="B580" s="99" t="s">
        <v>1916</v>
      </c>
      <c r="C580" s="99" t="s">
        <v>659</v>
      </c>
      <c r="D580" s="98"/>
      <c r="E580" s="100" t="s">
        <v>1917</v>
      </c>
      <c r="F580" s="101" t="n">
        <v>1</v>
      </c>
      <c r="G580" s="101" t="s">
        <v>1679</v>
      </c>
      <c r="H580" s="102" t="n">
        <v>1421.707</v>
      </c>
      <c r="I580" s="103" t="n">
        <v>1421.71</v>
      </c>
      <c r="J580" s="104" t="s">
        <v>658</v>
      </c>
      <c r="K580" s="104" t="n">
        <v>1</v>
      </c>
      <c r="L580" s="101" t="n">
        <v>1</v>
      </c>
      <c r="M580" s="104" t="s">
        <v>902</v>
      </c>
      <c r="N580" s="98"/>
      <c r="O580" s="105" t="n">
        <f aca="false">IF(M580="Y",I580,IF(ISNUMBER(H580),H580*L580,0))</f>
        <v>1421.71</v>
      </c>
      <c r="P580" s="106" t="str">
        <f aca="false">IF(J580="","",J580&amp;"|"&amp;A580&amp;"|"&amp;K580)</f>
        <v>R231|Mountainland|1</v>
      </c>
    </row>
    <row r="581" customFormat="false" ht="15" hidden="false" customHeight="false" outlineLevel="0" collapsed="false">
      <c r="A581" s="98" t="s">
        <v>27</v>
      </c>
      <c r="B581" s="99" t="s">
        <v>1918</v>
      </c>
      <c r="C581" s="99" t="s">
        <v>659</v>
      </c>
      <c r="D581" s="98"/>
      <c r="E581" s="100" t="s">
        <v>1728</v>
      </c>
      <c r="F581" s="101" t="n">
        <v>1</v>
      </c>
      <c r="G581" s="101" t="s">
        <v>1679</v>
      </c>
      <c r="H581" s="102" t="n">
        <v>64.284</v>
      </c>
      <c r="I581" s="103" t="n">
        <v>64.28</v>
      </c>
      <c r="J581" s="104" t="s">
        <v>660</v>
      </c>
      <c r="K581" s="104" t="n">
        <v>1</v>
      </c>
      <c r="L581" s="101" t="n">
        <v>1</v>
      </c>
      <c r="M581" s="104" t="s">
        <v>902</v>
      </c>
      <c r="N581" s="98"/>
      <c r="O581" s="105" t="n">
        <f aca="false">IF(M581="Y",I581,IF(ISNUMBER(H581),H581*L581,0))</f>
        <v>64.28</v>
      </c>
      <c r="P581" s="106" t="str">
        <f aca="false">IF(J581="","",J581&amp;"|"&amp;A581&amp;"|"&amp;K581)</f>
        <v>R232|Mountainland|1</v>
      </c>
    </row>
    <row r="582" customFormat="false" ht="15" hidden="false" customHeight="false" outlineLevel="0" collapsed="false">
      <c r="A582" s="98" t="s">
        <v>27</v>
      </c>
      <c r="B582" s="99" t="s">
        <v>1919</v>
      </c>
      <c r="C582" s="99" t="s">
        <v>664</v>
      </c>
      <c r="D582" s="98"/>
      <c r="E582" s="100" t="s">
        <v>1920</v>
      </c>
      <c r="F582" s="101" t="n">
        <v>1</v>
      </c>
      <c r="G582" s="101" t="s">
        <v>1679</v>
      </c>
      <c r="H582" s="102" t="n">
        <v>2713.171</v>
      </c>
      <c r="I582" s="103" t="n">
        <v>2713.17</v>
      </c>
      <c r="J582" s="104" t="s">
        <v>663</v>
      </c>
      <c r="K582" s="104" t="n">
        <v>1</v>
      </c>
      <c r="L582" s="101" t="n">
        <v>1</v>
      </c>
      <c r="M582" s="104" t="s">
        <v>902</v>
      </c>
      <c r="N582" s="98"/>
      <c r="O582" s="105" t="n">
        <f aca="false">IF(M582="Y",I582,IF(ISNUMBER(H582),H582*L582,0))</f>
        <v>2713.17</v>
      </c>
      <c r="P582" s="106" t="str">
        <f aca="false">IF(J582="","",J582&amp;"|"&amp;A582&amp;"|"&amp;K582)</f>
        <v>R234|Mountainland|1</v>
      </c>
    </row>
    <row r="583" customFormat="false" ht="15" hidden="false" customHeight="false" outlineLevel="0" collapsed="false">
      <c r="A583" s="98" t="s">
        <v>27</v>
      </c>
      <c r="B583" s="99" t="s">
        <v>1921</v>
      </c>
      <c r="C583" s="99" t="s">
        <v>664</v>
      </c>
      <c r="D583" s="98"/>
      <c r="E583" s="100" t="s">
        <v>1922</v>
      </c>
      <c r="F583" s="101" t="n">
        <v>1</v>
      </c>
      <c r="G583" s="101" t="s">
        <v>1679</v>
      </c>
      <c r="H583" s="102" t="n">
        <v>151.493</v>
      </c>
      <c r="I583" s="103" t="n">
        <v>151.49</v>
      </c>
      <c r="J583" s="104" t="s">
        <v>666</v>
      </c>
      <c r="K583" s="104" t="n">
        <v>1</v>
      </c>
      <c r="L583" s="101" t="n">
        <v>1</v>
      </c>
      <c r="M583" s="104" t="s">
        <v>902</v>
      </c>
      <c r="N583" s="98"/>
      <c r="O583" s="105" t="n">
        <f aca="false">IF(M583="Y",I583,IF(ISNUMBER(H583),H583*L583,0))</f>
        <v>151.49</v>
      </c>
      <c r="P583" s="106" t="str">
        <f aca="false">IF(J583="","",J583&amp;"|"&amp;A583&amp;"|"&amp;K583)</f>
        <v>R235|Mountainland|1</v>
      </c>
    </row>
    <row r="584" customFormat="false" ht="15" hidden="false" customHeight="false" outlineLevel="0" collapsed="false">
      <c r="A584" s="98" t="s">
        <v>27</v>
      </c>
      <c r="B584" s="99" t="s">
        <v>1923</v>
      </c>
      <c r="C584" s="99" t="s">
        <v>671</v>
      </c>
      <c r="D584" s="98"/>
      <c r="E584" s="100" t="s">
        <v>1924</v>
      </c>
      <c r="F584" s="101" t="n">
        <v>17</v>
      </c>
      <c r="G584" s="101" t="s">
        <v>1679</v>
      </c>
      <c r="H584" s="102" t="n">
        <v>3570.447</v>
      </c>
      <c r="I584" s="103" t="n">
        <v>60697.61</v>
      </c>
      <c r="J584" s="104" t="s">
        <v>670</v>
      </c>
      <c r="K584" s="104" t="n">
        <v>1</v>
      </c>
      <c r="L584" s="101" t="n">
        <v>17</v>
      </c>
      <c r="M584" s="104" t="s">
        <v>902</v>
      </c>
      <c r="N584" s="98"/>
      <c r="O584" s="105" t="n">
        <f aca="false">IF(M584="Y",I584,IF(ISNUMBER(H584),H584*L584,0))</f>
        <v>60697.61</v>
      </c>
      <c r="P584" s="106" t="str">
        <f aca="false">IF(J584="","",J584&amp;"|"&amp;A584&amp;"|"&amp;K584)</f>
        <v>R237|Mountainland|1</v>
      </c>
    </row>
    <row r="585" customFormat="false" ht="15" hidden="false" customHeight="false" outlineLevel="0" collapsed="false">
      <c r="A585" s="98" t="s">
        <v>27</v>
      </c>
      <c r="B585" s="99" t="s">
        <v>1925</v>
      </c>
      <c r="C585" s="99" t="s">
        <v>671</v>
      </c>
      <c r="D585" s="98"/>
      <c r="E585" s="100" t="s">
        <v>1831</v>
      </c>
      <c r="F585" s="101" t="n">
        <v>17</v>
      </c>
      <c r="G585" s="101" t="s">
        <v>1679</v>
      </c>
      <c r="H585" s="102" t="n">
        <v>66.471</v>
      </c>
      <c r="I585" s="103" t="n">
        <v>1130</v>
      </c>
      <c r="J585" s="104" t="s">
        <v>677</v>
      </c>
      <c r="K585" s="104" t="n">
        <v>1</v>
      </c>
      <c r="L585" s="101" t="n">
        <v>17</v>
      </c>
      <c r="M585" s="104" t="s">
        <v>902</v>
      </c>
      <c r="N585" s="98"/>
      <c r="O585" s="105" t="n">
        <f aca="false">IF(M585="Y",I585,IF(ISNUMBER(H585),H585*L585,0))</f>
        <v>1130</v>
      </c>
      <c r="P585" s="106" t="str">
        <f aca="false">IF(J585="","",J585&amp;"|"&amp;A585&amp;"|"&amp;K585)</f>
        <v>R239|Mountainland|1</v>
      </c>
    </row>
    <row r="586" customFormat="false" ht="15" hidden="false" customHeight="false" outlineLevel="0" collapsed="false">
      <c r="A586" s="98" t="s">
        <v>27</v>
      </c>
      <c r="B586" s="99" t="s">
        <v>1926</v>
      </c>
      <c r="C586" s="99" t="s">
        <v>682</v>
      </c>
      <c r="D586" s="98"/>
      <c r="E586" s="100" t="s">
        <v>1927</v>
      </c>
      <c r="F586" s="101" t="n">
        <v>3</v>
      </c>
      <c r="G586" s="101" t="s">
        <v>1679</v>
      </c>
      <c r="H586" s="102" t="n">
        <v>564.012</v>
      </c>
      <c r="I586" s="103" t="n">
        <v>1692.04</v>
      </c>
      <c r="J586" s="104" t="s">
        <v>687</v>
      </c>
      <c r="K586" s="104" t="n">
        <v>1</v>
      </c>
      <c r="L586" s="101" t="n">
        <v>3</v>
      </c>
      <c r="M586" s="104" t="s">
        <v>902</v>
      </c>
      <c r="N586" s="98"/>
      <c r="O586" s="105" t="n">
        <f aca="false">IF(M586="Y",I586,IF(ISNUMBER(H586),H586*L586,0))</f>
        <v>1692.04</v>
      </c>
      <c r="P586" s="106" t="str">
        <f aca="false">IF(J586="","",J586&amp;"|"&amp;A586&amp;"|"&amp;K586)</f>
        <v>R242|Mountainland|1</v>
      </c>
    </row>
    <row r="587" customFormat="false" ht="15" hidden="false" customHeight="false" outlineLevel="0" collapsed="false">
      <c r="A587" s="98" t="s">
        <v>27</v>
      </c>
      <c r="B587" s="99" t="s">
        <v>1928</v>
      </c>
      <c r="C587" s="99" t="s">
        <v>682</v>
      </c>
      <c r="D587" s="98"/>
      <c r="E587" s="100" t="s">
        <v>1929</v>
      </c>
      <c r="F587" s="101" t="n">
        <v>7</v>
      </c>
      <c r="G587" s="101" t="s">
        <v>1679</v>
      </c>
      <c r="H587" s="102" t="n">
        <v>423.959</v>
      </c>
      <c r="I587" s="103" t="n">
        <v>2967.71</v>
      </c>
      <c r="J587" s="104" t="s">
        <v>684</v>
      </c>
      <c r="K587" s="104" t="n">
        <v>1</v>
      </c>
      <c r="L587" s="101" t="n">
        <v>7</v>
      </c>
      <c r="M587" s="104" t="s">
        <v>902</v>
      </c>
      <c r="N587" s="98"/>
      <c r="O587" s="105" t="n">
        <f aca="false">IF(M587="Y",I587,IF(ISNUMBER(H587),H587*L587,0))</f>
        <v>2967.71</v>
      </c>
      <c r="P587" s="106" t="str">
        <f aca="false">IF(J587="","",J587&amp;"|"&amp;A587&amp;"|"&amp;K587)</f>
        <v>R241|Mountainland|1</v>
      </c>
    </row>
    <row r="588" customFormat="false" ht="15" hidden="false" customHeight="false" outlineLevel="0" collapsed="false">
      <c r="A588" s="98" t="s">
        <v>27</v>
      </c>
      <c r="B588" s="99" t="s">
        <v>1930</v>
      </c>
      <c r="C588" s="99" t="s">
        <v>682</v>
      </c>
      <c r="D588" s="98"/>
      <c r="E588" s="100" t="s">
        <v>1931</v>
      </c>
      <c r="F588" s="101" t="n">
        <v>2</v>
      </c>
      <c r="G588" s="101" t="s">
        <v>1679</v>
      </c>
      <c r="H588" s="102" t="n">
        <v>60.57</v>
      </c>
      <c r="I588" s="103" t="n">
        <v>121.14</v>
      </c>
      <c r="J588" s="104" t="s">
        <v>731</v>
      </c>
      <c r="K588" s="104" t="n">
        <v>1</v>
      </c>
      <c r="L588" s="101" t="n">
        <v>2</v>
      </c>
      <c r="M588" s="104" t="s">
        <v>902</v>
      </c>
      <c r="N588" s="98"/>
      <c r="O588" s="105" t="n">
        <f aca="false">IF(M588="Y",I588,IF(ISNUMBER(H588),H588*L588,0))</f>
        <v>121.14</v>
      </c>
      <c r="P588" s="106" t="str">
        <f aca="false">IF(J588="","",J588&amp;"|"&amp;A588&amp;"|"&amp;K588)</f>
        <v>R261|Mountainland|1</v>
      </c>
    </row>
    <row r="589" customFormat="false" ht="15" hidden="false" customHeight="false" outlineLevel="0" collapsed="false">
      <c r="A589" s="98" t="s">
        <v>27</v>
      </c>
      <c r="B589" s="99" t="s">
        <v>1932</v>
      </c>
      <c r="C589" s="99" t="s">
        <v>682</v>
      </c>
      <c r="D589" s="98"/>
      <c r="E589" s="100" t="s">
        <v>1933</v>
      </c>
      <c r="F589" s="101" t="n">
        <v>1</v>
      </c>
      <c r="G589" s="101" t="s">
        <v>1679</v>
      </c>
      <c r="H589" s="102" t="n">
        <v>380.471</v>
      </c>
      <c r="I589" s="103" t="n">
        <v>380.47</v>
      </c>
      <c r="J589" s="104" t="s">
        <v>726</v>
      </c>
      <c r="K589" s="104" t="n">
        <v>1</v>
      </c>
      <c r="L589" s="101" t="n">
        <v>1</v>
      </c>
      <c r="M589" s="104" t="s">
        <v>902</v>
      </c>
      <c r="N589" s="98"/>
      <c r="O589" s="105" t="n">
        <f aca="false">IF(M589="Y",I589,IF(ISNUMBER(H589),H589*L589,0))</f>
        <v>380.47</v>
      </c>
      <c r="P589" s="106" t="str">
        <f aca="false">IF(J589="","",J589&amp;"|"&amp;A589&amp;"|"&amp;K589)</f>
        <v>R259|Mountainland|1</v>
      </c>
    </row>
    <row r="590" customFormat="false" ht="15" hidden="false" customHeight="false" outlineLevel="0" collapsed="false">
      <c r="A590" s="98" t="s">
        <v>27</v>
      </c>
      <c r="B590" s="99" t="s">
        <v>1934</v>
      </c>
      <c r="C590" s="99" t="s">
        <v>682</v>
      </c>
      <c r="D590" s="98"/>
      <c r="E590" s="100" t="s">
        <v>1935</v>
      </c>
      <c r="F590" s="101" t="n">
        <v>1</v>
      </c>
      <c r="G590" s="101" t="s">
        <v>1679</v>
      </c>
      <c r="H590" s="102" t="n">
        <v>165.994</v>
      </c>
      <c r="I590" s="103" t="n">
        <v>165.99</v>
      </c>
      <c r="J590" s="104" t="s">
        <v>729</v>
      </c>
      <c r="K590" s="104" t="n">
        <v>1</v>
      </c>
      <c r="L590" s="101" t="n">
        <v>1</v>
      </c>
      <c r="M590" s="104" t="s">
        <v>902</v>
      </c>
      <c r="N590" s="98"/>
      <c r="O590" s="105" t="n">
        <f aca="false">IF(M590="Y",I590,IF(ISNUMBER(H590),H590*L590,0))</f>
        <v>165.99</v>
      </c>
      <c r="P590" s="106" t="str">
        <f aca="false">IF(J590="","",J590&amp;"|"&amp;A590&amp;"|"&amp;K590)</f>
        <v>R260|Mountainland|1</v>
      </c>
    </row>
    <row r="591" customFormat="false" ht="15" hidden="false" customHeight="false" outlineLevel="0" collapsed="false">
      <c r="A591" s="98" t="s">
        <v>27</v>
      </c>
      <c r="B591" s="99" t="s">
        <v>1936</v>
      </c>
      <c r="C591" s="99" t="s">
        <v>682</v>
      </c>
      <c r="D591" s="98"/>
      <c r="E591" s="100" t="s">
        <v>1937</v>
      </c>
      <c r="F591" s="101" t="n">
        <v>100</v>
      </c>
      <c r="G591" s="101" t="s">
        <v>1704</v>
      </c>
      <c r="H591" s="102" t="n">
        <v>4.081</v>
      </c>
      <c r="I591" s="103" t="n">
        <v>408.06</v>
      </c>
      <c r="J591" s="104" t="s">
        <v>733</v>
      </c>
      <c r="K591" s="104" t="n">
        <v>1</v>
      </c>
      <c r="L591" s="101" t="n">
        <v>100</v>
      </c>
      <c r="M591" s="104" t="s">
        <v>902</v>
      </c>
      <c r="N591" s="98"/>
      <c r="O591" s="105" t="n">
        <f aca="false">IF(M591="Y",I591,IF(ISNUMBER(H591),H591*L591,0))</f>
        <v>408.06</v>
      </c>
      <c r="P591" s="106" t="str">
        <f aca="false">IF(J591="","",J591&amp;"|"&amp;A591&amp;"|"&amp;K591)</f>
        <v>R262|Mountainland|1</v>
      </c>
    </row>
    <row r="592" customFormat="false" ht="15" hidden="false" customHeight="false" outlineLevel="0" collapsed="false">
      <c r="A592" s="98" t="s">
        <v>27</v>
      </c>
      <c r="B592" s="99" t="s">
        <v>1938</v>
      </c>
      <c r="C592" s="99" t="s">
        <v>682</v>
      </c>
      <c r="D592" s="98"/>
      <c r="E592" s="100" t="s">
        <v>1939</v>
      </c>
      <c r="F592" s="101" t="n">
        <v>2</v>
      </c>
      <c r="G592" s="101" t="s">
        <v>1679</v>
      </c>
      <c r="H592" s="102" t="n">
        <v>5.068</v>
      </c>
      <c r="I592" s="103" t="n">
        <v>10.14</v>
      </c>
      <c r="J592" s="104" t="s">
        <v>736</v>
      </c>
      <c r="K592" s="104" t="n">
        <v>1</v>
      </c>
      <c r="L592" s="101" t="n">
        <v>2</v>
      </c>
      <c r="M592" s="104" t="s">
        <v>902</v>
      </c>
      <c r="N592" s="98"/>
      <c r="O592" s="105" t="n">
        <f aca="false">IF(M592="Y",I592,IF(ISNUMBER(H592),H592*L592,0))</f>
        <v>10.14</v>
      </c>
      <c r="P592" s="106" t="str">
        <f aca="false">IF(J592="","",J592&amp;"|"&amp;A592&amp;"|"&amp;K592)</f>
        <v>R263|Mountainland|1</v>
      </c>
    </row>
    <row r="593" customFormat="false" ht="15" hidden="false" customHeight="false" outlineLevel="0" collapsed="false">
      <c r="A593" s="98" t="s">
        <v>27</v>
      </c>
      <c r="B593" s="99" t="s">
        <v>1940</v>
      </c>
      <c r="C593" s="99" t="s">
        <v>682</v>
      </c>
      <c r="D593" s="98"/>
      <c r="E593" s="100" t="s">
        <v>1764</v>
      </c>
      <c r="F593" s="101" t="n">
        <v>9</v>
      </c>
      <c r="G593" s="101" t="s">
        <v>1679</v>
      </c>
      <c r="H593" s="102" t="n">
        <v>106.312</v>
      </c>
      <c r="I593" s="103" t="n">
        <v>956.81</v>
      </c>
      <c r="J593" s="104" t="s">
        <v>690</v>
      </c>
      <c r="K593" s="104" t="n">
        <v>1</v>
      </c>
      <c r="L593" s="101" t="n">
        <v>9</v>
      </c>
      <c r="M593" s="104" t="s">
        <v>902</v>
      </c>
      <c r="N593" s="98"/>
      <c r="O593" s="105" t="n">
        <f aca="false">IF(M593="Y",I593,IF(ISNUMBER(H593),H593*L593,0))</f>
        <v>956.81</v>
      </c>
      <c r="P593" s="106" t="str">
        <f aca="false">IF(J593="","",J593&amp;"|"&amp;A593&amp;"|"&amp;K593)</f>
        <v>R243|Mountainland|1</v>
      </c>
    </row>
    <row r="594" customFormat="false" ht="15" hidden="false" customHeight="false" outlineLevel="0" collapsed="false">
      <c r="A594" s="98" t="s">
        <v>27</v>
      </c>
      <c r="B594" s="99" t="s">
        <v>1941</v>
      </c>
      <c r="C594" s="99" t="s">
        <v>682</v>
      </c>
      <c r="D594" s="98"/>
      <c r="E594" s="100" t="s">
        <v>1697</v>
      </c>
      <c r="F594" s="101" t="n">
        <v>18</v>
      </c>
      <c r="G594" s="101" t="s">
        <v>1679</v>
      </c>
      <c r="H594" s="102" t="n">
        <v>24.249</v>
      </c>
      <c r="I594" s="103" t="n">
        <v>436.49</v>
      </c>
      <c r="J594" s="104" t="s">
        <v>692</v>
      </c>
      <c r="K594" s="104" t="n">
        <v>1</v>
      </c>
      <c r="L594" s="101" t="n">
        <v>18</v>
      </c>
      <c r="M594" s="104" t="s">
        <v>902</v>
      </c>
      <c r="N594" s="98"/>
      <c r="O594" s="105" t="n">
        <f aca="false">IF(M594="Y",I594,IF(ISNUMBER(H594),H594*L594,0))</f>
        <v>436.49</v>
      </c>
      <c r="P594" s="106" t="str">
        <f aca="false">IF(J594="","",J594&amp;"|"&amp;A594&amp;"|"&amp;K594)</f>
        <v>R244|Mountainland|1</v>
      </c>
    </row>
    <row r="595" customFormat="false" ht="15" hidden="false" customHeight="false" outlineLevel="0" collapsed="false">
      <c r="A595" s="98" t="s">
        <v>27</v>
      </c>
      <c r="B595" s="99" t="s">
        <v>1942</v>
      </c>
      <c r="C595" s="99" t="s">
        <v>682</v>
      </c>
      <c r="D595" s="98"/>
      <c r="E595" s="100" t="s">
        <v>1766</v>
      </c>
      <c r="F595" s="101" t="n">
        <v>9</v>
      </c>
      <c r="G595" s="101" t="s">
        <v>1679</v>
      </c>
      <c r="H595" s="102" t="n">
        <v>1189.744</v>
      </c>
      <c r="I595" s="103" t="n">
        <v>10707.69</v>
      </c>
      <c r="J595" s="104" t="s">
        <v>681</v>
      </c>
      <c r="K595" s="104" t="n">
        <v>1</v>
      </c>
      <c r="L595" s="101" t="n">
        <v>9</v>
      </c>
      <c r="M595" s="104" t="s">
        <v>902</v>
      </c>
      <c r="N595" s="98"/>
      <c r="O595" s="105" t="n">
        <f aca="false">IF(M595="Y",I595,IF(ISNUMBER(H595),H595*L595,0))</f>
        <v>10707.69</v>
      </c>
      <c r="P595" s="106" t="str">
        <f aca="false">IF(J595="","",J595&amp;"|"&amp;A595&amp;"|"&amp;K595)</f>
        <v>R240|Mountainland|1</v>
      </c>
    </row>
    <row r="596" customFormat="false" ht="15" hidden="false" customHeight="false" outlineLevel="0" collapsed="false">
      <c r="A596" s="98" t="s">
        <v>27</v>
      </c>
      <c r="B596" s="99" t="s">
        <v>1943</v>
      </c>
      <c r="C596" s="99" t="s">
        <v>682</v>
      </c>
      <c r="D596" s="98"/>
      <c r="E596" s="100" t="s">
        <v>1944</v>
      </c>
      <c r="F596" s="101" t="n">
        <v>18</v>
      </c>
      <c r="G596" s="101" t="s">
        <v>1679</v>
      </c>
      <c r="H596" s="102" t="n">
        <v>17.108</v>
      </c>
      <c r="I596" s="103" t="n">
        <v>307.94</v>
      </c>
      <c r="J596" s="104" t="s">
        <v>694</v>
      </c>
      <c r="K596" s="104" t="n">
        <v>1</v>
      </c>
      <c r="L596" s="101" t="n">
        <v>18</v>
      </c>
      <c r="M596" s="104" t="s">
        <v>902</v>
      </c>
      <c r="N596" s="98"/>
      <c r="O596" s="105" t="n">
        <f aca="false">IF(M596="Y",I596,IF(ISNUMBER(H596),H596*L596,0))</f>
        <v>307.94</v>
      </c>
      <c r="P596" s="106" t="str">
        <f aca="false">IF(J596="","",J596&amp;"|"&amp;A596&amp;"|"&amp;K596)</f>
        <v>R245|Mountainland|1</v>
      </c>
    </row>
    <row r="597" customFormat="false" ht="15" hidden="false" customHeight="false" outlineLevel="0" collapsed="false">
      <c r="A597" s="98" t="s">
        <v>27</v>
      </c>
      <c r="B597" s="99" t="s">
        <v>1945</v>
      </c>
      <c r="C597" s="99" t="s">
        <v>682</v>
      </c>
      <c r="D597" s="98"/>
      <c r="E597" s="100" t="s">
        <v>1946</v>
      </c>
      <c r="F597" s="101" t="n">
        <v>9</v>
      </c>
      <c r="G597" s="101" t="s">
        <v>1679</v>
      </c>
      <c r="H597" s="102" t="n">
        <v>6.222</v>
      </c>
      <c r="I597" s="103" t="n">
        <v>55.99</v>
      </c>
      <c r="J597" s="104" t="s">
        <v>696</v>
      </c>
      <c r="K597" s="104" t="n">
        <v>1</v>
      </c>
      <c r="L597" s="101" t="n">
        <v>9</v>
      </c>
      <c r="M597" s="104" t="s">
        <v>902</v>
      </c>
      <c r="N597" s="98"/>
      <c r="O597" s="105" t="n">
        <f aca="false">IF(M597="Y",I597,IF(ISNUMBER(H597),H597*L597,0))</f>
        <v>55.99</v>
      </c>
      <c r="P597" s="106" t="str">
        <f aca="false">IF(J597="","",J597&amp;"|"&amp;A597&amp;"|"&amp;K597)</f>
        <v>R246|Mountainland|1</v>
      </c>
    </row>
    <row r="598" customFormat="false" ht="15" hidden="false" customHeight="false" outlineLevel="0" collapsed="false">
      <c r="A598" s="98" t="s">
        <v>27</v>
      </c>
      <c r="B598" s="99" t="s">
        <v>1947</v>
      </c>
      <c r="C598" s="99" t="s">
        <v>682</v>
      </c>
      <c r="D598" s="98"/>
      <c r="E598" s="100" t="s">
        <v>1948</v>
      </c>
      <c r="F598" s="101" t="n">
        <v>9</v>
      </c>
      <c r="G598" s="101" t="s">
        <v>1679</v>
      </c>
      <c r="H598" s="102" t="n">
        <v>28.615</v>
      </c>
      <c r="I598" s="103" t="n">
        <v>257.54</v>
      </c>
      <c r="J598" s="104" t="s">
        <v>698</v>
      </c>
      <c r="K598" s="104" t="n">
        <v>1</v>
      </c>
      <c r="L598" s="101" t="n">
        <v>9</v>
      </c>
      <c r="M598" s="104" t="s">
        <v>902</v>
      </c>
      <c r="N598" s="98"/>
      <c r="O598" s="105" t="n">
        <f aca="false">IF(M598="Y",I598,IF(ISNUMBER(H598),H598*L598,0))</f>
        <v>257.54</v>
      </c>
      <c r="P598" s="106" t="str">
        <f aca="false">IF(J598="","",J598&amp;"|"&amp;A598&amp;"|"&amp;K598)</f>
        <v>R247|Mountainland|1</v>
      </c>
    </row>
    <row r="599" customFormat="false" ht="15" hidden="false" customHeight="false" outlineLevel="0" collapsed="false">
      <c r="A599" s="98" t="s">
        <v>27</v>
      </c>
      <c r="B599" s="99" t="s">
        <v>1949</v>
      </c>
      <c r="C599" s="99" t="s">
        <v>682</v>
      </c>
      <c r="D599" s="98"/>
      <c r="E599" s="100" t="s">
        <v>1703</v>
      </c>
      <c r="F599" s="101" t="n">
        <v>180</v>
      </c>
      <c r="G599" s="101" t="s">
        <v>1704</v>
      </c>
      <c r="H599" s="102" t="n">
        <v>4.416</v>
      </c>
      <c r="I599" s="103" t="n">
        <v>794.88</v>
      </c>
      <c r="J599" s="104" t="s">
        <v>701</v>
      </c>
      <c r="K599" s="104" t="n">
        <v>1</v>
      </c>
      <c r="L599" s="101" t="n">
        <v>180</v>
      </c>
      <c r="M599" s="104" t="s">
        <v>902</v>
      </c>
      <c r="N599" s="98"/>
      <c r="O599" s="105" t="n">
        <f aca="false">IF(M599="Y",I599,IF(ISNUMBER(H599),H599*L599,0))</f>
        <v>794.88</v>
      </c>
      <c r="P599" s="106" t="str">
        <f aca="false">IF(J599="","",J599&amp;"|"&amp;A599&amp;"|"&amp;K599)</f>
        <v>R248|Mountainland|1</v>
      </c>
    </row>
    <row r="600" customFormat="false" ht="15" hidden="false" customHeight="false" outlineLevel="0" collapsed="false">
      <c r="A600" s="98" t="s">
        <v>27</v>
      </c>
      <c r="B600" s="99" t="s">
        <v>1950</v>
      </c>
      <c r="C600" s="99" t="s">
        <v>682</v>
      </c>
      <c r="D600" s="98"/>
      <c r="E600" s="100" t="s">
        <v>1772</v>
      </c>
      <c r="F600" s="101" t="n">
        <v>9</v>
      </c>
      <c r="G600" s="101" t="s">
        <v>1679</v>
      </c>
      <c r="H600" s="102" t="n">
        <v>12.039</v>
      </c>
      <c r="I600" s="103" t="n">
        <v>108.35</v>
      </c>
      <c r="J600" s="104" t="s">
        <v>703</v>
      </c>
      <c r="K600" s="104" t="n">
        <v>1</v>
      </c>
      <c r="L600" s="101" t="n">
        <v>9</v>
      </c>
      <c r="M600" s="104" t="s">
        <v>902</v>
      </c>
      <c r="N600" s="98"/>
      <c r="O600" s="105" t="n">
        <f aca="false">IF(M600="Y",I600,IF(ISNUMBER(H600),H600*L600,0))</f>
        <v>108.35</v>
      </c>
      <c r="P600" s="106" t="str">
        <f aca="false">IF(J600="","",J600&amp;"|"&amp;A600&amp;"|"&amp;K600)</f>
        <v>R249|Mountainland|1</v>
      </c>
    </row>
    <row r="601" customFormat="false" ht="15" hidden="false" customHeight="false" outlineLevel="0" collapsed="false">
      <c r="A601" s="98" t="s">
        <v>27</v>
      </c>
      <c r="B601" s="99" t="s">
        <v>1951</v>
      </c>
      <c r="C601" s="99" t="s">
        <v>682</v>
      </c>
      <c r="D601" s="98"/>
      <c r="E601" s="100" t="s">
        <v>1952</v>
      </c>
      <c r="F601" s="101" t="n">
        <v>9</v>
      </c>
      <c r="G601" s="101" t="s">
        <v>1679</v>
      </c>
      <c r="H601" s="102" t="n">
        <v>62.046</v>
      </c>
      <c r="I601" s="103" t="n">
        <v>558.42</v>
      </c>
      <c r="J601" s="104" t="s">
        <v>715</v>
      </c>
      <c r="K601" s="104" t="n">
        <v>1</v>
      </c>
      <c r="L601" s="101" t="n">
        <v>9</v>
      </c>
      <c r="M601" s="104" t="s">
        <v>902</v>
      </c>
      <c r="N601" s="98"/>
      <c r="O601" s="105" t="n">
        <f aca="false">IF(M601="Y",I601,IF(ISNUMBER(H601),H601*L601,0))</f>
        <v>558.42</v>
      </c>
      <c r="P601" s="106" t="str">
        <f aca="false">IF(J601="","",J601&amp;"|"&amp;A601&amp;"|"&amp;K601)</f>
        <v>R254|Mountainland|1</v>
      </c>
    </row>
    <row r="602" customFormat="false" ht="15" hidden="false" customHeight="false" outlineLevel="0" collapsed="false">
      <c r="A602" s="98" t="s">
        <v>27</v>
      </c>
      <c r="B602" s="99" t="s">
        <v>1953</v>
      </c>
      <c r="C602" s="99" t="s">
        <v>682</v>
      </c>
      <c r="D602" s="98"/>
      <c r="E602" s="100" t="s">
        <v>1954</v>
      </c>
      <c r="F602" s="101" t="n">
        <v>9</v>
      </c>
      <c r="G602" s="101" t="s">
        <v>1679</v>
      </c>
      <c r="H602" s="102" t="n">
        <v>18.415</v>
      </c>
      <c r="I602" s="103" t="n">
        <v>165.73</v>
      </c>
      <c r="J602" s="104" t="s">
        <v>720</v>
      </c>
      <c r="K602" s="104" t="n">
        <v>1</v>
      </c>
      <c r="L602" s="101" t="n">
        <v>9</v>
      </c>
      <c r="M602" s="104" t="s">
        <v>902</v>
      </c>
      <c r="N602" s="98"/>
      <c r="O602" s="105" t="n">
        <f aca="false">IF(M602="Y",I602,IF(ISNUMBER(H602),H602*L602,0))</f>
        <v>165.73</v>
      </c>
      <c r="P602" s="106" t="str">
        <f aca="false">IF(J602="","",J602&amp;"|"&amp;A602&amp;"|"&amp;K602)</f>
        <v>R257|Mountainland|1</v>
      </c>
    </row>
    <row r="603" customFormat="false" ht="15" hidden="false" customHeight="false" outlineLevel="0" collapsed="false">
      <c r="A603" s="98" t="s">
        <v>27</v>
      </c>
      <c r="B603" s="99" t="s">
        <v>1955</v>
      </c>
      <c r="C603" s="99" t="s">
        <v>754</v>
      </c>
      <c r="D603" s="98"/>
      <c r="E603" s="100" t="s">
        <v>1956</v>
      </c>
      <c r="F603" s="101" t="n">
        <v>1</v>
      </c>
      <c r="G603" s="101" t="s">
        <v>1679</v>
      </c>
      <c r="H603" s="102" t="n">
        <v>19.193</v>
      </c>
      <c r="I603" s="103" t="n">
        <v>19.19</v>
      </c>
      <c r="J603" s="104" t="s">
        <v>778</v>
      </c>
      <c r="K603" s="104" t="n">
        <v>1</v>
      </c>
      <c r="L603" s="101" t="n">
        <v>1</v>
      </c>
      <c r="M603" s="104" t="s">
        <v>902</v>
      </c>
      <c r="N603" s="98"/>
      <c r="O603" s="105" t="n">
        <f aca="false">IF(M603="Y",I603,IF(ISNUMBER(H603),H603*L603,0))</f>
        <v>19.19</v>
      </c>
      <c r="P603" s="106" t="str">
        <f aca="false">IF(J603="","",J603&amp;"|"&amp;A603&amp;"|"&amp;K603)</f>
        <v>R279|Mountainland|1</v>
      </c>
    </row>
    <row r="604" customFormat="false" ht="15" hidden="false" customHeight="false" outlineLevel="0" collapsed="false">
      <c r="A604" s="98" t="s">
        <v>27</v>
      </c>
      <c r="B604" s="99" t="s">
        <v>1957</v>
      </c>
      <c r="C604" s="99" t="s">
        <v>754</v>
      </c>
      <c r="D604" s="98"/>
      <c r="E604" s="100" t="s">
        <v>1958</v>
      </c>
      <c r="F604" s="101" t="n">
        <v>1</v>
      </c>
      <c r="G604" s="101" t="s">
        <v>1679</v>
      </c>
      <c r="H604" s="102" t="n">
        <v>149.088</v>
      </c>
      <c r="I604" s="103" t="n">
        <v>149.09</v>
      </c>
      <c r="J604" s="104" t="s">
        <v>753</v>
      </c>
      <c r="K604" s="104" t="n">
        <v>1</v>
      </c>
      <c r="L604" s="101" t="n">
        <v>1</v>
      </c>
      <c r="M604" s="104" t="s">
        <v>902</v>
      </c>
      <c r="N604" s="98"/>
      <c r="O604" s="105" t="n">
        <f aca="false">IF(M604="Y",I604,IF(ISNUMBER(H604),H604*L604,0))</f>
        <v>149.09</v>
      </c>
      <c r="P604" s="106" t="str">
        <f aca="false">IF(J604="","",J604&amp;"|"&amp;A604&amp;"|"&amp;K604)</f>
        <v>R269|Mountainland|1</v>
      </c>
    </row>
    <row r="605" customFormat="false" ht="15" hidden="false" customHeight="false" outlineLevel="0" collapsed="false">
      <c r="A605" s="98" t="s">
        <v>27</v>
      </c>
      <c r="B605" s="99" t="s">
        <v>1959</v>
      </c>
      <c r="C605" s="99" t="s">
        <v>754</v>
      </c>
      <c r="D605" s="98"/>
      <c r="E605" s="100" t="s">
        <v>1960</v>
      </c>
      <c r="F605" s="101" t="n">
        <v>1</v>
      </c>
      <c r="G605" s="101" t="s">
        <v>1679</v>
      </c>
      <c r="H605" s="102" t="n">
        <v>61.983</v>
      </c>
      <c r="I605" s="103" t="n">
        <v>61.98</v>
      </c>
      <c r="J605" s="104" t="s">
        <v>757</v>
      </c>
      <c r="K605" s="104" t="n">
        <v>1</v>
      </c>
      <c r="L605" s="101" t="n">
        <v>1</v>
      </c>
      <c r="M605" s="104" t="s">
        <v>902</v>
      </c>
      <c r="N605" s="98"/>
      <c r="O605" s="105" t="n">
        <f aca="false">IF(M605="Y",I605,IF(ISNUMBER(H605),H605*L605,0))</f>
        <v>61.98</v>
      </c>
      <c r="P605" s="106" t="str">
        <f aca="false">IF(J605="","",J605&amp;"|"&amp;A605&amp;"|"&amp;K605)</f>
        <v>R270|Mountainland|1</v>
      </c>
    </row>
    <row r="606" customFormat="false" ht="15" hidden="false" customHeight="false" outlineLevel="0" collapsed="false">
      <c r="A606" s="98" t="s">
        <v>27</v>
      </c>
      <c r="B606" s="99" t="s">
        <v>1961</v>
      </c>
      <c r="C606" s="99" t="s">
        <v>754</v>
      </c>
      <c r="D606" s="98"/>
      <c r="E606" s="100" t="s">
        <v>1962</v>
      </c>
      <c r="F606" s="101" t="n">
        <v>100</v>
      </c>
      <c r="G606" s="101" t="s">
        <v>1704</v>
      </c>
      <c r="H606" s="102" t="n">
        <v>0.687</v>
      </c>
      <c r="I606" s="103" t="n">
        <v>68.66</v>
      </c>
      <c r="J606" s="104" t="s">
        <v>760</v>
      </c>
      <c r="K606" s="104" t="n">
        <v>1</v>
      </c>
      <c r="L606" s="101" t="n">
        <v>100</v>
      </c>
      <c r="M606" s="104" t="s">
        <v>902</v>
      </c>
      <c r="N606" s="98"/>
      <c r="O606" s="105" t="n">
        <f aca="false">IF(M606="Y",I606,IF(ISNUMBER(H606),H606*L606,0))</f>
        <v>68.66</v>
      </c>
      <c r="P606" s="106" t="str">
        <f aca="false">IF(J606="","",J606&amp;"|"&amp;A606&amp;"|"&amp;K606)</f>
        <v>R271|Mountainland|1</v>
      </c>
    </row>
    <row r="607" customFormat="false" ht="15" hidden="false" customHeight="false" outlineLevel="0" collapsed="false">
      <c r="A607" s="98" t="s">
        <v>27</v>
      </c>
      <c r="B607" s="99" t="s">
        <v>1963</v>
      </c>
      <c r="C607" s="99" t="s">
        <v>754</v>
      </c>
      <c r="D607" s="98"/>
      <c r="E607" s="100" t="s">
        <v>1964</v>
      </c>
      <c r="F607" s="101" t="n">
        <v>1</v>
      </c>
      <c r="G607" s="101" t="s">
        <v>1679</v>
      </c>
      <c r="H607" s="102" t="n">
        <v>299.435</v>
      </c>
      <c r="I607" s="103" t="n">
        <v>299.44</v>
      </c>
      <c r="J607" s="104" t="s">
        <v>762</v>
      </c>
      <c r="K607" s="104" t="n">
        <v>1</v>
      </c>
      <c r="L607" s="101" t="n">
        <v>1</v>
      </c>
      <c r="M607" s="104" t="s">
        <v>902</v>
      </c>
      <c r="N607" s="98"/>
      <c r="O607" s="105" t="n">
        <f aca="false">IF(M607="Y",I607,IF(ISNUMBER(H607),H607*L607,0))</f>
        <v>299.44</v>
      </c>
      <c r="P607" s="106" t="str">
        <f aca="false">IF(J607="","",J607&amp;"|"&amp;A607&amp;"|"&amp;K607)</f>
        <v>R272|Mountainland|1</v>
      </c>
    </row>
    <row r="608" customFormat="false" ht="15" hidden="false" customHeight="false" outlineLevel="0" collapsed="false">
      <c r="A608" s="98" t="s">
        <v>27</v>
      </c>
      <c r="B608" s="99" t="s">
        <v>1965</v>
      </c>
      <c r="C608" s="99" t="s">
        <v>754</v>
      </c>
      <c r="D608" s="98"/>
      <c r="E608" s="100" t="s">
        <v>1966</v>
      </c>
      <c r="F608" s="101" t="n">
        <v>2</v>
      </c>
      <c r="G608" s="101" t="s">
        <v>1679</v>
      </c>
      <c r="H608" s="102" t="n">
        <v>29.705</v>
      </c>
      <c r="I608" s="103" t="n">
        <v>59.41</v>
      </c>
      <c r="J608" s="104" t="s">
        <v>765</v>
      </c>
      <c r="K608" s="104" t="n">
        <v>1</v>
      </c>
      <c r="L608" s="101" t="n">
        <v>2</v>
      </c>
      <c r="M608" s="104" t="s">
        <v>902</v>
      </c>
      <c r="N608" s="98"/>
      <c r="O608" s="105" t="n">
        <f aca="false">IF(M608="Y",I608,IF(ISNUMBER(H608),H608*L608,0))</f>
        <v>59.41</v>
      </c>
      <c r="P608" s="106" t="str">
        <f aca="false">IF(J608="","",J608&amp;"|"&amp;A608&amp;"|"&amp;K608)</f>
        <v>R273|Mountainland|1</v>
      </c>
    </row>
    <row r="609" customFormat="false" ht="15" hidden="false" customHeight="false" outlineLevel="0" collapsed="false">
      <c r="A609" s="98" t="s">
        <v>27</v>
      </c>
      <c r="B609" s="99" t="s">
        <v>1967</v>
      </c>
      <c r="C609" s="99" t="s">
        <v>754</v>
      </c>
      <c r="D609" s="98"/>
      <c r="E609" s="100" t="s">
        <v>1968</v>
      </c>
      <c r="F609" s="101" t="n">
        <v>3</v>
      </c>
      <c r="G609" s="101" t="s">
        <v>1679</v>
      </c>
      <c r="H609" s="102" t="n">
        <v>2.449</v>
      </c>
      <c r="I609" s="103" t="n">
        <v>7.35</v>
      </c>
      <c r="J609" s="104" t="s">
        <v>774</v>
      </c>
      <c r="K609" s="104" t="n">
        <v>1</v>
      </c>
      <c r="L609" s="101" t="n">
        <v>3</v>
      </c>
      <c r="M609" s="104" t="s">
        <v>902</v>
      </c>
      <c r="N609" s="98"/>
      <c r="O609" s="105" t="n">
        <f aca="false">IF(M609="Y",I609,IF(ISNUMBER(H609),H609*L609,0))</f>
        <v>7.35</v>
      </c>
      <c r="P609" s="106" t="str">
        <f aca="false">IF(J609="","",J609&amp;"|"&amp;A609&amp;"|"&amp;K609)</f>
        <v>R277|Mountainland|1</v>
      </c>
    </row>
    <row r="610" customFormat="false" ht="15" hidden="false" customHeight="false" outlineLevel="0" collapsed="false">
      <c r="A610" s="98" t="s">
        <v>27</v>
      </c>
      <c r="B610" s="99" t="s">
        <v>1969</v>
      </c>
      <c r="C610" s="99" t="s">
        <v>754</v>
      </c>
      <c r="D610" s="98"/>
      <c r="E610" s="100" t="s">
        <v>1970</v>
      </c>
      <c r="F610" s="101" t="n">
        <v>1</v>
      </c>
      <c r="G610" s="101" t="s">
        <v>1679</v>
      </c>
      <c r="H610" s="102" t="n">
        <v>140.96</v>
      </c>
      <c r="I610" s="103" t="n">
        <v>140.96</v>
      </c>
      <c r="J610" s="104" t="s">
        <v>767</v>
      </c>
      <c r="K610" s="104" t="n">
        <v>1</v>
      </c>
      <c r="L610" s="101" t="n">
        <v>1</v>
      </c>
      <c r="M610" s="104" t="s">
        <v>902</v>
      </c>
      <c r="N610" s="98"/>
      <c r="O610" s="105" t="n">
        <f aca="false">IF(M610="Y",I610,IF(ISNUMBER(H610),H610*L610,0))</f>
        <v>140.96</v>
      </c>
      <c r="P610" s="106" t="str">
        <f aca="false">IF(J610="","",J610&amp;"|"&amp;A610&amp;"|"&amp;K610)</f>
        <v>R274|Mountainland|1</v>
      </c>
    </row>
    <row r="611" customFormat="false" ht="15" hidden="false" customHeight="false" outlineLevel="0" collapsed="false">
      <c r="A611" s="98" t="s">
        <v>27</v>
      </c>
      <c r="B611" s="99" t="s">
        <v>1971</v>
      </c>
      <c r="C611" s="99" t="s">
        <v>782</v>
      </c>
      <c r="D611" s="98"/>
      <c r="E611" s="100" t="s">
        <v>1972</v>
      </c>
      <c r="F611" s="101" t="n">
        <v>684</v>
      </c>
      <c r="G611" s="101" t="s">
        <v>1704</v>
      </c>
      <c r="H611" s="102" t="n">
        <v>97.219</v>
      </c>
      <c r="I611" s="103" t="n">
        <v>66497.63</v>
      </c>
      <c r="J611" s="104" t="s">
        <v>781</v>
      </c>
      <c r="K611" s="104" t="n">
        <v>1</v>
      </c>
      <c r="L611" s="101" t="n">
        <v>684</v>
      </c>
      <c r="M611" s="104" t="s">
        <v>902</v>
      </c>
      <c r="N611" s="98"/>
      <c r="O611" s="105" t="n">
        <f aca="false">IF(M611="Y",I611,IF(ISNUMBER(H611),H611*L611,0))</f>
        <v>66497.63</v>
      </c>
      <c r="P611" s="106" t="str">
        <f aca="false">IF(J611="","",J611&amp;"|"&amp;A611&amp;"|"&amp;K611)</f>
        <v>R280|Mountainland|1</v>
      </c>
    </row>
    <row r="612" customFormat="false" ht="15" hidden="false" customHeight="false" outlineLevel="0" collapsed="false">
      <c r="A612" s="98" t="s">
        <v>27</v>
      </c>
      <c r="B612" s="99" t="s">
        <v>1973</v>
      </c>
      <c r="C612" s="99" t="s">
        <v>782</v>
      </c>
      <c r="D612" s="98"/>
      <c r="E612" s="100" t="s">
        <v>1974</v>
      </c>
      <c r="F612" s="101" t="n">
        <v>3</v>
      </c>
      <c r="G612" s="101" t="s">
        <v>1679</v>
      </c>
      <c r="H612" s="102" t="n">
        <v>851.707</v>
      </c>
      <c r="I612" s="103" t="n">
        <v>2555.12</v>
      </c>
      <c r="J612" s="104" t="s">
        <v>790</v>
      </c>
      <c r="K612" s="104" t="n">
        <v>1</v>
      </c>
      <c r="L612" s="101" t="n">
        <v>3</v>
      </c>
      <c r="M612" s="104" t="s">
        <v>902</v>
      </c>
      <c r="N612" s="98"/>
      <c r="O612" s="105" t="n">
        <f aca="false">IF(M612="Y",I612,IF(ISNUMBER(H612),H612*L612,0))</f>
        <v>2555.12</v>
      </c>
      <c r="P612" s="106" t="str">
        <f aca="false">IF(J612="","",J612&amp;"|"&amp;A612&amp;"|"&amp;K612)</f>
        <v>R283|Mountainland|1</v>
      </c>
    </row>
    <row r="613" customFormat="false" ht="15" hidden="false" customHeight="false" outlineLevel="0" collapsed="false">
      <c r="A613" s="98" t="s">
        <v>27</v>
      </c>
      <c r="B613" s="99" t="s">
        <v>1975</v>
      </c>
      <c r="C613" s="99" t="s">
        <v>782</v>
      </c>
      <c r="D613" s="98"/>
      <c r="E613" s="100" t="s">
        <v>1976</v>
      </c>
      <c r="F613" s="101" t="n">
        <v>1</v>
      </c>
      <c r="G613" s="101" t="s">
        <v>1679</v>
      </c>
      <c r="H613" s="102" t="n">
        <v>1570.875</v>
      </c>
      <c r="I613" s="103" t="n">
        <v>1570.88</v>
      </c>
      <c r="J613" s="104" t="s">
        <v>792</v>
      </c>
      <c r="K613" s="104" t="n">
        <v>1</v>
      </c>
      <c r="L613" s="101" t="n">
        <v>1</v>
      </c>
      <c r="M613" s="104" t="s">
        <v>902</v>
      </c>
      <c r="N613" s="98"/>
      <c r="O613" s="105" t="n">
        <f aca="false">IF(M613="Y",I613,IF(ISNUMBER(H613),H613*L613,0))</f>
        <v>1570.88</v>
      </c>
      <c r="P613" s="106" t="str">
        <f aca="false">IF(J613="","",J613&amp;"|"&amp;A613&amp;"|"&amp;K613)</f>
        <v>R284|Mountainland|1</v>
      </c>
    </row>
    <row r="614" customFormat="false" ht="15" hidden="false" customHeight="false" outlineLevel="0" collapsed="false">
      <c r="A614" s="98" t="s">
        <v>27</v>
      </c>
      <c r="B614" s="99" t="s">
        <v>1977</v>
      </c>
      <c r="C614" s="99" t="s">
        <v>782</v>
      </c>
      <c r="D614" s="98"/>
      <c r="E614" s="100" t="s">
        <v>1978</v>
      </c>
      <c r="F614" s="101" t="n">
        <v>1</v>
      </c>
      <c r="G614" s="101" t="s">
        <v>1679</v>
      </c>
      <c r="H614" s="102" t="n">
        <v>836.049</v>
      </c>
      <c r="I614" s="103" t="n">
        <v>836.05</v>
      </c>
      <c r="J614" s="104" t="s">
        <v>788</v>
      </c>
      <c r="K614" s="104" t="n">
        <v>1</v>
      </c>
      <c r="L614" s="101" t="n">
        <v>1</v>
      </c>
      <c r="M614" s="104" t="s">
        <v>902</v>
      </c>
      <c r="N614" s="98"/>
      <c r="O614" s="105" t="n">
        <f aca="false">IF(M614="Y",I614,IF(ISNUMBER(H614),H614*L614,0))</f>
        <v>836.05</v>
      </c>
      <c r="P614" s="106" t="str">
        <f aca="false">IF(J614="","",J614&amp;"|"&amp;A614&amp;"|"&amp;K614)</f>
        <v>R282|Mountainland|1</v>
      </c>
    </row>
    <row r="615" customFormat="false" ht="15" hidden="false" customHeight="false" outlineLevel="0" collapsed="false">
      <c r="A615" s="98" t="s">
        <v>27</v>
      </c>
      <c r="B615" s="99" t="s">
        <v>1979</v>
      </c>
      <c r="C615" s="99" t="s">
        <v>782</v>
      </c>
      <c r="D615" s="98"/>
      <c r="E615" s="100" t="s">
        <v>1980</v>
      </c>
      <c r="F615" s="101" t="n">
        <v>1</v>
      </c>
      <c r="G615" s="101" t="s">
        <v>1679</v>
      </c>
      <c r="H615" s="102" t="n">
        <v>314.353</v>
      </c>
      <c r="I615" s="103" t="n">
        <v>314.35</v>
      </c>
      <c r="J615" s="104" t="s">
        <v>797</v>
      </c>
      <c r="K615" s="104" t="n">
        <v>1</v>
      </c>
      <c r="L615" s="101" t="n">
        <v>1</v>
      </c>
      <c r="M615" s="104" t="s">
        <v>902</v>
      </c>
      <c r="N615" s="98"/>
      <c r="O615" s="105" t="n">
        <f aca="false">IF(M615="Y",I615,IF(ISNUMBER(H615),H615*L615,0))</f>
        <v>314.35</v>
      </c>
      <c r="P615" s="106" t="str">
        <f aca="false">IF(J615="","",J615&amp;"|"&amp;A615&amp;"|"&amp;K615)</f>
        <v>R286|Mountainland|1</v>
      </c>
    </row>
    <row r="616" customFormat="false" ht="15" hidden="false" customHeight="false" outlineLevel="0" collapsed="false">
      <c r="A616" s="98" t="s">
        <v>27</v>
      </c>
      <c r="B616" s="99" t="s">
        <v>1981</v>
      </c>
      <c r="C616" s="99" t="s">
        <v>782</v>
      </c>
      <c r="D616" s="98"/>
      <c r="E616" s="100" t="s">
        <v>1683</v>
      </c>
      <c r="F616" s="101" t="n">
        <v>8</v>
      </c>
      <c r="G616" s="101" t="s">
        <v>1679</v>
      </c>
      <c r="H616" s="102" t="n">
        <v>234.953</v>
      </c>
      <c r="I616" s="103" t="n">
        <v>1879.62</v>
      </c>
      <c r="J616" s="104" t="s">
        <v>799</v>
      </c>
      <c r="K616" s="104" t="n">
        <v>1</v>
      </c>
      <c r="L616" s="101" t="n">
        <v>8</v>
      </c>
      <c r="M616" s="104" t="s">
        <v>902</v>
      </c>
      <c r="N616" s="98"/>
      <c r="O616" s="105" t="n">
        <f aca="false">IF(M616="Y",I616,IF(ISNUMBER(H616),H616*L616,0))</f>
        <v>1879.62</v>
      </c>
      <c r="P616" s="106" t="str">
        <f aca="false">IF(J616="","",J616&amp;"|"&amp;A616&amp;"|"&amp;K616)</f>
        <v>R287|Mountainland|1</v>
      </c>
    </row>
    <row r="617" customFormat="false" ht="15" hidden="false" customHeight="false" outlineLevel="0" collapsed="false">
      <c r="A617" s="98" t="s">
        <v>27</v>
      </c>
      <c r="B617" s="99" t="s">
        <v>1982</v>
      </c>
      <c r="C617" s="99" t="s">
        <v>782</v>
      </c>
      <c r="D617" s="98"/>
      <c r="E617" s="100" t="s">
        <v>1983</v>
      </c>
      <c r="F617" s="101" t="n">
        <v>580</v>
      </c>
      <c r="G617" s="101" t="s">
        <v>1704</v>
      </c>
      <c r="H617" s="102" t="n">
        <v>267.053</v>
      </c>
      <c r="I617" s="103" t="n">
        <v>154890.53</v>
      </c>
      <c r="J617" s="104" t="s">
        <v>817</v>
      </c>
      <c r="K617" s="104" t="n">
        <v>1</v>
      </c>
      <c r="L617" s="101" t="n">
        <v>580</v>
      </c>
      <c r="M617" s="104" t="s">
        <v>902</v>
      </c>
      <c r="N617" s="98"/>
      <c r="O617" s="105" t="n">
        <f aca="false">IF(M617="Y",I617,IF(ISNUMBER(H617),H617*L617,0))</f>
        <v>154890.53</v>
      </c>
      <c r="P617" s="106" t="str">
        <f aca="false">IF(J617="","",J617&amp;"|"&amp;A617&amp;"|"&amp;K617)</f>
        <v>R296|Mountainland|1</v>
      </c>
    </row>
    <row r="618" customFormat="false" ht="15" hidden="false" customHeight="false" outlineLevel="0" collapsed="false">
      <c r="A618" s="98" t="s">
        <v>27</v>
      </c>
      <c r="B618" s="99" t="s">
        <v>1984</v>
      </c>
      <c r="C618" s="99" t="s">
        <v>782</v>
      </c>
      <c r="D618" s="98"/>
      <c r="E618" s="100" t="s">
        <v>1985</v>
      </c>
      <c r="F618" s="101" t="n">
        <v>117</v>
      </c>
      <c r="G618" s="101" t="s">
        <v>1679</v>
      </c>
      <c r="H618" s="102" t="n">
        <v>363.75</v>
      </c>
      <c r="I618" s="103" t="n">
        <v>42558.75</v>
      </c>
      <c r="J618" s="104" t="s">
        <v>821</v>
      </c>
      <c r="K618" s="104" t="n">
        <v>1</v>
      </c>
      <c r="L618" s="101" t="n">
        <v>117</v>
      </c>
      <c r="M618" s="104" t="s">
        <v>902</v>
      </c>
      <c r="N618" s="98"/>
      <c r="O618" s="105" t="n">
        <f aca="false">IF(M618="Y",I618,IF(ISNUMBER(H618),H618*L618,0))</f>
        <v>42558.75</v>
      </c>
      <c r="P618" s="106" t="str">
        <f aca="false">IF(J618="","",J618&amp;"|"&amp;A618&amp;"|"&amp;K618)</f>
        <v>R297|Mountainland|1</v>
      </c>
    </row>
    <row r="619" customFormat="false" ht="15" hidden="false" customHeight="false" outlineLevel="0" collapsed="false">
      <c r="A619" s="98" t="s">
        <v>27</v>
      </c>
      <c r="B619" s="99" t="s">
        <v>1986</v>
      </c>
      <c r="C619" s="99" t="s">
        <v>782</v>
      </c>
      <c r="D619" s="98"/>
      <c r="E619" s="100" t="s">
        <v>1987</v>
      </c>
      <c r="F619" s="101" t="n">
        <v>2</v>
      </c>
      <c r="G619" s="101" t="s">
        <v>1679</v>
      </c>
      <c r="H619" s="102" t="n">
        <v>337.5</v>
      </c>
      <c r="I619" s="103" t="n">
        <v>675</v>
      </c>
      <c r="J619" s="104" t="s">
        <v>825</v>
      </c>
      <c r="K619" s="104" t="n">
        <v>1</v>
      </c>
      <c r="L619" s="101" t="n">
        <v>2</v>
      </c>
      <c r="M619" s="104" t="s">
        <v>902</v>
      </c>
      <c r="N619" s="98"/>
      <c r="O619" s="105" t="n">
        <f aca="false">IF(M619="Y",I619,IF(ISNUMBER(H619),H619*L619,0))</f>
        <v>675</v>
      </c>
      <c r="P619" s="106" t="str">
        <f aca="false">IF(J619="","",J619&amp;"|"&amp;A619&amp;"|"&amp;K619)</f>
        <v>R298|Mountainland|1</v>
      </c>
    </row>
    <row r="620" customFormat="false" ht="15" hidden="false" customHeight="false" outlineLevel="0" collapsed="false">
      <c r="A620" s="98" t="s">
        <v>27</v>
      </c>
      <c r="B620" s="99" t="s">
        <v>1988</v>
      </c>
      <c r="C620" s="99" t="s">
        <v>782</v>
      </c>
      <c r="D620" s="98"/>
      <c r="E620" s="100" t="s">
        <v>1869</v>
      </c>
      <c r="F620" s="101" t="n">
        <v>33</v>
      </c>
      <c r="G620" s="101" t="s">
        <v>1679</v>
      </c>
      <c r="H620" s="102" t="n">
        <v>408.482</v>
      </c>
      <c r="I620" s="103" t="n">
        <v>13479.92</v>
      </c>
      <c r="J620" s="104" t="s">
        <v>785</v>
      </c>
      <c r="K620" s="104" t="n">
        <v>1</v>
      </c>
      <c r="L620" s="101" t="n">
        <v>33</v>
      </c>
      <c r="M620" s="104" t="s">
        <v>902</v>
      </c>
      <c r="N620" s="98"/>
      <c r="O620" s="105" t="n">
        <f aca="false">IF(M620="Y",I620,IF(ISNUMBER(H620),H620*L620,0))</f>
        <v>13479.92</v>
      </c>
      <c r="P620" s="106" t="str">
        <f aca="false">IF(J620="","",J620&amp;"|"&amp;A620&amp;"|"&amp;K620)</f>
        <v>R281|Mountainland|1</v>
      </c>
    </row>
    <row r="621" customFormat="false" ht="15" hidden="false" customHeight="false" outlineLevel="0" collapsed="false">
      <c r="A621" s="98" t="s">
        <v>27</v>
      </c>
      <c r="B621" s="99" t="s">
        <v>1989</v>
      </c>
      <c r="C621" s="99" t="s">
        <v>782</v>
      </c>
      <c r="D621" s="98"/>
      <c r="E621" s="100" t="s">
        <v>1990</v>
      </c>
      <c r="F621" s="101" t="n">
        <v>1400</v>
      </c>
      <c r="G621" s="101" t="s">
        <v>1704</v>
      </c>
      <c r="H621" s="102" t="n">
        <v>1.975</v>
      </c>
      <c r="I621" s="103" t="n">
        <v>2765</v>
      </c>
      <c r="J621" s="104" t="s">
        <v>803</v>
      </c>
      <c r="K621" s="104" t="n">
        <v>1</v>
      </c>
      <c r="L621" s="101" t="n">
        <v>1400</v>
      </c>
      <c r="M621" s="104" t="s">
        <v>902</v>
      </c>
      <c r="N621" s="98"/>
      <c r="O621" s="105" t="n">
        <f aca="false">IF(M621="Y",I621,IF(ISNUMBER(H621),H621*L621,0))</f>
        <v>2765</v>
      </c>
      <c r="P621" s="106" t="str">
        <f aca="false">IF(J621="","",J621&amp;"|"&amp;A621&amp;"|"&amp;K621)</f>
        <v>R290|Mountainland|1</v>
      </c>
    </row>
    <row r="622" customFormat="false" ht="15" hidden="false" customHeight="false" outlineLevel="0" collapsed="false">
      <c r="A622" s="98" t="s">
        <v>27</v>
      </c>
      <c r="B622" s="99" t="s">
        <v>1991</v>
      </c>
      <c r="C622" s="99" t="s">
        <v>782</v>
      </c>
      <c r="D622" s="98"/>
      <c r="E622" s="100" t="s">
        <v>1992</v>
      </c>
      <c r="F622" s="101" t="n">
        <v>4</v>
      </c>
      <c r="G622" s="101" t="s">
        <v>1679</v>
      </c>
      <c r="H622" s="102" t="n">
        <v>36.497</v>
      </c>
      <c r="I622" s="103" t="n">
        <v>145.99</v>
      </c>
      <c r="J622" s="104" t="s">
        <v>805</v>
      </c>
      <c r="K622" s="104" t="n">
        <v>1</v>
      </c>
      <c r="L622" s="101" t="n">
        <v>4</v>
      </c>
      <c r="M622" s="104" t="s">
        <v>902</v>
      </c>
      <c r="N622" s="98"/>
      <c r="O622" s="105" t="n">
        <f aca="false">IF(M622="Y",I622,IF(ISNUMBER(H622),H622*L622,0))</f>
        <v>145.99</v>
      </c>
      <c r="P622" s="106" t="str">
        <f aca="false">IF(J622="","",J622&amp;"|"&amp;A622&amp;"|"&amp;K622)</f>
        <v>R291|Mountainland|1</v>
      </c>
    </row>
    <row r="623" customFormat="false" ht="15" hidden="false" customHeight="false" outlineLevel="0" collapsed="false">
      <c r="A623" s="98" t="s">
        <v>31</v>
      </c>
      <c r="B623" s="99" t="s">
        <v>1993</v>
      </c>
      <c r="C623" s="99" t="s">
        <v>130</v>
      </c>
      <c r="D623" s="98" t="s">
        <v>930</v>
      </c>
      <c r="E623" s="100" t="s">
        <v>1994</v>
      </c>
      <c r="F623" s="101" t="n">
        <v>1</v>
      </c>
      <c r="G623" s="101" t="s">
        <v>133</v>
      </c>
      <c r="H623" s="102" t="n">
        <v>31000</v>
      </c>
      <c r="I623" s="103" t="n">
        <v>31000</v>
      </c>
      <c r="J623" s="104" t="s">
        <v>239</v>
      </c>
      <c r="K623" s="104" t="n">
        <v>1</v>
      </c>
      <c r="L623" s="101" t="n">
        <v>1</v>
      </c>
      <c r="M623" s="104" t="s">
        <v>902</v>
      </c>
      <c r="N623" s="98"/>
      <c r="O623" s="105" t="n">
        <f aca="false">IF(M623="Y",I623,IF(ISNUMBER(H623),H623*L623,0))</f>
        <v>31000</v>
      </c>
      <c r="P623" s="106" t="str">
        <f aca="false">IF(J623="","",J623&amp;"|"&amp;A623&amp;"|"&amp;K623)</f>
        <v>R050|Scholzen|1</v>
      </c>
    </row>
    <row r="624" customFormat="false" ht="15" hidden="false" customHeight="false" outlineLevel="0" collapsed="false">
      <c r="A624" s="98" t="s">
        <v>31</v>
      </c>
      <c r="B624" s="99" t="s">
        <v>1995</v>
      </c>
      <c r="C624" s="99" t="s">
        <v>130</v>
      </c>
      <c r="D624" s="98" t="s">
        <v>930</v>
      </c>
      <c r="E624" s="100" t="s">
        <v>1996</v>
      </c>
      <c r="F624" s="101" t="n">
        <v>1</v>
      </c>
      <c r="G624" s="101" t="s">
        <v>133</v>
      </c>
      <c r="H624" s="102" t="n">
        <v>465.75</v>
      </c>
      <c r="I624" s="103" t="n">
        <v>465.75</v>
      </c>
      <c r="J624" s="104" t="s">
        <v>156</v>
      </c>
      <c r="K624" s="104" t="n">
        <v>1</v>
      </c>
      <c r="L624" s="101" t="n">
        <v>1</v>
      </c>
      <c r="M624" s="104" t="s">
        <v>902</v>
      </c>
      <c r="N624" s="98"/>
      <c r="O624" s="105" t="n">
        <f aca="false">IF(M624="Y",I624,IF(ISNUMBER(H624),H624*L624,0))</f>
        <v>465.75</v>
      </c>
      <c r="P624" s="106" t="str">
        <f aca="false">IF(J624="","",J624&amp;"|"&amp;A624&amp;"|"&amp;K624)</f>
        <v>R011|Scholzen|1</v>
      </c>
    </row>
    <row r="625" customFormat="false" ht="15" hidden="false" customHeight="false" outlineLevel="0" collapsed="false">
      <c r="A625" s="98" t="s">
        <v>31</v>
      </c>
      <c r="B625" s="99" t="s">
        <v>1997</v>
      </c>
      <c r="C625" s="99" t="s">
        <v>130</v>
      </c>
      <c r="D625" s="98" t="s">
        <v>930</v>
      </c>
      <c r="E625" s="100" t="s">
        <v>1998</v>
      </c>
      <c r="F625" s="101" t="n">
        <v>1</v>
      </c>
      <c r="G625" s="101" t="s">
        <v>133</v>
      </c>
      <c r="H625" s="102" t="n">
        <v>406.5</v>
      </c>
      <c r="I625" s="103" t="n">
        <v>406.5</v>
      </c>
      <c r="J625" s="104" t="s">
        <v>158</v>
      </c>
      <c r="K625" s="104" t="n">
        <v>1</v>
      </c>
      <c r="L625" s="101" t="n">
        <v>1</v>
      </c>
      <c r="M625" s="104" t="s">
        <v>902</v>
      </c>
      <c r="N625" s="98"/>
      <c r="O625" s="105" t="n">
        <f aca="false">IF(M625="Y",I625,IF(ISNUMBER(H625),H625*L625,0))</f>
        <v>406.5</v>
      </c>
      <c r="P625" s="106" t="str">
        <f aca="false">IF(J625="","",J625&amp;"|"&amp;A625&amp;"|"&amp;K625)</f>
        <v>R012|Scholzen|1</v>
      </c>
    </row>
    <row r="626" customFormat="false" ht="15" hidden="false" customHeight="false" outlineLevel="0" collapsed="false">
      <c r="A626" s="98" t="s">
        <v>31</v>
      </c>
      <c r="B626" s="99" t="s">
        <v>1999</v>
      </c>
      <c r="C626" s="99" t="s">
        <v>130</v>
      </c>
      <c r="D626" s="98" t="s">
        <v>930</v>
      </c>
      <c r="E626" s="100" t="s">
        <v>2000</v>
      </c>
      <c r="F626" s="101" t="n">
        <v>4</v>
      </c>
      <c r="G626" s="101" t="s">
        <v>133</v>
      </c>
      <c r="H626" s="102" t="n">
        <v>193.73</v>
      </c>
      <c r="I626" s="103" t="n">
        <v>774.92</v>
      </c>
      <c r="J626" s="104" t="s">
        <v>299</v>
      </c>
      <c r="K626" s="104" t="n">
        <v>1</v>
      </c>
      <c r="L626" s="101" t="n">
        <v>4</v>
      </c>
      <c r="M626" s="104" t="s">
        <v>902</v>
      </c>
      <c r="N626" s="98"/>
      <c r="O626" s="105" t="n">
        <f aca="false">IF(M626="Y",I626,IF(ISNUMBER(H626),H626*L626,0))</f>
        <v>774.92</v>
      </c>
      <c r="P626" s="106" t="str">
        <f aca="false">IF(J626="","",J626&amp;"|"&amp;A626&amp;"|"&amp;K626)</f>
        <v>R073|Scholzen|1</v>
      </c>
    </row>
    <row r="627" customFormat="false" ht="15" hidden="false" customHeight="false" outlineLevel="0" collapsed="false">
      <c r="A627" s="98" t="s">
        <v>31</v>
      </c>
      <c r="B627" s="99" t="s">
        <v>2001</v>
      </c>
      <c r="C627" s="99" t="s">
        <v>130</v>
      </c>
      <c r="D627" s="98" t="s">
        <v>930</v>
      </c>
      <c r="E627" s="100" t="s">
        <v>2002</v>
      </c>
      <c r="F627" s="101" t="n">
        <v>2</v>
      </c>
      <c r="G627" s="101" t="s">
        <v>133</v>
      </c>
      <c r="H627" s="102" t="n">
        <v>519.75</v>
      </c>
      <c r="I627" s="103" t="n">
        <v>1039.5</v>
      </c>
      <c r="J627" s="104" t="s">
        <v>149</v>
      </c>
      <c r="K627" s="104" t="n">
        <v>1</v>
      </c>
      <c r="L627" s="101" t="n">
        <v>2</v>
      </c>
      <c r="M627" s="104" t="s">
        <v>902</v>
      </c>
      <c r="N627" s="98"/>
      <c r="O627" s="105" t="n">
        <f aca="false">IF(M627="Y",I627,IF(ISNUMBER(H627),H627*L627,0))</f>
        <v>1039.5</v>
      </c>
      <c r="P627" s="106" t="str">
        <f aca="false">IF(J627="","",J627&amp;"|"&amp;A627&amp;"|"&amp;K627)</f>
        <v>R008|Scholzen|1</v>
      </c>
    </row>
    <row r="628" customFormat="false" ht="15" hidden="false" customHeight="false" outlineLevel="0" collapsed="false">
      <c r="A628" s="98" t="s">
        <v>31</v>
      </c>
      <c r="B628" s="99" t="s">
        <v>2003</v>
      </c>
      <c r="C628" s="99" t="s">
        <v>130</v>
      </c>
      <c r="D628" s="98" t="s">
        <v>930</v>
      </c>
      <c r="E628" s="100" t="s">
        <v>2004</v>
      </c>
      <c r="F628" s="101" t="n">
        <v>2</v>
      </c>
      <c r="G628" s="101" t="s">
        <v>133</v>
      </c>
      <c r="H628" s="102" t="n">
        <v>1634</v>
      </c>
      <c r="I628" s="103" t="n">
        <v>3268</v>
      </c>
      <c r="J628" s="104" t="s">
        <v>129</v>
      </c>
      <c r="K628" s="104" t="n">
        <v>1</v>
      </c>
      <c r="L628" s="101" t="n">
        <v>2</v>
      </c>
      <c r="M628" s="104" t="s">
        <v>902</v>
      </c>
      <c r="N628" s="98"/>
      <c r="O628" s="105" t="n">
        <f aca="false">IF(M628="Y",I628,IF(ISNUMBER(H628),H628*L628,0))</f>
        <v>3268</v>
      </c>
      <c r="P628" s="106" t="str">
        <f aca="false">IF(J628="","",J628&amp;"|"&amp;A628&amp;"|"&amp;K628)</f>
        <v>R001|Scholzen|1</v>
      </c>
    </row>
    <row r="629" customFormat="false" ht="15" hidden="false" customHeight="false" outlineLevel="0" collapsed="false">
      <c r="A629" s="98" t="s">
        <v>31</v>
      </c>
      <c r="B629" s="99" t="s">
        <v>2005</v>
      </c>
      <c r="C629" s="99" t="s">
        <v>130</v>
      </c>
      <c r="D629" s="98" t="s">
        <v>930</v>
      </c>
      <c r="E629" s="100" t="s">
        <v>2006</v>
      </c>
      <c r="F629" s="101" t="n">
        <v>2</v>
      </c>
      <c r="G629" s="101" t="s">
        <v>133</v>
      </c>
      <c r="H629" s="102" t="n">
        <v>1011.75</v>
      </c>
      <c r="I629" s="103" t="n">
        <v>2023.5</v>
      </c>
      <c r="J629" s="104" t="s">
        <v>147</v>
      </c>
      <c r="K629" s="104" t="n">
        <v>1</v>
      </c>
      <c r="L629" s="101" t="n">
        <v>2</v>
      </c>
      <c r="M629" s="104" t="s">
        <v>902</v>
      </c>
      <c r="N629" s="98"/>
      <c r="O629" s="105" t="n">
        <f aca="false">IF(M629="Y",I629,IF(ISNUMBER(H629),H629*L629,0))</f>
        <v>2023.5</v>
      </c>
      <c r="P629" s="106" t="str">
        <f aca="false">IF(J629="","",J629&amp;"|"&amp;A629&amp;"|"&amp;K629)</f>
        <v>R007|Scholzen|1</v>
      </c>
    </row>
    <row r="630" customFormat="false" ht="15" hidden="false" customHeight="false" outlineLevel="0" collapsed="false">
      <c r="A630" s="98" t="s">
        <v>31</v>
      </c>
      <c r="B630" s="99" t="s">
        <v>2007</v>
      </c>
      <c r="C630" s="99" t="s">
        <v>130</v>
      </c>
      <c r="D630" s="98" t="s">
        <v>930</v>
      </c>
      <c r="E630" s="100" t="s">
        <v>2008</v>
      </c>
      <c r="F630" s="101" t="n">
        <v>2</v>
      </c>
      <c r="G630" s="101" t="s">
        <v>133</v>
      </c>
      <c r="H630" s="102" t="n">
        <v>1054.02</v>
      </c>
      <c r="I630" s="103" t="n">
        <v>2108.04</v>
      </c>
      <c r="J630" s="104" t="s">
        <v>134</v>
      </c>
      <c r="K630" s="104" t="n">
        <v>1</v>
      </c>
      <c r="L630" s="101" t="n">
        <v>2</v>
      </c>
      <c r="M630" s="104" t="s">
        <v>902</v>
      </c>
      <c r="N630" s="98"/>
      <c r="O630" s="105" t="n">
        <f aca="false">IF(M630="Y",I630,IF(ISNUMBER(H630),H630*L630,0))</f>
        <v>2108.04</v>
      </c>
      <c r="P630" s="106" t="str">
        <f aca="false">IF(J630="","",J630&amp;"|"&amp;A630&amp;"|"&amp;K630)</f>
        <v>R002|Scholzen|1</v>
      </c>
    </row>
    <row r="631" customFormat="false" ht="15" hidden="false" customHeight="false" outlineLevel="0" collapsed="false">
      <c r="A631" s="98" t="s">
        <v>31</v>
      </c>
      <c r="B631" s="99" t="s">
        <v>2009</v>
      </c>
      <c r="C631" s="99" t="s">
        <v>130</v>
      </c>
      <c r="D631" s="98" t="s">
        <v>930</v>
      </c>
      <c r="E631" s="100" t="s">
        <v>2010</v>
      </c>
      <c r="F631" s="101" t="n">
        <v>1</v>
      </c>
      <c r="G631" s="101" t="s">
        <v>133</v>
      </c>
      <c r="H631" s="102" t="n">
        <v>1707</v>
      </c>
      <c r="I631" s="103" t="n">
        <v>1707</v>
      </c>
      <c r="J631" s="104" t="s">
        <v>143</v>
      </c>
      <c r="K631" s="104" t="n">
        <v>1</v>
      </c>
      <c r="L631" s="101" t="n">
        <v>1</v>
      </c>
      <c r="M631" s="104" t="s">
        <v>902</v>
      </c>
      <c r="N631" s="98"/>
      <c r="O631" s="105" t="n">
        <f aca="false">IF(M631="Y",I631,IF(ISNUMBER(H631),H631*L631,0))</f>
        <v>1707</v>
      </c>
      <c r="P631" s="106" t="str">
        <f aca="false">IF(J631="","",J631&amp;"|"&amp;A631&amp;"|"&amp;K631)</f>
        <v>R005|Scholzen|1</v>
      </c>
    </row>
    <row r="632" customFormat="false" ht="15" hidden="false" customHeight="false" outlineLevel="0" collapsed="false">
      <c r="A632" s="98" t="s">
        <v>31</v>
      </c>
      <c r="B632" s="99" t="s">
        <v>2011</v>
      </c>
      <c r="C632" s="99" t="s">
        <v>130</v>
      </c>
      <c r="D632" s="98" t="s">
        <v>930</v>
      </c>
      <c r="E632" s="100" t="s">
        <v>2012</v>
      </c>
      <c r="F632" s="101" t="n">
        <v>1</v>
      </c>
      <c r="G632" s="101" t="s">
        <v>133</v>
      </c>
      <c r="H632" s="102" t="n">
        <v>488.25</v>
      </c>
      <c r="I632" s="103" t="n">
        <v>488.25</v>
      </c>
      <c r="J632" s="104" t="s">
        <v>160</v>
      </c>
      <c r="K632" s="104" t="n">
        <v>1</v>
      </c>
      <c r="L632" s="101" t="n">
        <v>1</v>
      </c>
      <c r="M632" s="104" t="s">
        <v>902</v>
      </c>
      <c r="N632" s="98"/>
      <c r="O632" s="105" t="n">
        <f aca="false">IF(M632="Y",I632,IF(ISNUMBER(H632),H632*L632,0))</f>
        <v>488.25</v>
      </c>
      <c r="P632" s="106" t="str">
        <f aca="false">IF(J632="","",J632&amp;"|"&amp;A632&amp;"|"&amp;K632)</f>
        <v>R013|Scholzen|1</v>
      </c>
    </row>
    <row r="633" customFormat="false" ht="15" hidden="false" customHeight="false" outlineLevel="0" collapsed="false">
      <c r="A633" s="98" t="s">
        <v>31</v>
      </c>
      <c r="B633" s="99" t="s">
        <v>2013</v>
      </c>
      <c r="C633" s="99" t="s">
        <v>130</v>
      </c>
      <c r="D633" s="98" t="s">
        <v>930</v>
      </c>
      <c r="E633" s="100" t="s">
        <v>2014</v>
      </c>
      <c r="F633" s="101" t="n">
        <v>1</v>
      </c>
      <c r="G633" s="101" t="s">
        <v>133</v>
      </c>
      <c r="H633" s="102" t="n">
        <v>1395.07</v>
      </c>
      <c r="I633" s="103" t="n">
        <v>1395.07</v>
      </c>
      <c r="J633" s="104" t="s">
        <v>136</v>
      </c>
      <c r="K633" s="104" t="n">
        <v>1</v>
      </c>
      <c r="L633" s="101" t="n">
        <v>1</v>
      </c>
      <c r="M633" s="104" t="s">
        <v>902</v>
      </c>
      <c r="N633" s="98"/>
      <c r="O633" s="105" t="n">
        <f aca="false">IF(M633="Y",I633,IF(ISNUMBER(H633),H633*L633,0))</f>
        <v>1395.07</v>
      </c>
      <c r="P633" s="106" t="str">
        <f aca="false">IF(J633="","",J633&amp;"|"&amp;A633&amp;"|"&amp;K633)</f>
        <v>R003|Scholzen|1</v>
      </c>
    </row>
    <row r="634" customFormat="false" ht="15" hidden="false" customHeight="false" outlineLevel="0" collapsed="false">
      <c r="A634" s="98" t="s">
        <v>31</v>
      </c>
      <c r="B634" s="99" t="s">
        <v>2015</v>
      </c>
      <c r="C634" s="99" t="s">
        <v>130</v>
      </c>
      <c r="D634" s="98" t="s">
        <v>930</v>
      </c>
      <c r="E634" s="100" t="s">
        <v>2016</v>
      </c>
      <c r="F634" s="101" t="n">
        <v>2</v>
      </c>
      <c r="G634" s="101" t="s">
        <v>133</v>
      </c>
      <c r="H634" s="102" t="n">
        <v>1176.75</v>
      </c>
      <c r="I634" s="103" t="n">
        <v>2353.5</v>
      </c>
      <c r="J634" s="104" t="s">
        <v>145</v>
      </c>
      <c r="K634" s="104" t="n">
        <v>1</v>
      </c>
      <c r="L634" s="101" t="n">
        <v>2</v>
      </c>
      <c r="M634" s="104" t="s">
        <v>902</v>
      </c>
      <c r="N634" s="98"/>
      <c r="O634" s="105" t="n">
        <f aca="false">IF(M634="Y",I634,IF(ISNUMBER(H634),H634*L634,0))</f>
        <v>2353.5</v>
      </c>
      <c r="P634" s="106" t="str">
        <f aca="false">IF(J634="","",J634&amp;"|"&amp;A634&amp;"|"&amp;K634)</f>
        <v>R006|Scholzen|1</v>
      </c>
    </row>
    <row r="635" customFormat="false" ht="15" hidden="false" customHeight="false" outlineLevel="0" collapsed="false">
      <c r="A635" s="98" t="s">
        <v>31</v>
      </c>
      <c r="B635" s="99" t="s">
        <v>2017</v>
      </c>
      <c r="C635" s="99" t="s">
        <v>130</v>
      </c>
      <c r="D635" s="98" t="s">
        <v>930</v>
      </c>
      <c r="E635" s="100" t="s">
        <v>2018</v>
      </c>
      <c r="F635" s="101" t="n">
        <v>2</v>
      </c>
      <c r="G635" s="101" t="s">
        <v>133</v>
      </c>
      <c r="H635" s="102" t="n">
        <v>250.5</v>
      </c>
      <c r="I635" s="103" t="n">
        <v>501</v>
      </c>
      <c r="J635" s="104" t="s">
        <v>278</v>
      </c>
      <c r="K635" s="104" t="n">
        <v>1</v>
      </c>
      <c r="L635" s="101" t="n">
        <v>2</v>
      </c>
      <c r="M635" s="104" t="s">
        <v>902</v>
      </c>
      <c r="N635" s="98"/>
      <c r="O635" s="105" t="n">
        <f aca="false">IF(M635="Y",I635,IF(ISNUMBER(H635),H635*L635,0))</f>
        <v>501</v>
      </c>
      <c r="P635" s="106" t="str">
        <f aca="false">IF(J635="","",J635&amp;"|"&amp;A635&amp;"|"&amp;K635)</f>
        <v>R065|Scholzen|1</v>
      </c>
    </row>
    <row r="636" customFormat="false" ht="15" hidden="false" customHeight="false" outlineLevel="0" collapsed="false">
      <c r="A636" s="98" t="s">
        <v>31</v>
      </c>
      <c r="B636" s="99" t="s">
        <v>2019</v>
      </c>
      <c r="C636" s="99" t="s">
        <v>130</v>
      </c>
      <c r="D636" s="98" t="s">
        <v>930</v>
      </c>
      <c r="E636" s="100" t="s">
        <v>2020</v>
      </c>
      <c r="F636" s="101" t="n">
        <v>2</v>
      </c>
      <c r="G636" s="101" t="s">
        <v>133</v>
      </c>
      <c r="H636" s="102" t="n">
        <v>9.97</v>
      </c>
      <c r="I636" s="103" t="n">
        <v>19.94</v>
      </c>
      <c r="J636" s="104" t="s">
        <v>276</v>
      </c>
      <c r="K636" s="104" t="n">
        <v>1</v>
      </c>
      <c r="L636" s="101" t="n">
        <v>2</v>
      </c>
      <c r="M636" s="104" t="s">
        <v>902</v>
      </c>
      <c r="N636" s="98"/>
      <c r="O636" s="105" t="n">
        <f aca="false">IF(M636="Y",I636,IF(ISNUMBER(H636),H636*L636,0))</f>
        <v>19.94</v>
      </c>
      <c r="P636" s="106" t="str">
        <f aca="false">IF(J636="","",J636&amp;"|"&amp;A636&amp;"|"&amp;K636)</f>
        <v>R064|Scholzen|1</v>
      </c>
    </row>
    <row r="637" customFormat="false" ht="15" hidden="false" customHeight="false" outlineLevel="0" collapsed="false">
      <c r="A637" s="98" t="s">
        <v>31</v>
      </c>
      <c r="B637" s="99" t="s">
        <v>2021</v>
      </c>
      <c r="C637" s="99" t="s">
        <v>130</v>
      </c>
      <c r="D637" s="98" t="s">
        <v>930</v>
      </c>
      <c r="E637" s="100" t="s">
        <v>2022</v>
      </c>
      <c r="F637" s="101" t="n">
        <v>2</v>
      </c>
      <c r="G637" s="101" t="s">
        <v>133</v>
      </c>
      <c r="H637" s="102" t="n">
        <v>101.72</v>
      </c>
      <c r="I637" s="103" t="n">
        <v>203.44</v>
      </c>
      <c r="J637" s="104" t="s">
        <v>269</v>
      </c>
      <c r="K637" s="104" t="n">
        <v>1</v>
      </c>
      <c r="L637" s="101" t="n">
        <v>2</v>
      </c>
      <c r="M637" s="104" t="s">
        <v>902</v>
      </c>
      <c r="N637" s="98"/>
      <c r="O637" s="105" t="n">
        <f aca="false">IF(M637="Y",I637,IF(ISNUMBER(H637),H637*L637,0))</f>
        <v>203.44</v>
      </c>
      <c r="P637" s="106" t="str">
        <f aca="false">IF(J637="","",J637&amp;"|"&amp;A637&amp;"|"&amp;K637)</f>
        <v>R061|Scholzen|1</v>
      </c>
    </row>
    <row r="638" customFormat="false" ht="15" hidden="false" customHeight="false" outlineLevel="0" collapsed="false">
      <c r="A638" s="98" t="s">
        <v>31</v>
      </c>
      <c r="B638" s="99" t="s">
        <v>2023</v>
      </c>
      <c r="C638" s="99" t="s">
        <v>130</v>
      </c>
      <c r="D638" s="98" t="s">
        <v>930</v>
      </c>
      <c r="E638" s="100" t="s">
        <v>2024</v>
      </c>
      <c r="F638" s="101" t="n">
        <v>4</v>
      </c>
      <c r="G638" s="101" t="s">
        <v>133</v>
      </c>
      <c r="H638" s="102" t="n">
        <v>8.65</v>
      </c>
      <c r="I638" s="103" t="n">
        <v>34.6</v>
      </c>
      <c r="J638" s="104" t="s">
        <v>401</v>
      </c>
      <c r="K638" s="104" t="n">
        <v>1</v>
      </c>
      <c r="L638" s="101" t="n">
        <v>4</v>
      </c>
      <c r="M638" s="104" t="s">
        <v>902</v>
      </c>
      <c r="N638" s="98"/>
      <c r="O638" s="105" t="n">
        <f aca="false">IF(M638="Y",I638,IF(ISNUMBER(H638),H638*L638,0))</f>
        <v>34.6</v>
      </c>
      <c r="P638" s="106" t="str">
        <f aca="false">IF(J638="","",J638&amp;"|"&amp;A638&amp;"|"&amp;K638)</f>
        <v>R114|Scholzen|1</v>
      </c>
    </row>
    <row r="639" customFormat="false" ht="15" hidden="false" customHeight="false" outlineLevel="0" collapsed="false">
      <c r="A639" s="98" t="s">
        <v>31</v>
      </c>
      <c r="B639" s="99" t="s">
        <v>2025</v>
      </c>
      <c r="C639" s="99" t="s">
        <v>130</v>
      </c>
      <c r="D639" s="98" t="s">
        <v>930</v>
      </c>
      <c r="E639" s="100" t="s">
        <v>2026</v>
      </c>
      <c r="F639" s="101" t="n">
        <v>3</v>
      </c>
      <c r="G639" s="101" t="s">
        <v>133</v>
      </c>
      <c r="H639" s="102" t="n">
        <v>12.52</v>
      </c>
      <c r="I639" s="103" t="n">
        <v>37.56</v>
      </c>
      <c r="J639" s="104" t="s">
        <v>424</v>
      </c>
      <c r="K639" s="104" t="n">
        <v>1</v>
      </c>
      <c r="L639" s="101" t="n">
        <v>3</v>
      </c>
      <c r="M639" s="104" t="s">
        <v>902</v>
      </c>
      <c r="N639" s="98"/>
      <c r="O639" s="105" t="n">
        <f aca="false">IF(M639="Y",I639,IF(ISNUMBER(H639),H639*L639,0))</f>
        <v>37.56</v>
      </c>
      <c r="P639" s="106" t="str">
        <f aca="false">IF(J639="","",J639&amp;"|"&amp;A639&amp;"|"&amp;K639)</f>
        <v>R124|Scholzen|1</v>
      </c>
    </row>
    <row r="640" customFormat="false" ht="15" hidden="false" customHeight="false" outlineLevel="0" collapsed="false">
      <c r="A640" s="98" t="s">
        <v>31</v>
      </c>
      <c r="B640" s="99" t="s">
        <v>2027</v>
      </c>
      <c r="C640" s="99" t="s">
        <v>130</v>
      </c>
      <c r="D640" s="98" t="s">
        <v>930</v>
      </c>
      <c r="E640" s="100" t="s">
        <v>281</v>
      </c>
      <c r="F640" s="101" t="n">
        <v>2</v>
      </c>
      <c r="G640" s="101" t="s">
        <v>133</v>
      </c>
      <c r="H640" s="102" t="n">
        <v>24.96</v>
      </c>
      <c r="I640" s="103" t="n">
        <v>49.92</v>
      </c>
      <c r="J640" s="104" t="s">
        <v>280</v>
      </c>
      <c r="K640" s="104" t="n">
        <v>1</v>
      </c>
      <c r="L640" s="101" t="n">
        <v>2</v>
      </c>
      <c r="M640" s="104" t="s">
        <v>902</v>
      </c>
      <c r="N640" s="98"/>
      <c r="O640" s="105" t="n">
        <f aca="false">IF(M640="Y",I640,IF(ISNUMBER(H640),H640*L640,0))</f>
        <v>49.92</v>
      </c>
      <c r="P640" s="106" t="str">
        <f aca="false">IF(J640="","",J640&amp;"|"&amp;A640&amp;"|"&amp;K640)</f>
        <v>R066|Scholzen|1</v>
      </c>
    </row>
    <row r="641" customFormat="false" ht="15" hidden="false" customHeight="false" outlineLevel="0" collapsed="false">
      <c r="A641" s="98" t="s">
        <v>31</v>
      </c>
      <c r="B641" s="99" t="s">
        <v>2028</v>
      </c>
      <c r="C641" s="99" t="s">
        <v>130</v>
      </c>
      <c r="D641" s="98" t="s">
        <v>930</v>
      </c>
      <c r="E641" s="100" t="s">
        <v>283</v>
      </c>
      <c r="F641" s="101" t="n">
        <v>2</v>
      </c>
      <c r="G641" s="101" t="s">
        <v>133</v>
      </c>
      <c r="H641" s="102" t="n">
        <v>18.99</v>
      </c>
      <c r="I641" s="103" t="n">
        <v>37.98</v>
      </c>
      <c r="J641" s="104" t="s">
        <v>282</v>
      </c>
      <c r="K641" s="104" t="n">
        <v>1</v>
      </c>
      <c r="L641" s="101" t="n">
        <v>2</v>
      </c>
      <c r="M641" s="104" t="s">
        <v>902</v>
      </c>
      <c r="N641" s="98"/>
      <c r="O641" s="105" t="n">
        <f aca="false">IF(M641="Y",I641,IF(ISNUMBER(H641),H641*L641,0))</f>
        <v>37.98</v>
      </c>
      <c r="P641" s="106" t="str">
        <f aca="false">IF(J641="","",J641&amp;"|"&amp;A641&amp;"|"&amp;K641)</f>
        <v>R067|Scholzen|1</v>
      </c>
    </row>
    <row r="642" customFormat="false" ht="15" hidden="false" customHeight="false" outlineLevel="0" collapsed="false">
      <c r="A642" s="98" t="s">
        <v>31</v>
      </c>
      <c r="B642" s="99" t="s">
        <v>2029</v>
      </c>
      <c r="C642" s="99" t="s">
        <v>130</v>
      </c>
      <c r="D642" s="98" t="s">
        <v>930</v>
      </c>
      <c r="E642" s="100" t="s">
        <v>2030</v>
      </c>
      <c r="F642" s="101" t="n">
        <v>2</v>
      </c>
      <c r="G642" s="101" t="s">
        <v>133</v>
      </c>
      <c r="H642" s="102" t="n">
        <v>1181.13</v>
      </c>
      <c r="I642" s="103" t="n">
        <v>2362.26</v>
      </c>
      <c r="J642" s="104" t="s">
        <v>260</v>
      </c>
      <c r="K642" s="104" t="n">
        <v>1</v>
      </c>
      <c r="L642" s="101" t="n">
        <v>2</v>
      </c>
      <c r="M642" s="104" t="s">
        <v>902</v>
      </c>
      <c r="N642" s="98"/>
      <c r="O642" s="105" t="n">
        <f aca="false">IF(M642="Y",I642,IF(ISNUMBER(H642),H642*L642,0))</f>
        <v>2362.26</v>
      </c>
      <c r="P642" s="106" t="str">
        <f aca="false">IF(J642="","",J642&amp;"|"&amp;A642&amp;"|"&amp;K642)</f>
        <v>R058|Scholzen|1</v>
      </c>
    </row>
    <row r="643" customFormat="false" ht="15" hidden="false" customHeight="false" outlineLevel="0" collapsed="false">
      <c r="A643" s="98" t="s">
        <v>31</v>
      </c>
      <c r="B643" s="99" t="s">
        <v>2031</v>
      </c>
      <c r="C643" s="99" t="s">
        <v>130</v>
      </c>
      <c r="D643" s="98" t="s">
        <v>930</v>
      </c>
      <c r="E643" s="100" t="s">
        <v>2032</v>
      </c>
      <c r="F643" s="101" t="n">
        <v>6</v>
      </c>
      <c r="G643" s="101" t="s">
        <v>133</v>
      </c>
      <c r="H643" s="102" t="n">
        <v>3.02</v>
      </c>
      <c r="I643" s="103" t="n">
        <v>18.12</v>
      </c>
      <c r="J643" s="104" t="s">
        <v>404</v>
      </c>
      <c r="K643" s="104" t="n">
        <v>1</v>
      </c>
      <c r="L643" s="101" t="n">
        <v>6</v>
      </c>
      <c r="M643" s="104" t="s">
        <v>902</v>
      </c>
      <c r="N643" s="98"/>
      <c r="O643" s="105" t="n">
        <f aca="false">IF(M643="Y",I643,IF(ISNUMBER(H643),H643*L643,0))</f>
        <v>18.12</v>
      </c>
      <c r="P643" s="106" t="str">
        <f aca="false">IF(J643="","",J643&amp;"|"&amp;A643&amp;"|"&amp;K643)</f>
        <v>R115|Scholzen|1</v>
      </c>
    </row>
    <row r="644" customFormat="false" ht="15" hidden="false" customHeight="false" outlineLevel="0" collapsed="false">
      <c r="A644" s="98" t="s">
        <v>31</v>
      </c>
      <c r="B644" s="99" t="s">
        <v>2033</v>
      </c>
      <c r="C644" s="99" t="s">
        <v>130</v>
      </c>
      <c r="D644" s="98" t="s">
        <v>930</v>
      </c>
      <c r="E644" s="100" t="s">
        <v>2034</v>
      </c>
      <c r="F644" s="101" t="n">
        <v>2</v>
      </c>
      <c r="G644" s="101" t="s">
        <v>133</v>
      </c>
      <c r="H644" s="102" t="n">
        <v>59.62</v>
      </c>
      <c r="I644" s="103" t="n">
        <v>119.24</v>
      </c>
      <c r="J644" s="104" t="s">
        <v>413</v>
      </c>
      <c r="K644" s="104" t="n">
        <v>1</v>
      </c>
      <c r="L644" s="101" t="n">
        <v>2</v>
      </c>
      <c r="M644" s="104" t="s">
        <v>902</v>
      </c>
      <c r="N644" s="98"/>
      <c r="O644" s="105" t="n">
        <f aca="false">IF(M644="Y",I644,IF(ISNUMBER(H644),H644*L644,0))</f>
        <v>119.24</v>
      </c>
      <c r="P644" s="106" t="str">
        <f aca="false">IF(J644="","",J644&amp;"|"&amp;A644&amp;"|"&amp;K644)</f>
        <v>R119|Scholzen|1</v>
      </c>
    </row>
    <row r="645" customFormat="false" ht="15" hidden="false" customHeight="false" outlineLevel="0" collapsed="false">
      <c r="A645" s="98" t="s">
        <v>31</v>
      </c>
      <c r="B645" s="99" t="s">
        <v>2035</v>
      </c>
      <c r="C645" s="99" t="s">
        <v>130</v>
      </c>
      <c r="D645" s="98" t="s">
        <v>930</v>
      </c>
      <c r="E645" s="100" t="s">
        <v>2036</v>
      </c>
      <c r="F645" s="101" t="n">
        <v>2</v>
      </c>
      <c r="G645" s="101" t="s">
        <v>133</v>
      </c>
      <c r="H645" s="102" t="n">
        <v>107.49</v>
      </c>
      <c r="I645" s="103" t="n">
        <v>214.98</v>
      </c>
      <c r="J645" s="104" t="s">
        <v>420</v>
      </c>
      <c r="K645" s="104" t="n">
        <v>1</v>
      </c>
      <c r="L645" s="101" t="n">
        <v>2</v>
      </c>
      <c r="M645" s="104" t="s">
        <v>902</v>
      </c>
      <c r="N645" s="98"/>
      <c r="O645" s="105" t="n">
        <f aca="false">IF(M645="Y",I645,IF(ISNUMBER(H645),H645*L645,0))</f>
        <v>214.98</v>
      </c>
      <c r="P645" s="106" t="str">
        <f aca="false">IF(J645="","",J645&amp;"|"&amp;A645&amp;"|"&amp;K645)</f>
        <v>R122|Scholzen|1</v>
      </c>
    </row>
    <row r="646" customFormat="false" ht="15" hidden="false" customHeight="false" outlineLevel="0" collapsed="false">
      <c r="A646" s="98" t="s">
        <v>31</v>
      </c>
      <c r="B646" s="99" t="s">
        <v>2037</v>
      </c>
      <c r="C646" s="99" t="s">
        <v>130</v>
      </c>
      <c r="D646" s="98" t="s">
        <v>930</v>
      </c>
      <c r="E646" s="100" t="s">
        <v>2038</v>
      </c>
      <c r="F646" s="101" t="n">
        <v>1</v>
      </c>
      <c r="G646" s="101" t="s">
        <v>133</v>
      </c>
      <c r="H646" s="102" t="n">
        <v>4848</v>
      </c>
      <c r="I646" s="103" t="n">
        <v>4848</v>
      </c>
      <c r="J646" s="104" t="s">
        <v>189</v>
      </c>
      <c r="K646" s="104" t="n">
        <v>1</v>
      </c>
      <c r="L646" s="101" t="n">
        <v>1</v>
      </c>
      <c r="M646" s="104" t="s">
        <v>902</v>
      </c>
      <c r="N646" s="98"/>
      <c r="O646" s="105" t="n">
        <f aca="false">IF(M646="Y",I646,IF(ISNUMBER(H646),H646*L646,0))</f>
        <v>4848</v>
      </c>
      <c r="P646" s="106" t="str">
        <f aca="false">IF(J646="","",J646&amp;"|"&amp;A646&amp;"|"&amp;K646)</f>
        <v>R025|Scholzen|1</v>
      </c>
    </row>
    <row r="647" customFormat="false" ht="15" hidden="false" customHeight="false" outlineLevel="0" collapsed="false">
      <c r="A647" s="98" t="s">
        <v>31</v>
      </c>
      <c r="B647" s="99" t="s">
        <v>2039</v>
      </c>
      <c r="C647" s="99" t="s">
        <v>130</v>
      </c>
      <c r="D647" s="98" t="s">
        <v>930</v>
      </c>
      <c r="E647" s="100" t="s">
        <v>2040</v>
      </c>
      <c r="F647" s="101" t="n">
        <v>1</v>
      </c>
      <c r="G647" s="101" t="s">
        <v>133</v>
      </c>
      <c r="H647" s="102" t="n">
        <v>1412</v>
      </c>
      <c r="I647" s="103" t="n">
        <v>1412</v>
      </c>
      <c r="J647" s="104" t="s">
        <v>197</v>
      </c>
      <c r="K647" s="104" t="n">
        <v>1</v>
      </c>
      <c r="L647" s="101" t="n">
        <v>1</v>
      </c>
      <c r="M647" s="104" t="s">
        <v>902</v>
      </c>
      <c r="N647" s="98"/>
      <c r="O647" s="105" t="n">
        <f aca="false">IF(M647="Y",I647,IF(ISNUMBER(H647),H647*L647,0))</f>
        <v>1412</v>
      </c>
      <c r="P647" s="106" t="str">
        <f aca="false">IF(J647="","",J647&amp;"|"&amp;A647&amp;"|"&amp;K647)</f>
        <v>R029|Scholzen|1</v>
      </c>
    </row>
    <row r="648" customFormat="false" ht="15" hidden="false" customHeight="false" outlineLevel="0" collapsed="false">
      <c r="A648" s="98" t="s">
        <v>31</v>
      </c>
      <c r="B648" s="99" t="s">
        <v>2041</v>
      </c>
      <c r="C648" s="99" t="s">
        <v>130</v>
      </c>
      <c r="D648" s="98" t="s">
        <v>930</v>
      </c>
      <c r="E648" s="100" t="s">
        <v>2042</v>
      </c>
      <c r="F648" s="101" t="n">
        <v>1</v>
      </c>
      <c r="G648" s="101" t="s">
        <v>133</v>
      </c>
      <c r="H648" s="102" t="n">
        <v>835</v>
      </c>
      <c r="I648" s="103" t="n">
        <v>835</v>
      </c>
      <c r="J648" s="104" t="s">
        <v>207</v>
      </c>
      <c r="K648" s="104" t="n">
        <v>1</v>
      </c>
      <c r="L648" s="101" t="n">
        <v>1</v>
      </c>
      <c r="M648" s="104" t="s">
        <v>902</v>
      </c>
      <c r="N648" s="98"/>
      <c r="O648" s="105" t="n">
        <f aca="false">IF(M648="Y",I648,IF(ISNUMBER(H648),H648*L648,0))</f>
        <v>835</v>
      </c>
      <c r="P648" s="106" t="str">
        <f aca="false">IF(J648="","",J648&amp;"|"&amp;A648&amp;"|"&amp;K648)</f>
        <v>R034|Scholzen|1</v>
      </c>
    </row>
    <row r="649" customFormat="false" ht="15" hidden="false" customHeight="false" outlineLevel="0" collapsed="false">
      <c r="A649" s="98" t="s">
        <v>31</v>
      </c>
      <c r="B649" s="99" t="s">
        <v>2043</v>
      </c>
      <c r="C649" s="99" t="s">
        <v>130</v>
      </c>
      <c r="D649" s="98" t="s">
        <v>930</v>
      </c>
      <c r="E649" s="100" t="s">
        <v>2044</v>
      </c>
      <c r="F649" s="101" t="n">
        <v>2</v>
      </c>
      <c r="G649" s="101" t="s">
        <v>133</v>
      </c>
      <c r="H649" s="102" t="n">
        <v>1160</v>
      </c>
      <c r="I649" s="103" t="n">
        <v>2320</v>
      </c>
      <c r="J649" s="104" t="s">
        <v>201</v>
      </c>
      <c r="K649" s="104" t="n">
        <v>1</v>
      </c>
      <c r="L649" s="101" t="n">
        <v>2</v>
      </c>
      <c r="M649" s="104" t="s">
        <v>902</v>
      </c>
      <c r="N649" s="98"/>
      <c r="O649" s="105" t="n">
        <f aca="false">IF(M649="Y",I649,IF(ISNUMBER(H649),H649*L649,0))</f>
        <v>2320</v>
      </c>
      <c r="P649" s="106" t="str">
        <f aca="false">IF(J649="","",J649&amp;"|"&amp;A649&amp;"|"&amp;K649)</f>
        <v>R031|Scholzen|1</v>
      </c>
    </row>
    <row r="650" customFormat="false" ht="15" hidden="false" customHeight="false" outlineLevel="0" collapsed="false">
      <c r="A650" s="98" t="s">
        <v>31</v>
      </c>
      <c r="B650" s="99" t="s">
        <v>2045</v>
      </c>
      <c r="C650" s="99" t="s">
        <v>130</v>
      </c>
      <c r="D650" s="98" t="s">
        <v>930</v>
      </c>
      <c r="E650" s="100" t="s">
        <v>2046</v>
      </c>
      <c r="F650" s="101" t="n">
        <v>1</v>
      </c>
      <c r="G650" s="101" t="s">
        <v>133</v>
      </c>
      <c r="H650" s="102" t="n">
        <v>3911</v>
      </c>
      <c r="I650" s="103" t="n">
        <v>3911</v>
      </c>
      <c r="J650" s="104" t="s">
        <v>185</v>
      </c>
      <c r="K650" s="104" t="n">
        <v>1</v>
      </c>
      <c r="L650" s="101" t="n">
        <v>1</v>
      </c>
      <c r="M650" s="104" t="s">
        <v>902</v>
      </c>
      <c r="N650" s="98"/>
      <c r="O650" s="105" t="n">
        <f aca="false">IF(M650="Y",I650,IF(ISNUMBER(H650),H650*L650,0))</f>
        <v>3911</v>
      </c>
      <c r="P650" s="106" t="str">
        <f aca="false">IF(J650="","",J650&amp;"|"&amp;A650&amp;"|"&amp;K650)</f>
        <v>R023|Scholzen|1</v>
      </c>
    </row>
    <row r="651" customFormat="false" ht="15" hidden="false" customHeight="false" outlineLevel="0" collapsed="false">
      <c r="A651" s="98" t="s">
        <v>31</v>
      </c>
      <c r="B651" s="99" t="s">
        <v>2047</v>
      </c>
      <c r="C651" s="99" t="s">
        <v>130</v>
      </c>
      <c r="D651" s="98" t="s">
        <v>930</v>
      </c>
      <c r="E651" s="100" t="s">
        <v>2048</v>
      </c>
      <c r="F651" s="101" t="n">
        <v>1</v>
      </c>
      <c r="G651" s="101" t="s">
        <v>133</v>
      </c>
      <c r="H651" s="102" t="n">
        <v>784.77</v>
      </c>
      <c r="I651" s="103" t="n">
        <v>784.77</v>
      </c>
      <c r="J651" s="104" t="s">
        <v>166</v>
      </c>
      <c r="K651" s="104" t="n">
        <v>1</v>
      </c>
      <c r="L651" s="101" t="n">
        <v>1</v>
      </c>
      <c r="M651" s="104" t="s">
        <v>902</v>
      </c>
      <c r="N651" s="98"/>
      <c r="O651" s="105" t="n">
        <f aca="false">IF(M651="Y",I651,IF(ISNUMBER(H651),H651*L651,0))</f>
        <v>784.77</v>
      </c>
      <c r="P651" s="106" t="str">
        <f aca="false">IF(J651="","",J651&amp;"|"&amp;A651&amp;"|"&amp;K651)</f>
        <v>R016|Scholzen|1</v>
      </c>
    </row>
    <row r="652" customFormat="false" ht="15" hidden="false" customHeight="false" outlineLevel="0" collapsed="false">
      <c r="A652" s="98" t="s">
        <v>31</v>
      </c>
      <c r="B652" s="99" t="s">
        <v>2049</v>
      </c>
      <c r="C652" s="99" t="s">
        <v>130</v>
      </c>
      <c r="D652" s="98" t="s">
        <v>930</v>
      </c>
      <c r="E652" s="100" t="s">
        <v>2050</v>
      </c>
      <c r="F652" s="101" t="n">
        <v>2</v>
      </c>
      <c r="G652" s="101" t="s">
        <v>133</v>
      </c>
      <c r="H652" s="102" t="n">
        <v>315.53</v>
      </c>
      <c r="I652" s="103" t="n">
        <v>631.06</v>
      </c>
      <c r="J652" s="104" t="s">
        <v>297</v>
      </c>
      <c r="K652" s="104" t="n">
        <v>1</v>
      </c>
      <c r="L652" s="101" t="n">
        <v>2</v>
      </c>
      <c r="M652" s="104" t="s">
        <v>902</v>
      </c>
      <c r="N652" s="98"/>
      <c r="O652" s="105" t="n">
        <f aca="false">IF(M652="Y",I652,IF(ISNUMBER(H652),H652*L652,0))</f>
        <v>631.06</v>
      </c>
      <c r="P652" s="106" t="str">
        <f aca="false">IF(J652="","",J652&amp;"|"&amp;A652&amp;"|"&amp;K652)</f>
        <v>R072|Scholzen|1</v>
      </c>
    </row>
    <row r="653" customFormat="false" ht="15" hidden="false" customHeight="false" outlineLevel="0" collapsed="false">
      <c r="A653" s="98" t="s">
        <v>31</v>
      </c>
      <c r="B653" s="99" t="s">
        <v>2051</v>
      </c>
      <c r="C653" s="99" t="s">
        <v>130</v>
      </c>
      <c r="D653" s="98" t="s">
        <v>930</v>
      </c>
      <c r="E653" s="100" t="s">
        <v>2052</v>
      </c>
      <c r="F653" s="101" t="n">
        <v>5</v>
      </c>
      <c r="G653" s="101" t="s">
        <v>133</v>
      </c>
      <c r="H653" s="102" t="n">
        <v>39.38</v>
      </c>
      <c r="I653" s="103" t="n">
        <v>196.9</v>
      </c>
      <c r="J653" s="104" t="s">
        <v>317</v>
      </c>
      <c r="K653" s="104" t="n">
        <v>1</v>
      </c>
      <c r="L653" s="101" t="n">
        <v>5</v>
      </c>
      <c r="M653" s="104" t="s">
        <v>902</v>
      </c>
      <c r="N653" s="98"/>
      <c r="O653" s="105" t="n">
        <f aca="false">IF(M653="Y",I653,IF(ISNUMBER(H653),H653*L653,0))</f>
        <v>196.9</v>
      </c>
      <c r="P653" s="106" t="str">
        <f aca="false">IF(J653="","",J653&amp;"|"&amp;A653&amp;"|"&amp;K653)</f>
        <v>R080|Scholzen|1</v>
      </c>
    </row>
    <row r="654" customFormat="false" ht="15" hidden="false" customHeight="false" outlineLevel="0" collapsed="false">
      <c r="A654" s="98" t="s">
        <v>31</v>
      </c>
      <c r="B654" s="99" t="s">
        <v>2053</v>
      </c>
      <c r="C654" s="99" t="s">
        <v>130</v>
      </c>
      <c r="D654" s="98" t="s">
        <v>930</v>
      </c>
      <c r="E654" s="100" t="s">
        <v>2054</v>
      </c>
      <c r="F654" s="101" t="n">
        <v>12</v>
      </c>
      <c r="G654" s="101" t="s">
        <v>133</v>
      </c>
      <c r="H654" s="102" t="n">
        <v>46.5</v>
      </c>
      <c r="I654" s="103" t="n">
        <v>558</v>
      </c>
      <c r="J654" s="104" t="s">
        <v>315</v>
      </c>
      <c r="K654" s="104" t="n">
        <v>1</v>
      </c>
      <c r="L654" s="101" t="n">
        <v>12</v>
      </c>
      <c r="M654" s="104" t="s">
        <v>902</v>
      </c>
      <c r="N654" s="98"/>
      <c r="O654" s="105" t="n">
        <f aca="false">IF(M654="Y",I654,IF(ISNUMBER(H654),H654*L654,0))</f>
        <v>558</v>
      </c>
      <c r="P654" s="106" t="str">
        <f aca="false">IF(J654="","",J654&amp;"|"&amp;A654&amp;"|"&amp;K654)</f>
        <v>R079|Scholzen|1</v>
      </c>
    </row>
    <row r="655" customFormat="false" ht="15" hidden="false" customHeight="false" outlineLevel="0" collapsed="false">
      <c r="A655" s="98" t="s">
        <v>31</v>
      </c>
      <c r="B655" s="99" t="s">
        <v>2055</v>
      </c>
      <c r="C655" s="99" t="s">
        <v>130</v>
      </c>
      <c r="D655" s="98" t="s">
        <v>930</v>
      </c>
      <c r="E655" s="100" t="s">
        <v>2056</v>
      </c>
      <c r="F655" s="101" t="n">
        <v>7</v>
      </c>
      <c r="G655" s="101" t="s">
        <v>133</v>
      </c>
      <c r="H655" s="102" t="n">
        <v>124</v>
      </c>
      <c r="I655" s="103" t="n">
        <v>868</v>
      </c>
      <c r="J655" s="104" t="s">
        <v>307</v>
      </c>
      <c r="K655" s="104" t="n">
        <v>1</v>
      </c>
      <c r="L655" s="101" t="n">
        <v>7</v>
      </c>
      <c r="M655" s="104" t="s">
        <v>902</v>
      </c>
      <c r="N655" s="98"/>
      <c r="O655" s="105" t="n">
        <f aca="false">IF(M655="Y",I655,IF(ISNUMBER(H655),H655*L655,0))</f>
        <v>868</v>
      </c>
      <c r="P655" s="106" t="str">
        <f aca="false">IF(J655="","",J655&amp;"|"&amp;A655&amp;"|"&amp;K655)</f>
        <v>R077|Scholzen|1</v>
      </c>
    </row>
    <row r="656" customFormat="false" ht="15" hidden="false" customHeight="false" outlineLevel="0" collapsed="false">
      <c r="A656" s="98" t="s">
        <v>31</v>
      </c>
      <c r="B656" s="99" t="s">
        <v>2057</v>
      </c>
      <c r="C656" s="99" t="s">
        <v>130</v>
      </c>
      <c r="D656" s="98" t="s">
        <v>930</v>
      </c>
      <c r="E656" s="100" t="s">
        <v>2058</v>
      </c>
      <c r="F656" s="101" t="n">
        <v>2</v>
      </c>
      <c r="G656" s="101" t="s">
        <v>133</v>
      </c>
      <c r="H656" s="102" t="n">
        <v>58.13</v>
      </c>
      <c r="I656" s="103" t="n">
        <v>116.26</v>
      </c>
      <c r="J656" s="104" t="s">
        <v>312</v>
      </c>
      <c r="K656" s="104" t="n">
        <v>1</v>
      </c>
      <c r="L656" s="101" t="n">
        <v>2</v>
      </c>
      <c r="M656" s="104" t="s">
        <v>902</v>
      </c>
      <c r="N656" s="98"/>
      <c r="O656" s="105" t="n">
        <f aca="false">IF(M656="Y",I656,IF(ISNUMBER(H656),H656*L656,0))</f>
        <v>116.26</v>
      </c>
      <c r="P656" s="106" t="str">
        <f aca="false">IF(J656="","",J656&amp;"|"&amp;A656&amp;"|"&amp;K656)</f>
        <v>R078|Scholzen|1</v>
      </c>
    </row>
    <row r="657" customFormat="false" ht="15" hidden="false" customHeight="false" outlineLevel="0" collapsed="false">
      <c r="A657" s="98" t="s">
        <v>31</v>
      </c>
      <c r="B657" s="99" t="s">
        <v>2059</v>
      </c>
      <c r="C657" s="99" t="s">
        <v>130</v>
      </c>
      <c r="D657" s="98" t="s">
        <v>930</v>
      </c>
      <c r="E657" s="100" t="s">
        <v>2060</v>
      </c>
      <c r="F657" s="101" t="n">
        <v>1</v>
      </c>
      <c r="G657" s="101" t="s">
        <v>133</v>
      </c>
      <c r="H657" s="102" t="n">
        <v>3434.76</v>
      </c>
      <c r="I657" s="103" t="n">
        <v>3434.76</v>
      </c>
      <c r="J657" s="104" t="s">
        <v>252</v>
      </c>
      <c r="K657" s="104" t="n">
        <v>1</v>
      </c>
      <c r="L657" s="101" t="n">
        <v>1</v>
      </c>
      <c r="M657" s="104" t="s">
        <v>902</v>
      </c>
      <c r="N657" s="98"/>
      <c r="O657" s="105" t="n">
        <f aca="false">IF(M657="Y",I657,IF(ISNUMBER(H657),H657*L657,0))</f>
        <v>3434.76</v>
      </c>
      <c r="P657" s="106" t="str">
        <f aca="false">IF(J657="","",J657&amp;"|"&amp;A657&amp;"|"&amp;K657)</f>
        <v>R055|Scholzen|1</v>
      </c>
    </row>
    <row r="658" customFormat="false" ht="15" hidden="false" customHeight="false" outlineLevel="0" collapsed="false">
      <c r="A658" s="98" t="s">
        <v>31</v>
      </c>
      <c r="B658" s="99" t="s">
        <v>2061</v>
      </c>
      <c r="C658" s="99" t="s">
        <v>130</v>
      </c>
      <c r="D658" s="98" t="s">
        <v>930</v>
      </c>
      <c r="E658" s="100" t="s">
        <v>2062</v>
      </c>
      <c r="F658" s="101" t="n">
        <v>1</v>
      </c>
      <c r="G658" s="101" t="s">
        <v>133</v>
      </c>
      <c r="H658" s="102" t="n">
        <v>3662.26</v>
      </c>
      <c r="I658" s="103" t="n">
        <v>3662.26</v>
      </c>
      <c r="J658" s="104" t="s">
        <v>254</v>
      </c>
      <c r="K658" s="104" t="n">
        <v>1</v>
      </c>
      <c r="L658" s="101" t="n">
        <v>1</v>
      </c>
      <c r="M658" s="104" t="s">
        <v>902</v>
      </c>
      <c r="N658" s="98"/>
      <c r="O658" s="105" t="n">
        <f aca="false">IF(M658="Y",I658,IF(ISNUMBER(H658),H658*L658,0))</f>
        <v>3662.26</v>
      </c>
      <c r="P658" s="106" t="str">
        <f aca="false">IF(J658="","",J658&amp;"|"&amp;A658&amp;"|"&amp;K658)</f>
        <v>R056|Scholzen|1</v>
      </c>
    </row>
    <row r="659" customFormat="false" ht="15" hidden="false" customHeight="false" outlineLevel="0" collapsed="false">
      <c r="A659" s="98" t="s">
        <v>31</v>
      </c>
      <c r="B659" s="99" t="s">
        <v>2063</v>
      </c>
      <c r="C659" s="99" t="s">
        <v>130</v>
      </c>
      <c r="D659" s="98" t="s">
        <v>930</v>
      </c>
      <c r="E659" s="100" t="s">
        <v>2064</v>
      </c>
      <c r="F659" s="101" t="n">
        <v>2</v>
      </c>
      <c r="G659" s="101" t="s">
        <v>133</v>
      </c>
      <c r="H659" s="102" t="n">
        <v>141.45</v>
      </c>
      <c r="I659" s="103" t="n">
        <v>282.9</v>
      </c>
      <c r="J659" s="104" t="s">
        <v>256</v>
      </c>
      <c r="K659" s="104" t="n">
        <v>1</v>
      </c>
      <c r="L659" s="101" t="n">
        <v>2</v>
      </c>
      <c r="M659" s="104" t="s">
        <v>902</v>
      </c>
      <c r="N659" s="98"/>
      <c r="O659" s="105" t="n">
        <f aca="false">IF(M659="Y",I659,IF(ISNUMBER(H659),H659*L659,0))</f>
        <v>282.9</v>
      </c>
      <c r="P659" s="106" t="str">
        <f aca="false">IF(J659="","",J659&amp;"|"&amp;A659&amp;"|"&amp;K659)</f>
        <v>R057|Scholzen|1</v>
      </c>
    </row>
    <row r="660" customFormat="false" ht="15" hidden="false" customHeight="false" outlineLevel="0" collapsed="false">
      <c r="A660" s="98" t="s">
        <v>31</v>
      </c>
      <c r="B660" s="99" t="s">
        <v>2065</v>
      </c>
      <c r="C660" s="99" t="s">
        <v>130</v>
      </c>
      <c r="D660" s="98" t="s">
        <v>930</v>
      </c>
      <c r="E660" s="100" t="s">
        <v>2000</v>
      </c>
      <c r="F660" s="101" t="n">
        <v>2</v>
      </c>
      <c r="G660" s="101" t="s">
        <v>133</v>
      </c>
      <c r="H660" s="102" t="n">
        <v>193.73</v>
      </c>
      <c r="I660" s="103" t="n">
        <v>387.46</v>
      </c>
      <c r="J660" s="104" t="s">
        <v>299</v>
      </c>
      <c r="K660" s="104" t="n">
        <v>1</v>
      </c>
      <c r="L660" s="101" t="n">
        <v>2</v>
      </c>
      <c r="M660" s="104" t="s">
        <v>902</v>
      </c>
      <c r="N660" s="98"/>
      <c r="O660" s="105" t="n">
        <f aca="false">IF(M660="Y",I660,IF(ISNUMBER(H660),H660*L660,0))</f>
        <v>387.46</v>
      </c>
      <c r="P660" s="106" t="str">
        <f aca="false">IF(J660="","",J660&amp;"|"&amp;A660&amp;"|"&amp;K660)</f>
        <v>R073|Scholzen|1</v>
      </c>
    </row>
    <row r="661" customFormat="false" ht="15" hidden="false" customHeight="false" outlineLevel="0" collapsed="false">
      <c r="A661" s="98" t="s">
        <v>31</v>
      </c>
      <c r="B661" s="99" t="s">
        <v>2066</v>
      </c>
      <c r="C661" s="99" t="s">
        <v>130</v>
      </c>
      <c r="D661" s="98" t="s">
        <v>930</v>
      </c>
      <c r="E661" s="100" t="s">
        <v>2067</v>
      </c>
      <c r="F661" s="101" t="n">
        <v>80</v>
      </c>
      <c r="G661" s="101" t="s">
        <v>178</v>
      </c>
      <c r="H661" s="102" t="n">
        <v>6.29</v>
      </c>
      <c r="I661" s="103" t="n">
        <v>503.2</v>
      </c>
      <c r="J661" s="104" t="s">
        <v>345</v>
      </c>
      <c r="K661" s="104" t="n">
        <v>1</v>
      </c>
      <c r="L661" s="101" t="n">
        <v>80</v>
      </c>
      <c r="M661" s="104" t="s">
        <v>902</v>
      </c>
      <c r="N661" s="98"/>
      <c r="O661" s="105" t="n">
        <f aca="false">IF(M661="Y",I661,IF(ISNUMBER(H661),H661*L661,0))</f>
        <v>503.2</v>
      </c>
      <c r="P661" s="106" t="str">
        <f aca="false">IF(J661="","",J661&amp;"|"&amp;A661&amp;"|"&amp;K661)</f>
        <v>R091|Scholzen|1</v>
      </c>
    </row>
    <row r="662" customFormat="false" ht="15" hidden="false" customHeight="false" outlineLevel="0" collapsed="false">
      <c r="A662" s="98" t="s">
        <v>31</v>
      </c>
      <c r="B662" s="99" t="s">
        <v>2068</v>
      </c>
      <c r="C662" s="99" t="s">
        <v>130</v>
      </c>
      <c r="D662" s="98" t="s">
        <v>930</v>
      </c>
      <c r="E662" s="100" t="s">
        <v>2069</v>
      </c>
      <c r="F662" s="101" t="n">
        <v>20</v>
      </c>
      <c r="G662" s="101" t="s">
        <v>178</v>
      </c>
      <c r="H662" s="102" t="n">
        <v>43.37</v>
      </c>
      <c r="I662" s="103" t="n">
        <v>867.4</v>
      </c>
      <c r="J662" s="104" t="s">
        <v>175</v>
      </c>
      <c r="K662" s="104" t="n">
        <v>1</v>
      </c>
      <c r="L662" s="101" t="n">
        <v>20</v>
      </c>
      <c r="M662" s="104" t="s">
        <v>902</v>
      </c>
      <c r="N662" s="98"/>
      <c r="O662" s="105" t="n">
        <f aca="false">IF(M662="Y",I662,IF(ISNUMBER(H662),H662*L662,0))</f>
        <v>867.4</v>
      </c>
      <c r="P662" s="106" t="str">
        <f aca="false">IF(J662="","",J662&amp;"|"&amp;A662&amp;"|"&amp;K662)</f>
        <v>R020|Scholzen|1</v>
      </c>
    </row>
    <row r="663" customFormat="false" ht="15" hidden="false" customHeight="false" outlineLevel="0" collapsed="false">
      <c r="A663" s="98" t="s">
        <v>31</v>
      </c>
      <c r="B663" s="99" t="s">
        <v>2070</v>
      </c>
      <c r="C663" s="99" t="s">
        <v>130</v>
      </c>
      <c r="D663" s="98" t="s">
        <v>930</v>
      </c>
      <c r="E663" s="100" t="s">
        <v>169</v>
      </c>
      <c r="F663" s="101" t="n">
        <v>1</v>
      </c>
      <c r="G663" s="101" t="s">
        <v>133</v>
      </c>
      <c r="H663" s="102" t="n">
        <v>99.75</v>
      </c>
      <c r="I663" s="103" t="n">
        <v>99.75</v>
      </c>
      <c r="J663" s="104" t="s">
        <v>168</v>
      </c>
      <c r="K663" s="104" t="n">
        <v>1</v>
      </c>
      <c r="L663" s="101" t="n">
        <v>1</v>
      </c>
      <c r="M663" s="104" t="s">
        <v>902</v>
      </c>
      <c r="N663" s="98"/>
      <c r="O663" s="105" t="n">
        <f aca="false">IF(M663="Y",I663,IF(ISNUMBER(H663),H663*L663,0))</f>
        <v>99.75</v>
      </c>
      <c r="P663" s="106" t="str">
        <f aca="false">IF(J663="","",J663&amp;"|"&amp;A663&amp;"|"&amp;K663)</f>
        <v>R017|Scholzen|1</v>
      </c>
    </row>
    <row r="664" customFormat="false" ht="15" hidden="false" customHeight="false" outlineLevel="0" collapsed="false">
      <c r="A664" s="98" t="s">
        <v>31</v>
      </c>
      <c r="B664" s="99" t="s">
        <v>2071</v>
      </c>
      <c r="C664" s="99" t="s">
        <v>130</v>
      </c>
      <c r="D664" s="98" t="s">
        <v>930</v>
      </c>
      <c r="E664" s="100" t="s">
        <v>2072</v>
      </c>
      <c r="F664" s="101" t="n">
        <v>1</v>
      </c>
      <c r="G664" s="101" t="s">
        <v>133</v>
      </c>
      <c r="H664" s="102" t="n">
        <v>54.6</v>
      </c>
      <c r="I664" s="103" t="n">
        <v>54.6</v>
      </c>
      <c r="J664" s="104" t="s">
        <v>305</v>
      </c>
      <c r="K664" s="104" t="n">
        <v>1</v>
      </c>
      <c r="L664" s="101" t="n">
        <v>1</v>
      </c>
      <c r="M664" s="104" t="s">
        <v>902</v>
      </c>
      <c r="N664" s="98"/>
      <c r="O664" s="105" t="n">
        <f aca="false">IF(M664="Y",I664,IF(ISNUMBER(H664),H664*L664,0))</f>
        <v>54.6</v>
      </c>
      <c r="P664" s="106" t="str">
        <f aca="false">IF(J664="","",J664&amp;"|"&amp;A664&amp;"|"&amp;K664)</f>
        <v>R076|Scholzen|1</v>
      </c>
    </row>
    <row r="665" customFormat="false" ht="15" hidden="false" customHeight="false" outlineLevel="0" collapsed="false">
      <c r="A665" s="98" t="s">
        <v>31</v>
      </c>
      <c r="B665" s="99" t="s">
        <v>2073</v>
      </c>
      <c r="C665" s="99" t="s">
        <v>130</v>
      </c>
      <c r="D665" s="98" t="s">
        <v>930</v>
      </c>
      <c r="E665" s="100" t="s">
        <v>2074</v>
      </c>
      <c r="F665" s="101" t="n">
        <v>1</v>
      </c>
      <c r="G665" s="101" t="s">
        <v>133</v>
      </c>
      <c r="H665" s="102" t="n">
        <v>63</v>
      </c>
      <c r="I665" s="103" t="n">
        <v>63</v>
      </c>
      <c r="J665" s="104" t="s">
        <v>303</v>
      </c>
      <c r="K665" s="104" t="n">
        <v>1</v>
      </c>
      <c r="L665" s="101" t="n">
        <v>1</v>
      </c>
      <c r="M665" s="104" t="s">
        <v>902</v>
      </c>
      <c r="N665" s="98"/>
      <c r="O665" s="105" t="n">
        <f aca="false">IF(M665="Y",I665,IF(ISNUMBER(H665),H665*L665,0))</f>
        <v>63</v>
      </c>
      <c r="P665" s="106" t="str">
        <f aca="false">IF(J665="","",J665&amp;"|"&amp;A665&amp;"|"&amp;K665)</f>
        <v>R075|Scholzen|1</v>
      </c>
    </row>
    <row r="666" customFormat="false" ht="15" hidden="false" customHeight="false" outlineLevel="0" collapsed="false">
      <c r="A666" s="98" t="s">
        <v>31</v>
      </c>
      <c r="B666" s="99" t="s">
        <v>2075</v>
      </c>
      <c r="C666" s="99" t="s">
        <v>130</v>
      </c>
      <c r="D666" s="98" t="s">
        <v>930</v>
      </c>
      <c r="E666" s="100" t="s">
        <v>2076</v>
      </c>
      <c r="F666" s="101" t="n">
        <v>1</v>
      </c>
      <c r="G666" s="101" t="s">
        <v>133</v>
      </c>
      <c r="H666" s="102" t="n">
        <v>96</v>
      </c>
      <c r="I666" s="103" t="n">
        <v>96</v>
      </c>
      <c r="J666" s="104" t="s">
        <v>395</v>
      </c>
      <c r="K666" s="104" t="n">
        <v>1</v>
      </c>
      <c r="L666" s="101" t="n">
        <v>1</v>
      </c>
      <c r="M666" s="104" t="s">
        <v>902</v>
      </c>
      <c r="N666" s="98"/>
      <c r="O666" s="105" t="n">
        <f aca="false">IF(M666="Y",I666,IF(ISNUMBER(H666),H666*L666,0))</f>
        <v>96</v>
      </c>
      <c r="P666" s="106" t="str">
        <f aca="false">IF(J666="","",J666&amp;"|"&amp;A666&amp;"|"&amp;K666)</f>
        <v>R112|Scholzen|1</v>
      </c>
    </row>
    <row r="667" customFormat="false" ht="15" hidden="false" customHeight="false" outlineLevel="0" collapsed="false">
      <c r="A667" s="98" t="s">
        <v>31</v>
      </c>
      <c r="B667" s="99" t="s">
        <v>2077</v>
      </c>
      <c r="C667" s="99" t="s">
        <v>130</v>
      </c>
      <c r="D667" s="98" t="s">
        <v>930</v>
      </c>
      <c r="E667" s="100" t="s">
        <v>2078</v>
      </c>
      <c r="F667" s="101" t="n">
        <v>4</v>
      </c>
      <c r="G667" s="101" t="s">
        <v>133</v>
      </c>
      <c r="H667" s="102" t="n">
        <v>30.08</v>
      </c>
      <c r="I667" s="103" t="n">
        <v>120.32</v>
      </c>
      <c r="J667" s="104" t="s">
        <v>354</v>
      </c>
      <c r="K667" s="104" t="n">
        <v>1</v>
      </c>
      <c r="L667" s="101" t="n">
        <v>4</v>
      </c>
      <c r="M667" s="104" t="s">
        <v>902</v>
      </c>
      <c r="N667" s="98"/>
      <c r="O667" s="105" t="n">
        <f aca="false">IF(M667="Y",I667,IF(ISNUMBER(H667),H667*L667,0))</f>
        <v>120.32</v>
      </c>
      <c r="P667" s="106" t="str">
        <f aca="false">IF(J667="","",J667&amp;"|"&amp;A667&amp;"|"&amp;K667)</f>
        <v>R095|Scholzen|1</v>
      </c>
    </row>
    <row r="668" customFormat="false" ht="15" hidden="false" customHeight="false" outlineLevel="0" collapsed="false">
      <c r="A668" s="98" t="s">
        <v>31</v>
      </c>
      <c r="B668" s="99" t="s">
        <v>2079</v>
      </c>
      <c r="C668" s="99" t="s">
        <v>130</v>
      </c>
      <c r="D668" s="98" t="s">
        <v>930</v>
      </c>
      <c r="E668" s="100" t="s">
        <v>2080</v>
      </c>
      <c r="F668" s="101" t="n">
        <v>2</v>
      </c>
      <c r="G668" s="101" t="s">
        <v>133</v>
      </c>
      <c r="H668" s="102" t="n">
        <v>42.16</v>
      </c>
      <c r="I668" s="103" t="n">
        <v>84.32</v>
      </c>
      <c r="J668" s="104" t="s">
        <v>360</v>
      </c>
      <c r="K668" s="104" t="n">
        <v>1</v>
      </c>
      <c r="L668" s="101" t="n">
        <v>2</v>
      </c>
      <c r="M668" s="104" t="s">
        <v>902</v>
      </c>
      <c r="N668" s="98"/>
      <c r="O668" s="105" t="n">
        <f aca="false">IF(M668="Y",I668,IF(ISNUMBER(H668),H668*L668,0))</f>
        <v>84.32</v>
      </c>
      <c r="P668" s="106" t="str">
        <f aca="false">IF(J668="","",J668&amp;"|"&amp;A668&amp;"|"&amp;K668)</f>
        <v>R097|Scholzen|1</v>
      </c>
    </row>
    <row r="669" customFormat="false" ht="15" hidden="false" customHeight="false" outlineLevel="0" collapsed="false">
      <c r="A669" s="98" t="s">
        <v>31</v>
      </c>
      <c r="B669" s="99" t="s">
        <v>2081</v>
      </c>
      <c r="C669" s="99" t="s">
        <v>130</v>
      </c>
      <c r="D669" s="98" t="s">
        <v>930</v>
      </c>
      <c r="E669" s="100" t="s">
        <v>2082</v>
      </c>
      <c r="F669" s="101" t="n">
        <v>2</v>
      </c>
      <c r="G669" s="101" t="s">
        <v>133</v>
      </c>
      <c r="H669" s="102" t="n">
        <v>81.68</v>
      </c>
      <c r="I669" s="103" t="n">
        <v>163.36</v>
      </c>
      <c r="J669" s="104" t="s">
        <v>357</v>
      </c>
      <c r="K669" s="104" t="n">
        <v>1</v>
      </c>
      <c r="L669" s="101" t="n">
        <v>2</v>
      </c>
      <c r="M669" s="104" t="s">
        <v>902</v>
      </c>
      <c r="N669" s="98"/>
      <c r="O669" s="105" t="n">
        <f aca="false">IF(M669="Y",I669,IF(ISNUMBER(H669),H669*L669,0))</f>
        <v>163.36</v>
      </c>
      <c r="P669" s="106" t="str">
        <f aca="false">IF(J669="","",J669&amp;"|"&amp;A669&amp;"|"&amp;K669)</f>
        <v>R096|Scholzen|1</v>
      </c>
    </row>
    <row r="670" customFormat="false" ht="15" hidden="false" customHeight="false" outlineLevel="0" collapsed="false">
      <c r="A670" s="98" t="s">
        <v>31</v>
      </c>
      <c r="B670" s="99" t="s">
        <v>2083</v>
      </c>
      <c r="C670" s="99" t="s">
        <v>130</v>
      </c>
      <c r="D670" s="98" t="s">
        <v>930</v>
      </c>
      <c r="E670" s="100" t="s">
        <v>2084</v>
      </c>
      <c r="F670" s="101" t="n">
        <v>3</v>
      </c>
      <c r="G670" s="101" t="s">
        <v>133</v>
      </c>
      <c r="H670" s="102" t="n">
        <v>144.28</v>
      </c>
      <c r="I670" s="103" t="n">
        <v>432.84</v>
      </c>
      <c r="J670" s="104" t="s">
        <v>392</v>
      </c>
      <c r="K670" s="104" t="n">
        <v>1</v>
      </c>
      <c r="L670" s="101" t="n">
        <v>3</v>
      </c>
      <c r="M670" s="104" t="s">
        <v>902</v>
      </c>
      <c r="N670" s="98"/>
      <c r="O670" s="105" t="n">
        <f aca="false">IF(M670="Y",I670,IF(ISNUMBER(H670),H670*L670,0))</f>
        <v>432.84</v>
      </c>
      <c r="P670" s="106" t="str">
        <f aca="false">IF(J670="","",J670&amp;"|"&amp;A670&amp;"|"&amp;K670)</f>
        <v>R111|Scholzen|1</v>
      </c>
    </row>
    <row r="671" customFormat="false" ht="15" hidden="false" customHeight="false" outlineLevel="0" collapsed="false">
      <c r="A671" s="98" t="s">
        <v>31</v>
      </c>
      <c r="B671" s="99" t="s">
        <v>2085</v>
      </c>
      <c r="C671" s="99" t="s">
        <v>130</v>
      </c>
      <c r="D671" s="98" t="s">
        <v>930</v>
      </c>
      <c r="E671" s="100" t="s">
        <v>2086</v>
      </c>
      <c r="F671" s="101" t="n">
        <v>100</v>
      </c>
      <c r="G671" s="101" t="s">
        <v>178</v>
      </c>
      <c r="H671" s="102" t="n">
        <v>0.75</v>
      </c>
      <c r="I671" s="103" t="n">
        <v>75</v>
      </c>
      <c r="J671" s="104" t="s">
        <v>445</v>
      </c>
      <c r="K671" s="104" t="n">
        <v>1</v>
      </c>
      <c r="L671" s="101" t="n">
        <v>100</v>
      </c>
      <c r="M671" s="104" t="s">
        <v>902</v>
      </c>
      <c r="N671" s="98"/>
      <c r="O671" s="105" t="n">
        <f aca="false">IF(M671="Y",I671,IF(ISNUMBER(H671),H671*L671,0))</f>
        <v>75</v>
      </c>
      <c r="P671" s="106" t="str">
        <f aca="false">IF(J671="","",J671&amp;"|"&amp;A671&amp;"|"&amp;K671)</f>
        <v>R134|Scholzen|1</v>
      </c>
    </row>
    <row r="672" customFormat="false" ht="15" hidden="false" customHeight="false" outlineLevel="0" collapsed="false">
      <c r="A672" s="98" t="s">
        <v>31</v>
      </c>
      <c r="B672" s="99" t="s">
        <v>2087</v>
      </c>
      <c r="C672" s="99" t="s">
        <v>130</v>
      </c>
      <c r="D672" s="98" t="s">
        <v>930</v>
      </c>
      <c r="E672" s="100" t="s">
        <v>2088</v>
      </c>
      <c r="F672" s="101" t="n">
        <v>20</v>
      </c>
      <c r="G672" s="101" t="s">
        <v>178</v>
      </c>
      <c r="H672" s="102" t="n">
        <v>2.36</v>
      </c>
      <c r="I672" s="103" t="n">
        <v>47.2</v>
      </c>
      <c r="J672" s="104" t="s">
        <v>447</v>
      </c>
      <c r="K672" s="104" t="n">
        <v>1</v>
      </c>
      <c r="L672" s="101" t="n">
        <v>20</v>
      </c>
      <c r="M672" s="104" t="s">
        <v>902</v>
      </c>
      <c r="N672" s="98"/>
      <c r="O672" s="105" t="n">
        <f aca="false">IF(M672="Y",I672,IF(ISNUMBER(H672),H672*L672,0))</f>
        <v>47.2</v>
      </c>
      <c r="P672" s="106" t="str">
        <f aca="false">IF(J672="","",J672&amp;"|"&amp;A672&amp;"|"&amp;K672)</f>
        <v>R135|Scholzen|1</v>
      </c>
    </row>
    <row r="673" customFormat="false" ht="15" hidden="false" customHeight="false" outlineLevel="0" collapsed="false">
      <c r="A673" s="98" t="s">
        <v>31</v>
      </c>
      <c r="B673" s="99" t="s">
        <v>2089</v>
      </c>
      <c r="C673" s="99" t="s">
        <v>130</v>
      </c>
      <c r="D673" s="98" t="s">
        <v>930</v>
      </c>
      <c r="E673" s="100" t="s">
        <v>2012</v>
      </c>
      <c r="F673" s="101" t="n">
        <v>1</v>
      </c>
      <c r="G673" s="101" t="s">
        <v>133</v>
      </c>
      <c r="H673" s="102" t="n">
        <v>488.25</v>
      </c>
      <c r="I673" s="103" t="n">
        <v>488.25</v>
      </c>
      <c r="J673" s="104" t="s">
        <v>160</v>
      </c>
      <c r="K673" s="104" t="n">
        <v>1</v>
      </c>
      <c r="L673" s="101" t="n">
        <v>1</v>
      </c>
      <c r="M673" s="104" t="s">
        <v>902</v>
      </c>
      <c r="N673" s="98"/>
      <c r="O673" s="105" t="n">
        <f aca="false">IF(M673="Y",I673,IF(ISNUMBER(H673),H673*L673,0))</f>
        <v>488.25</v>
      </c>
      <c r="P673" s="106" t="str">
        <f aca="false">IF(J673="","",J673&amp;"|"&amp;A673&amp;"|"&amp;K673)</f>
        <v>R013|Scholzen|1</v>
      </c>
    </row>
    <row r="674" customFormat="false" ht="15" hidden="false" customHeight="false" outlineLevel="0" collapsed="false">
      <c r="A674" s="98" t="s">
        <v>31</v>
      </c>
      <c r="B674" s="99" t="s">
        <v>2090</v>
      </c>
      <c r="C674" s="99" t="s">
        <v>130</v>
      </c>
      <c r="D674" s="98" t="s">
        <v>900</v>
      </c>
      <c r="E674" s="100" t="s">
        <v>2091</v>
      </c>
      <c r="F674" s="101" t="n">
        <v>2</v>
      </c>
      <c r="G674" s="101" t="s">
        <v>133</v>
      </c>
      <c r="H674" s="102" t="n">
        <v>568</v>
      </c>
      <c r="I674" s="103" t="n">
        <v>1136</v>
      </c>
      <c r="J674" s="104" t="s">
        <v>140</v>
      </c>
      <c r="K674" s="104" t="n">
        <v>1</v>
      </c>
      <c r="L674" s="101" t="n">
        <v>2</v>
      </c>
      <c r="M674" s="104" t="s">
        <v>902</v>
      </c>
      <c r="N674" s="98"/>
      <c r="O674" s="105" t="n">
        <f aca="false">IF(M674="Y",I674,IF(ISNUMBER(H674),H674*L674,0))</f>
        <v>1136</v>
      </c>
      <c r="P674" s="106" t="str">
        <f aca="false">IF(J674="","",J674&amp;"|"&amp;A674&amp;"|"&amp;K674)</f>
        <v>R004|Scholzen|1</v>
      </c>
    </row>
    <row r="675" customFormat="false" ht="15" hidden="false" customHeight="false" outlineLevel="0" collapsed="false">
      <c r="A675" s="98" t="s">
        <v>31</v>
      </c>
      <c r="B675" s="99" t="s">
        <v>2092</v>
      </c>
      <c r="C675" s="99" t="s">
        <v>130</v>
      </c>
      <c r="D675" s="98" t="s">
        <v>900</v>
      </c>
      <c r="E675" s="100" t="s">
        <v>2093</v>
      </c>
      <c r="F675" s="101" t="n">
        <v>1</v>
      </c>
      <c r="G675" s="101" t="s">
        <v>133</v>
      </c>
      <c r="H675" s="102" t="n">
        <v>429</v>
      </c>
      <c r="I675" s="103" t="n">
        <v>429</v>
      </c>
      <c r="J675" s="104" t="s">
        <v>162</v>
      </c>
      <c r="K675" s="104" t="n">
        <v>1</v>
      </c>
      <c r="L675" s="101" t="n">
        <v>1</v>
      </c>
      <c r="M675" s="104" t="s">
        <v>902</v>
      </c>
      <c r="N675" s="98"/>
      <c r="O675" s="105" t="n">
        <f aca="false">IF(M675="Y",I675,IF(ISNUMBER(H675),H675*L675,0))</f>
        <v>429</v>
      </c>
      <c r="P675" s="106" t="str">
        <f aca="false">IF(J675="","",J675&amp;"|"&amp;A675&amp;"|"&amp;K675)</f>
        <v>R014|Scholzen|1</v>
      </c>
    </row>
    <row r="676" customFormat="false" ht="15" hidden="false" customHeight="false" outlineLevel="0" collapsed="false">
      <c r="A676" s="98" t="s">
        <v>31</v>
      </c>
      <c r="B676" s="99" t="s">
        <v>2094</v>
      </c>
      <c r="C676" s="99" t="s">
        <v>130</v>
      </c>
      <c r="D676" s="98" t="s">
        <v>900</v>
      </c>
      <c r="E676" s="100" t="s">
        <v>2095</v>
      </c>
      <c r="F676" s="101" t="n">
        <v>1</v>
      </c>
      <c r="G676" s="101" t="s">
        <v>133</v>
      </c>
      <c r="H676" s="102" t="n">
        <v>628</v>
      </c>
      <c r="I676" s="103" t="n">
        <v>628</v>
      </c>
      <c r="J676" s="104" t="s">
        <v>235</v>
      </c>
      <c r="K676" s="104" t="n">
        <v>1</v>
      </c>
      <c r="L676" s="101" t="n">
        <v>1</v>
      </c>
      <c r="M676" s="104" t="s">
        <v>902</v>
      </c>
      <c r="N676" s="98"/>
      <c r="O676" s="105" t="n">
        <f aca="false">IF(M676="Y",I676,IF(ISNUMBER(H676),H676*L676,0))</f>
        <v>628</v>
      </c>
      <c r="P676" s="106" t="str">
        <f aca="false">IF(J676="","",J676&amp;"|"&amp;A676&amp;"|"&amp;K676)</f>
        <v>R048|Scholzen|1</v>
      </c>
    </row>
    <row r="677" customFormat="false" ht="15" hidden="false" customHeight="false" outlineLevel="0" collapsed="false">
      <c r="A677" s="98" t="s">
        <v>31</v>
      </c>
      <c r="B677" s="99" t="s">
        <v>2096</v>
      </c>
      <c r="C677" s="99" t="s">
        <v>130</v>
      </c>
      <c r="D677" s="98" t="s">
        <v>900</v>
      </c>
      <c r="E677" s="100" t="s">
        <v>2097</v>
      </c>
      <c r="F677" s="101" t="n">
        <v>1</v>
      </c>
      <c r="G677" s="101" t="s">
        <v>133</v>
      </c>
      <c r="H677" s="102" t="n">
        <v>940</v>
      </c>
      <c r="I677" s="103" t="n">
        <v>940</v>
      </c>
      <c r="J677" s="104" t="s">
        <v>229</v>
      </c>
      <c r="K677" s="104" t="n">
        <v>1</v>
      </c>
      <c r="L677" s="101" t="n">
        <v>1</v>
      </c>
      <c r="M677" s="104" t="s">
        <v>902</v>
      </c>
      <c r="N677" s="98"/>
      <c r="O677" s="105" t="n">
        <f aca="false">IF(M677="Y",I677,IF(ISNUMBER(H677),H677*L677,0))</f>
        <v>940</v>
      </c>
      <c r="P677" s="106" t="str">
        <f aca="false">IF(J677="","",J677&amp;"|"&amp;A677&amp;"|"&amp;K677)</f>
        <v>R045|Scholzen|1</v>
      </c>
    </row>
    <row r="678" customFormat="false" ht="15" hidden="false" customHeight="false" outlineLevel="0" collapsed="false">
      <c r="A678" s="98" t="s">
        <v>31</v>
      </c>
      <c r="B678" s="99" t="s">
        <v>2098</v>
      </c>
      <c r="C678" s="99" t="s">
        <v>130</v>
      </c>
      <c r="D678" s="98" t="s">
        <v>900</v>
      </c>
      <c r="E678" s="100" t="s">
        <v>2099</v>
      </c>
      <c r="F678" s="101" t="n">
        <v>1</v>
      </c>
      <c r="G678" s="101" t="s">
        <v>133</v>
      </c>
      <c r="H678" s="102" t="n">
        <v>585</v>
      </c>
      <c r="I678" s="103" t="n">
        <v>585</v>
      </c>
      <c r="J678" s="104" t="s">
        <v>324</v>
      </c>
      <c r="K678" s="104" t="n">
        <v>1</v>
      </c>
      <c r="L678" s="101" t="n">
        <v>1</v>
      </c>
      <c r="M678" s="104" t="s">
        <v>902</v>
      </c>
      <c r="N678" s="98"/>
      <c r="O678" s="105" t="n">
        <f aca="false">IF(M678="Y",I678,IF(ISNUMBER(H678),H678*L678,0))</f>
        <v>585</v>
      </c>
      <c r="P678" s="106" t="str">
        <f aca="false">IF(J678="","",J678&amp;"|"&amp;A678&amp;"|"&amp;K678)</f>
        <v>R083|Scholzen|1</v>
      </c>
    </row>
    <row r="679" customFormat="false" ht="15" hidden="false" customHeight="false" outlineLevel="0" collapsed="false">
      <c r="A679" s="98" t="s">
        <v>31</v>
      </c>
      <c r="B679" s="99" t="s">
        <v>2100</v>
      </c>
      <c r="C679" s="99" t="s">
        <v>130</v>
      </c>
      <c r="D679" s="98" t="s">
        <v>900</v>
      </c>
      <c r="E679" s="100" t="s">
        <v>450</v>
      </c>
      <c r="F679" s="101" t="n">
        <v>1</v>
      </c>
      <c r="G679" s="101" t="s">
        <v>133</v>
      </c>
      <c r="H679" s="102" t="n">
        <v>19.9</v>
      </c>
      <c r="I679" s="103" t="n">
        <v>19.9</v>
      </c>
      <c r="J679" s="104" t="s">
        <v>449</v>
      </c>
      <c r="K679" s="104" t="n">
        <v>1</v>
      </c>
      <c r="L679" s="101" t="n">
        <v>1</v>
      </c>
      <c r="M679" s="104" t="s">
        <v>902</v>
      </c>
      <c r="N679" s="98"/>
      <c r="O679" s="105" t="n">
        <f aca="false">IF(M679="Y",I679,IF(ISNUMBER(H679),H679*L679,0))</f>
        <v>19.9</v>
      </c>
      <c r="P679" s="106" t="str">
        <f aca="false">IF(J679="","",J679&amp;"|"&amp;A679&amp;"|"&amp;K679)</f>
        <v>R136|Scholzen|1</v>
      </c>
    </row>
    <row r="680" customFormat="false" ht="15" hidden="false" customHeight="false" outlineLevel="0" collapsed="false">
      <c r="A680" s="98" t="s">
        <v>31</v>
      </c>
      <c r="B680" s="99" t="s">
        <v>2101</v>
      </c>
      <c r="C680" s="99" t="s">
        <v>130</v>
      </c>
      <c r="D680" s="98" t="s">
        <v>900</v>
      </c>
      <c r="E680" s="100" t="s">
        <v>452</v>
      </c>
      <c r="F680" s="101" t="n">
        <v>1</v>
      </c>
      <c r="G680" s="101" t="s">
        <v>133</v>
      </c>
      <c r="H680" s="102" t="n">
        <v>2.73</v>
      </c>
      <c r="I680" s="103" t="n">
        <v>2.73</v>
      </c>
      <c r="J680" s="104" t="s">
        <v>451</v>
      </c>
      <c r="K680" s="104" t="n">
        <v>1</v>
      </c>
      <c r="L680" s="101" t="n">
        <v>1</v>
      </c>
      <c r="M680" s="104" t="s">
        <v>902</v>
      </c>
      <c r="N680" s="98"/>
      <c r="O680" s="105" t="n">
        <f aca="false">IF(M680="Y",I680,IF(ISNUMBER(H680),H680*L680,0))</f>
        <v>2.73</v>
      </c>
      <c r="P680" s="106" t="str">
        <f aca="false">IF(J680="","",J680&amp;"|"&amp;A680&amp;"|"&amp;K680)</f>
        <v>R137|Scholzen|1</v>
      </c>
    </row>
    <row r="681" customFormat="false" ht="15" hidden="false" customHeight="false" outlineLevel="0" collapsed="false">
      <c r="A681" s="98" t="s">
        <v>31</v>
      </c>
      <c r="B681" s="99" t="s">
        <v>2102</v>
      </c>
      <c r="C681" s="99" t="s">
        <v>130</v>
      </c>
      <c r="D681" s="98" t="s">
        <v>900</v>
      </c>
      <c r="E681" s="100" t="s">
        <v>2103</v>
      </c>
      <c r="F681" s="101" t="n">
        <v>1</v>
      </c>
      <c r="G681" s="101" t="s">
        <v>133</v>
      </c>
      <c r="H681" s="102" t="n">
        <v>2</v>
      </c>
      <c r="I681" s="103" t="n">
        <v>2</v>
      </c>
      <c r="J681" s="104" t="s">
        <v>453</v>
      </c>
      <c r="K681" s="104" t="n">
        <v>1</v>
      </c>
      <c r="L681" s="101" t="n">
        <v>1</v>
      </c>
      <c r="M681" s="104" t="s">
        <v>902</v>
      </c>
      <c r="N681" s="98"/>
      <c r="O681" s="105" t="n">
        <f aca="false">IF(M681="Y",I681,IF(ISNUMBER(H681),H681*L681,0))</f>
        <v>2</v>
      </c>
      <c r="P681" s="106" t="str">
        <f aca="false">IF(J681="","",J681&amp;"|"&amp;A681&amp;"|"&amp;K681)</f>
        <v>R138|Scholzen|1</v>
      </c>
    </row>
    <row r="682" customFormat="false" ht="15" hidden="false" customHeight="false" outlineLevel="0" collapsed="false">
      <c r="A682" s="98" t="s">
        <v>31</v>
      </c>
      <c r="B682" s="99" t="s">
        <v>2104</v>
      </c>
      <c r="C682" s="99" t="s">
        <v>130</v>
      </c>
      <c r="D682" s="98" t="s">
        <v>900</v>
      </c>
      <c r="E682" s="100" t="s">
        <v>2105</v>
      </c>
      <c r="F682" s="101" t="n">
        <v>2</v>
      </c>
      <c r="G682" s="101" t="s">
        <v>133</v>
      </c>
      <c r="H682" s="102" t="n">
        <v>399.53</v>
      </c>
      <c r="I682" s="103" t="n">
        <v>799.06</v>
      </c>
      <c r="J682" s="104" t="s">
        <v>293</v>
      </c>
      <c r="K682" s="104" t="n">
        <v>1</v>
      </c>
      <c r="L682" s="101" t="n">
        <v>2</v>
      </c>
      <c r="M682" s="104" t="s">
        <v>902</v>
      </c>
      <c r="N682" s="98"/>
      <c r="O682" s="105" t="n">
        <f aca="false">IF(M682="Y",I682,IF(ISNUMBER(H682),H682*L682,0))</f>
        <v>799.06</v>
      </c>
      <c r="P682" s="106" t="str">
        <f aca="false">IF(J682="","",J682&amp;"|"&amp;A682&amp;"|"&amp;K682)</f>
        <v>R071|Scholzen|1</v>
      </c>
    </row>
    <row r="683" customFormat="false" ht="15" hidden="false" customHeight="false" outlineLevel="0" collapsed="false">
      <c r="A683" s="98" t="s">
        <v>31</v>
      </c>
      <c r="B683" s="99" t="s">
        <v>2106</v>
      </c>
      <c r="C683" s="99" t="s">
        <v>130</v>
      </c>
      <c r="D683" s="98" t="s">
        <v>900</v>
      </c>
      <c r="E683" s="100" t="s">
        <v>2107</v>
      </c>
      <c r="F683" s="101" t="n">
        <v>4</v>
      </c>
      <c r="G683" s="101" t="s">
        <v>133</v>
      </c>
      <c r="H683" s="102" t="n">
        <v>175.88</v>
      </c>
      <c r="I683" s="103" t="n">
        <v>703.52</v>
      </c>
      <c r="J683" s="104" t="s">
        <v>301</v>
      </c>
      <c r="K683" s="104" t="n">
        <v>1</v>
      </c>
      <c r="L683" s="101" t="n">
        <v>4</v>
      </c>
      <c r="M683" s="104" t="s">
        <v>902</v>
      </c>
      <c r="N683" s="98"/>
      <c r="O683" s="105" t="n">
        <f aca="false">IF(M683="Y",I683,IF(ISNUMBER(H683),H683*L683,0))</f>
        <v>703.52</v>
      </c>
      <c r="P683" s="106" t="str">
        <f aca="false">IF(J683="","",J683&amp;"|"&amp;A683&amp;"|"&amp;K683)</f>
        <v>R074|Scholzen|1</v>
      </c>
    </row>
    <row r="684" customFormat="false" ht="15" hidden="false" customHeight="false" outlineLevel="0" collapsed="false">
      <c r="A684" s="98" t="s">
        <v>31</v>
      </c>
      <c r="B684" s="99" t="s">
        <v>2108</v>
      </c>
      <c r="C684" s="99" t="s">
        <v>130</v>
      </c>
      <c r="D684" s="98" t="s">
        <v>900</v>
      </c>
      <c r="E684" s="100" t="s">
        <v>2058</v>
      </c>
      <c r="F684" s="101" t="n">
        <v>3</v>
      </c>
      <c r="G684" s="101" t="s">
        <v>133</v>
      </c>
      <c r="H684" s="102" t="n">
        <v>58.13</v>
      </c>
      <c r="I684" s="103" t="n">
        <v>174.39</v>
      </c>
      <c r="J684" s="104" t="s">
        <v>312</v>
      </c>
      <c r="K684" s="104" t="n">
        <v>1</v>
      </c>
      <c r="L684" s="101" t="n">
        <v>3</v>
      </c>
      <c r="M684" s="104" t="s">
        <v>902</v>
      </c>
      <c r="N684" s="98"/>
      <c r="O684" s="105" t="n">
        <f aca="false">IF(M684="Y",I684,IF(ISNUMBER(H684),H684*L684,0))</f>
        <v>174.39</v>
      </c>
      <c r="P684" s="106" t="str">
        <f aca="false">IF(J684="","",J684&amp;"|"&amp;A684&amp;"|"&amp;K684)</f>
        <v>R078|Scholzen|1</v>
      </c>
    </row>
    <row r="685" customFormat="false" ht="15" hidden="false" customHeight="false" outlineLevel="0" collapsed="false">
      <c r="A685" s="98" t="s">
        <v>31</v>
      </c>
      <c r="B685" s="99" t="s">
        <v>2109</v>
      </c>
      <c r="C685" s="99" t="s">
        <v>130</v>
      </c>
      <c r="D685" s="98" t="s">
        <v>900</v>
      </c>
      <c r="E685" s="100" t="s">
        <v>2110</v>
      </c>
      <c r="F685" s="101" t="n">
        <v>2</v>
      </c>
      <c r="G685" s="101" t="s">
        <v>133</v>
      </c>
      <c r="H685" s="102" t="n">
        <v>2493</v>
      </c>
      <c r="I685" s="103" t="n">
        <v>4986</v>
      </c>
      <c r="J685" s="104" t="s">
        <v>330</v>
      </c>
      <c r="K685" s="104" t="n">
        <v>1</v>
      </c>
      <c r="L685" s="101" t="n">
        <v>2</v>
      </c>
      <c r="M685" s="104" t="s">
        <v>902</v>
      </c>
      <c r="N685" s="98"/>
      <c r="O685" s="105" t="n">
        <f aca="false">IF(M685="Y",I685,IF(ISNUMBER(H685),H685*L685,0))</f>
        <v>4986</v>
      </c>
      <c r="P685" s="106" t="str">
        <f aca="false">IF(J685="","",J685&amp;"|"&amp;A685&amp;"|"&amp;K685)</f>
        <v>R085|Scholzen|1</v>
      </c>
    </row>
    <row r="686" customFormat="false" ht="15" hidden="false" customHeight="false" outlineLevel="0" collapsed="false">
      <c r="A686" s="98" t="s">
        <v>31</v>
      </c>
      <c r="B686" s="99" t="s">
        <v>2111</v>
      </c>
      <c r="C686" s="99" t="s">
        <v>130</v>
      </c>
      <c r="D686" s="98" t="s">
        <v>900</v>
      </c>
      <c r="E686" s="100" t="s">
        <v>2112</v>
      </c>
      <c r="F686" s="101" t="n">
        <v>28</v>
      </c>
      <c r="G686" s="101" t="s">
        <v>133</v>
      </c>
      <c r="H686" s="102" t="n">
        <v>25</v>
      </c>
      <c r="I686" s="103" t="n">
        <v>700</v>
      </c>
      <c r="J686" s="104" t="s">
        <v>337</v>
      </c>
      <c r="K686" s="104" t="n">
        <v>1</v>
      </c>
      <c r="L686" s="101" t="n">
        <v>28</v>
      </c>
      <c r="M686" s="104" t="s">
        <v>902</v>
      </c>
      <c r="N686" s="98"/>
      <c r="O686" s="105" t="n">
        <f aca="false">IF(M686="Y",I686,IF(ISNUMBER(H686),H686*L686,0))</f>
        <v>700</v>
      </c>
      <c r="P686" s="106" t="str">
        <f aca="false">IF(J686="","",J686&amp;"|"&amp;A686&amp;"|"&amp;K686)</f>
        <v>R088|Scholzen|1</v>
      </c>
    </row>
    <row r="687" customFormat="false" ht="15" hidden="false" customHeight="false" outlineLevel="0" collapsed="false">
      <c r="A687" s="98" t="s">
        <v>31</v>
      </c>
      <c r="B687" s="99" t="s">
        <v>2113</v>
      </c>
      <c r="C687" s="99" t="s">
        <v>130</v>
      </c>
      <c r="D687" s="98" t="s">
        <v>900</v>
      </c>
      <c r="E687" s="100" t="s">
        <v>2114</v>
      </c>
      <c r="F687" s="101" t="n">
        <v>1</v>
      </c>
      <c r="G687" s="101" t="s">
        <v>133</v>
      </c>
      <c r="H687" s="102" t="n">
        <v>63.33</v>
      </c>
      <c r="I687" s="103" t="n">
        <v>63.33</v>
      </c>
      <c r="J687" s="104" t="s">
        <v>398</v>
      </c>
      <c r="K687" s="104" t="n">
        <v>1</v>
      </c>
      <c r="L687" s="101" t="n">
        <v>1</v>
      </c>
      <c r="M687" s="104" t="s">
        <v>902</v>
      </c>
      <c r="N687" s="98"/>
      <c r="O687" s="105" t="n">
        <f aca="false">IF(M687="Y",I687,IF(ISNUMBER(H687),H687*L687,0))</f>
        <v>63.33</v>
      </c>
      <c r="P687" s="106" t="str">
        <f aca="false">IF(J687="","",J687&amp;"|"&amp;A687&amp;"|"&amp;K687)</f>
        <v>R113|Scholzen|1</v>
      </c>
    </row>
    <row r="688" customFormat="false" ht="15" hidden="false" customHeight="false" outlineLevel="0" collapsed="false">
      <c r="A688" s="98" t="s">
        <v>31</v>
      </c>
      <c r="B688" s="99" t="s">
        <v>2115</v>
      </c>
      <c r="C688" s="99" t="s">
        <v>130</v>
      </c>
      <c r="D688" s="98" t="s">
        <v>900</v>
      </c>
      <c r="E688" s="100" t="s">
        <v>2116</v>
      </c>
      <c r="F688" s="101" t="n">
        <v>2</v>
      </c>
      <c r="G688" s="101" t="s">
        <v>133</v>
      </c>
      <c r="H688" s="102" t="n">
        <v>17.75</v>
      </c>
      <c r="I688" s="103" t="n">
        <v>35.5</v>
      </c>
      <c r="J688" s="104" t="s">
        <v>384</v>
      </c>
      <c r="K688" s="104" t="n">
        <v>1</v>
      </c>
      <c r="L688" s="101" t="n">
        <v>2</v>
      </c>
      <c r="M688" s="104" t="s">
        <v>902</v>
      </c>
      <c r="N688" s="98"/>
      <c r="O688" s="105" t="n">
        <f aca="false">IF(M688="Y",I688,IF(ISNUMBER(H688),H688*L688,0))</f>
        <v>35.5</v>
      </c>
      <c r="P688" s="106" t="str">
        <f aca="false">IF(J688="","",J688&amp;"|"&amp;A688&amp;"|"&amp;K688)</f>
        <v>R107|Scholzen|1</v>
      </c>
    </row>
    <row r="689" customFormat="false" ht="15" hidden="false" customHeight="false" outlineLevel="0" collapsed="false">
      <c r="A689" s="98" t="s">
        <v>31</v>
      </c>
      <c r="B689" s="99" t="s">
        <v>2117</v>
      </c>
      <c r="C689" s="99" t="s">
        <v>130</v>
      </c>
      <c r="D689" s="98" t="s">
        <v>900</v>
      </c>
      <c r="E689" s="100" t="s">
        <v>2118</v>
      </c>
      <c r="F689" s="101" t="n">
        <v>1</v>
      </c>
      <c r="G689" s="101" t="s">
        <v>133</v>
      </c>
      <c r="H689" s="102" t="n">
        <v>27.1</v>
      </c>
      <c r="I689" s="103" t="n">
        <v>27.1</v>
      </c>
      <c r="J689" s="104" t="s">
        <v>388</v>
      </c>
      <c r="K689" s="104" t="n">
        <v>1</v>
      </c>
      <c r="L689" s="101" t="n">
        <v>1</v>
      </c>
      <c r="M689" s="104" t="s">
        <v>902</v>
      </c>
      <c r="N689" s="98"/>
      <c r="O689" s="105" t="n">
        <f aca="false">IF(M689="Y",I689,IF(ISNUMBER(H689),H689*L689,0))</f>
        <v>27.1</v>
      </c>
      <c r="P689" s="106" t="str">
        <f aca="false">IF(J689="","",J689&amp;"|"&amp;A689&amp;"|"&amp;K689)</f>
        <v>R109|Scholzen|1</v>
      </c>
    </row>
    <row r="690" customFormat="false" ht="15" hidden="false" customHeight="false" outlineLevel="0" collapsed="false">
      <c r="A690" s="98" t="s">
        <v>31</v>
      </c>
      <c r="B690" s="99" t="s">
        <v>2119</v>
      </c>
      <c r="C690" s="99" t="s">
        <v>130</v>
      </c>
      <c r="D690" s="98" t="s">
        <v>900</v>
      </c>
      <c r="E690" s="100" t="s">
        <v>2120</v>
      </c>
      <c r="F690" s="101" t="n">
        <v>21</v>
      </c>
      <c r="G690" s="101" t="s">
        <v>178</v>
      </c>
      <c r="H690" s="102" t="n">
        <v>1220</v>
      </c>
      <c r="I690" s="103" t="n">
        <v>256.2</v>
      </c>
      <c r="J690" s="104" t="s">
        <v>350</v>
      </c>
      <c r="K690" s="104" t="n">
        <v>1</v>
      </c>
      <c r="L690" s="101" t="n">
        <v>21</v>
      </c>
      <c r="M690" s="104" t="s">
        <v>902</v>
      </c>
      <c r="N690" s="98" t="s">
        <v>2121</v>
      </c>
      <c r="O690" s="105" t="n">
        <f aca="false">IF(M690="Y",I690,IF(ISNUMBER(H690),H690*L690,0))</f>
        <v>256.2</v>
      </c>
      <c r="P690" s="106" t="str">
        <f aca="false">IF(J690="","",J690&amp;"|"&amp;A690&amp;"|"&amp;K690)</f>
        <v>R093|Scholzen|1</v>
      </c>
    </row>
    <row r="691" customFormat="false" ht="15" hidden="false" customHeight="false" outlineLevel="0" collapsed="false">
      <c r="A691" s="98" t="s">
        <v>31</v>
      </c>
      <c r="B691" s="99" t="s">
        <v>2122</v>
      </c>
      <c r="C691" s="99" t="s">
        <v>130</v>
      </c>
      <c r="D691" s="98" t="s">
        <v>900</v>
      </c>
      <c r="E691" s="100" t="s">
        <v>2123</v>
      </c>
      <c r="F691" s="101" t="n">
        <v>80</v>
      </c>
      <c r="G691" s="101" t="s">
        <v>178</v>
      </c>
      <c r="H691" s="102" t="n">
        <v>2.1</v>
      </c>
      <c r="I691" s="103" t="n">
        <v>168</v>
      </c>
      <c r="J691" s="104" t="s">
        <v>339</v>
      </c>
      <c r="K691" s="104" t="n">
        <v>1</v>
      </c>
      <c r="L691" s="101" t="n">
        <v>80</v>
      </c>
      <c r="M691" s="104" t="s">
        <v>902</v>
      </c>
      <c r="N691" s="98"/>
      <c r="O691" s="105" t="n">
        <f aca="false">IF(M691="Y",I691,IF(ISNUMBER(H691),H691*L691,0))</f>
        <v>168</v>
      </c>
      <c r="P691" s="106" t="str">
        <f aca="false">IF(J691="","",J691&amp;"|"&amp;A691&amp;"|"&amp;K691)</f>
        <v>R089|Scholzen|1</v>
      </c>
    </row>
    <row r="692" customFormat="false" ht="15" hidden="false" customHeight="false" outlineLevel="0" collapsed="false">
      <c r="A692" s="98" t="s">
        <v>31</v>
      </c>
      <c r="B692" s="99" t="s">
        <v>2124</v>
      </c>
      <c r="C692" s="99" t="s">
        <v>130</v>
      </c>
      <c r="D692" s="98" t="s">
        <v>900</v>
      </c>
      <c r="E692" s="100" t="s">
        <v>429</v>
      </c>
      <c r="F692" s="101" t="n">
        <v>1</v>
      </c>
      <c r="G692" s="101" t="s">
        <v>133</v>
      </c>
      <c r="H692" s="102" t="n">
        <v>20.5</v>
      </c>
      <c r="I692" s="103" t="n">
        <v>20.5</v>
      </c>
      <c r="J692" s="104" t="s">
        <v>428</v>
      </c>
      <c r="K692" s="104" t="n">
        <v>1</v>
      </c>
      <c r="L692" s="101" t="n">
        <v>1</v>
      </c>
      <c r="M692" s="104" t="s">
        <v>902</v>
      </c>
      <c r="N692" s="98"/>
      <c r="O692" s="105" t="n">
        <f aca="false">IF(M692="Y",I692,IF(ISNUMBER(H692),H692*L692,0))</f>
        <v>20.5</v>
      </c>
      <c r="P692" s="106" t="str">
        <f aca="false">IF(J692="","",J692&amp;"|"&amp;A692&amp;"|"&amp;K692)</f>
        <v>R126|Scholzen|1</v>
      </c>
    </row>
    <row r="693" customFormat="false" ht="15" hidden="false" customHeight="false" outlineLevel="0" collapsed="false">
      <c r="A693" s="98" t="s">
        <v>31</v>
      </c>
      <c r="B693" s="99" t="s">
        <v>2125</v>
      </c>
      <c r="C693" s="99" t="s">
        <v>130</v>
      </c>
      <c r="D693" s="98" t="s">
        <v>900</v>
      </c>
      <c r="E693" s="100" t="s">
        <v>2126</v>
      </c>
      <c r="F693" s="101" t="n">
        <v>1</v>
      </c>
      <c r="G693" s="101" t="s">
        <v>133</v>
      </c>
      <c r="H693" s="102" t="n">
        <v>149.97</v>
      </c>
      <c r="I693" s="103" t="n">
        <v>149.97</v>
      </c>
      <c r="J693" s="104" t="s">
        <v>390</v>
      </c>
      <c r="K693" s="104" t="n">
        <v>1</v>
      </c>
      <c r="L693" s="101" t="n">
        <v>1</v>
      </c>
      <c r="M693" s="104" t="s">
        <v>902</v>
      </c>
      <c r="N693" s="98"/>
      <c r="O693" s="105" t="n">
        <f aca="false">IF(M693="Y",I693,IF(ISNUMBER(H693),H693*L693,0))</f>
        <v>149.97</v>
      </c>
      <c r="P693" s="106" t="str">
        <f aca="false">IF(J693="","",J693&amp;"|"&amp;A693&amp;"|"&amp;K693)</f>
        <v>R110|Scholzen|1</v>
      </c>
    </row>
    <row r="694" customFormat="false" ht="15" hidden="false" customHeight="false" outlineLevel="0" collapsed="false">
      <c r="A694" s="98" t="s">
        <v>31</v>
      </c>
      <c r="B694" s="99" t="s">
        <v>2127</v>
      </c>
      <c r="C694" s="99" t="s">
        <v>130</v>
      </c>
      <c r="D694" s="98" t="s">
        <v>900</v>
      </c>
      <c r="E694" s="100" t="s">
        <v>2128</v>
      </c>
      <c r="F694" s="101" t="n">
        <v>1</v>
      </c>
      <c r="G694" s="101" t="s">
        <v>133</v>
      </c>
      <c r="H694" s="102" t="n">
        <v>40.02</v>
      </c>
      <c r="I694" s="103" t="n">
        <v>40.02</v>
      </c>
      <c r="J694" s="104" t="s">
        <v>287</v>
      </c>
      <c r="K694" s="104" t="n">
        <v>1</v>
      </c>
      <c r="L694" s="101" t="n">
        <v>1</v>
      </c>
      <c r="M694" s="104" t="s">
        <v>902</v>
      </c>
      <c r="N694" s="98"/>
      <c r="O694" s="105" t="n">
        <f aca="false">IF(M694="Y",I694,IF(ISNUMBER(H694),H694*L694,0))</f>
        <v>40.02</v>
      </c>
      <c r="P694" s="106" t="str">
        <f aca="false">IF(J694="","",J694&amp;"|"&amp;A694&amp;"|"&amp;K694)</f>
        <v>R069|Scholzen|1</v>
      </c>
    </row>
    <row r="695" customFormat="false" ht="15" hidden="false" customHeight="false" outlineLevel="0" collapsed="false">
      <c r="A695" s="98" t="s">
        <v>31</v>
      </c>
      <c r="B695" s="99" t="s">
        <v>2129</v>
      </c>
      <c r="C695" s="99" t="s">
        <v>130</v>
      </c>
      <c r="D695" s="98" t="s">
        <v>900</v>
      </c>
      <c r="E695" s="100" t="s">
        <v>2130</v>
      </c>
      <c r="F695" s="101" t="n">
        <v>1</v>
      </c>
      <c r="G695" s="101" t="s">
        <v>133</v>
      </c>
      <c r="H695" s="102" t="n">
        <v>417.45</v>
      </c>
      <c r="I695" s="103" t="n">
        <v>417.45</v>
      </c>
      <c r="J695" s="104" t="s">
        <v>284</v>
      </c>
      <c r="K695" s="104" t="n">
        <v>1</v>
      </c>
      <c r="L695" s="101" t="n">
        <v>1</v>
      </c>
      <c r="M695" s="104" t="s">
        <v>902</v>
      </c>
      <c r="N695" s="98"/>
      <c r="O695" s="105" t="n">
        <f aca="false">IF(M695="Y",I695,IF(ISNUMBER(H695),H695*L695,0))</f>
        <v>417.45</v>
      </c>
      <c r="P695" s="106" t="str">
        <f aca="false">IF(J695="","",J695&amp;"|"&amp;A695&amp;"|"&amp;K695)</f>
        <v>R068|Scholzen|1</v>
      </c>
    </row>
    <row r="696" customFormat="false" ht="15" hidden="false" customHeight="false" outlineLevel="0" collapsed="false">
      <c r="A696" s="98" t="s">
        <v>31</v>
      </c>
      <c r="B696" s="99" t="s">
        <v>2131</v>
      </c>
      <c r="C696" s="99" t="s">
        <v>130</v>
      </c>
      <c r="D696" s="98" t="s">
        <v>1050</v>
      </c>
      <c r="E696" s="100" t="s">
        <v>2132</v>
      </c>
      <c r="F696" s="101" t="n">
        <v>1</v>
      </c>
      <c r="G696" s="101" t="s">
        <v>133</v>
      </c>
      <c r="H696" s="102" t="n">
        <v>20159.85</v>
      </c>
      <c r="I696" s="103" t="n">
        <v>20159.85</v>
      </c>
      <c r="J696" s="104" t="s">
        <v>245</v>
      </c>
      <c r="K696" s="104" t="n">
        <v>1</v>
      </c>
      <c r="L696" s="101" t="n">
        <v>1</v>
      </c>
      <c r="M696" s="104" t="s">
        <v>902</v>
      </c>
      <c r="N696" s="98"/>
      <c r="O696" s="105" t="n">
        <f aca="false">IF(M696="Y",I696,IF(ISNUMBER(H696),H696*L696,0))</f>
        <v>20159.85</v>
      </c>
      <c r="P696" s="106" t="str">
        <f aca="false">IF(J696="","",J696&amp;"|"&amp;A696&amp;"|"&amp;K696)</f>
        <v>R052|Scholzen|1</v>
      </c>
    </row>
    <row r="697" customFormat="false" ht="15" hidden="false" customHeight="false" outlineLevel="0" collapsed="false">
      <c r="A697" s="98" t="s">
        <v>31</v>
      </c>
      <c r="B697" s="99" t="s">
        <v>2133</v>
      </c>
      <c r="C697" s="99" t="s">
        <v>130</v>
      </c>
      <c r="D697" s="98" t="s">
        <v>1050</v>
      </c>
      <c r="E697" s="100" t="s">
        <v>2134</v>
      </c>
      <c r="F697" s="101" t="n">
        <v>1</v>
      </c>
      <c r="G697" s="101" t="s">
        <v>133</v>
      </c>
      <c r="H697" s="102" t="n">
        <v>2434</v>
      </c>
      <c r="I697" s="103" t="n">
        <v>2434</v>
      </c>
      <c r="J697" s="104" t="s">
        <v>215</v>
      </c>
      <c r="K697" s="104" t="n">
        <v>1</v>
      </c>
      <c r="L697" s="101" t="n">
        <v>1</v>
      </c>
      <c r="M697" s="104" t="s">
        <v>902</v>
      </c>
      <c r="N697" s="98"/>
      <c r="O697" s="105" t="n">
        <f aca="false">IF(M697="Y",I697,IF(ISNUMBER(H697),H697*L697,0))</f>
        <v>2434</v>
      </c>
      <c r="P697" s="106" t="str">
        <f aca="false">IF(J697="","",J697&amp;"|"&amp;A697&amp;"|"&amp;K697)</f>
        <v>R038|Scholzen|1</v>
      </c>
    </row>
    <row r="698" customFormat="false" ht="15" hidden="false" customHeight="false" outlineLevel="0" collapsed="false">
      <c r="A698" s="98" t="s">
        <v>31</v>
      </c>
      <c r="B698" s="99" t="s">
        <v>2135</v>
      </c>
      <c r="C698" s="99" t="s">
        <v>130</v>
      </c>
      <c r="D698" s="98" t="s">
        <v>1050</v>
      </c>
      <c r="E698" s="100" t="s">
        <v>2136</v>
      </c>
      <c r="F698" s="101" t="n">
        <v>1</v>
      </c>
      <c r="G698" s="101" t="s">
        <v>133</v>
      </c>
      <c r="H698" s="102" t="n">
        <v>2121</v>
      </c>
      <c r="I698" s="103" t="n">
        <v>2121</v>
      </c>
      <c r="J698" s="104" t="s">
        <v>221</v>
      </c>
      <c r="K698" s="104" t="n">
        <v>1</v>
      </c>
      <c r="L698" s="101" t="n">
        <v>1</v>
      </c>
      <c r="M698" s="104" t="s">
        <v>902</v>
      </c>
      <c r="N698" s="98"/>
      <c r="O698" s="105" t="n">
        <f aca="false">IF(M698="Y",I698,IF(ISNUMBER(H698),H698*L698,0))</f>
        <v>2121</v>
      </c>
      <c r="P698" s="106" t="str">
        <f aca="false">IF(J698="","",J698&amp;"|"&amp;A698&amp;"|"&amp;K698)</f>
        <v>R041|Scholzen|1</v>
      </c>
    </row>
    <row r="699" customFormat="false" ht="15" hidden="false" customHeight="false" outlineLevel="0" collapsed="false">
      <c r="A699" s="98" t="s">
        <v>31</v>
      </c>
      <c r="B699" s="99" t="s">
        <v>2137</v>
      </c>
      <c r="C699" s="99" t="s">
        <v>130</v>
      </c>
      <c r="D699" s="98" t="s">
        <v>1050</v>
      </c>
      <c r="E699" s="100" t="s">
        <v>2093</v>
      </c>
      <c r="F699" s="101" t="n">
        <v>1</v>
      </c>
      <c r="G699" s="101" t="s">
        <v>133</v>
      </c>
      <c r="H699" s="102" t="n">
        <v>429</v>
      </c>
      <c r="I699" s="103" t="n">
        <v>429</v>
      </c>
      <c r="J699" s="104" t="s">
        <v>162</v>
      </c>
      <c r="K699" s="104" t="n">
        <v>1</v>
      </c>
      <c r="L699" s="101" t="n">
        <v>1</v>
      </c>
      <c r="M699" s="104" t="s">
        <v>902</v>
      </c>
      <c r="N699" s="98"/>
      <c r="O699" s="105" t="n">
        <f aca="false">IF(M699="Y",I699,IF(ISNUMBER(H699),H699*L699,0))</f>
        <v>429</v>
      </c>
      <c r="P699" s="106" t="str">
        <f aca="false">IF(J699="","",J699&amp;"|"&amp;A699&amp;"|"&amp;K699)</f>
        <v>R014|Scholzen|1</v>
      </c>
    </row>
    <row r="700" customFormat="false" ht="15" hidden="false" customHeight="false" outlineLevel="0" collapsed="false">
      <c r="A700" s="98" t="s">
        <v>31</v>
      </c>
      <c r="B700" s="99" t="s">
        <v>2138</v>
      </c>
      <c r="C700" s="99" t="s">
        <v>130</v>
      </c>
      <c r="D700" s="98" t="s">
        <v>1050</v>
      </c>
      <c r="E700" s="100" t="s">
        <v>2107</v>
      </c>
      <c r="F700" s="101" t="n">
        <v>2</v>
      </c>
      <c r="G700" s="101" t="s">
        <v>133</v>
      </c>
      <c r="H700" s="102" t="n">
        <v>175.88</v>
      </c>
      <c r="I700" s="103" t="n">
        <v>351.76</v>
      </c>
      <c r="J700" s="104" t="s">
        <v>301</v>
      </c>
      <c r="K700" s="104" t="n">
        <v>1</v>
      </c>
      <c r="L700" s="101" t="n">
        <v>2</v>
      </c>
      <c r="M700" s="104" t="s">
        <v>902</v>
      </c>
      <c r="N700" s="98"/>
      <c r="O700" s="105" t="n">
        <f aca="false">IF(M700="Y",I700,IF(ISNUMBER(H700),H700*L700,0))</f>
        <v>351.76</v>
      </c>
      <c r="P700" s="106" t="str">
        <f aca="false">IF(J700="","",J700&amp;"|"&amp;A700&amp;"|"&amp;K700)</f>
        <v>R074|Scholzen|1</v>
      </c>
    </row>
    <row r="701" customFormat="false" ht="15" hidden="false" customHeight="false" outlineLevel="0" collapsed="false">
      <c r="A701" s="98" t="s">
        <v>31</v>
      </c>
      <c r="B701" s="99" t="s">
        <v>2139</v>
      </c>
      <c r="C701" s="99" t="s">
        <v>130</v>
      </c>
      <c r="D701" s="98" t="s">
        <v>1050</v>
      </c>
      <c r="E701" s="100" t="s">
        <v>2058</v>
      </c>
      <c r="F701" s="101" t="n">
        <v>3</v>
      </c>
      <c r="G701" s="101" t="s">
        <v>133</v>
      </c>
      <c r="H701" s="102" t="n">
        <v>58.13</v>
      </c>
      <c r="I701" s="103" t="n">
        <v>174.39</v>
      </c>
      <c r="J701" s="104" t="s">
        <v>312</v>
      </c>
      <c r="K701" s="104" t="n">
        <v>1</v>
      </c>
      <c r="L701" s="101" t="n">
        <v>3</v>
      </c>
      <c r="M701" s="104" t="s">
        <v>902</v>
      </c>
      <c r="N701" s="98"/>
      <c r="O701" s="105" t="n">
        <f aca="false">IF(M701="Y",I701,IF(ISNUMBER(H701),H701*L701,0))</f>
        <v>174.39</v>
      </c>
      <c r="P701" s="106" t="str">
        <f aca="false">IF(J701="","",J701&amp;"|"&amp;A701&amp;"|"&amp;K701)</f>
        <v>R078|Scholzen|1</v>
      </c>
    </row>
    <row r="702" customFormat="false" ht="15" hidden="false" customHeight="false" outlineLevel="0" collapsed="false">
      <c r="A702" s="98" t="s">
        <v>31</v>
      </c>
      <c r="B702" s="99" t="s">
        <v>2140</v>
      </c>
      <c r="C702" s="99" t="s">
        <v>130</v>
      </c>
      <c r="D702" s="98" t="s">
        <v>1050</v>
      </c>
      <c r="E702" s="100" t="s">
        <v>2141</v>
      </c>
      <c r="F702" s="101" t="n">
        <v>19</v>
      </c>
      <c r="G702" s="101" t="s">
        <v>178</v>
      </c>
      <c r="H702" s="102" t="n">
        <v>71.67</v>
      </c>
      <c r="I702" s="103" t="n">
        <v>1361.73</v>
      </c>
      <c r="J702" s="104" t="s">
        <v>180</v>
      </c>
      <c r="K702" s="104" t="n">
        <v>1</v>
      </c>
      <c r="L702" s="101" t="n">
        <v>19</v>
      </c>
      <c r="M702" s="104" t="s">
        <v>902</v>
      </c>
      <c r="N702" s="98"/>
      <c r="O702" s="105" t="n">
        <f aca="false">IF(M702="Y",I702,IF(ISNUMBER(H702),H702*L702,0))</f>
        <v>1361.73</v>
      </c>
      <c r="P702" s="106" t="str">
        <f aca="false">IF(J702="","",J702&amp;"|"&amp;A702&amp;"|"&amp;K702)</f>
        <v>R021|Scholzen|1</v>
      </c>
    </row>
    <row r="703" customFormat="false" ht="15" hidden="false" customHeight="false" outlineLevel="0" collapsed="false">
      <c r="A703" s="98" t="s">
        <v>31</v>
      </c>
      <c r="B703" s="99" t="s">
        <v>2142</v>
      </c>
      <c r="C703" s="99" t="s">
        <v>457</v>
      </c>
      <c r="D703" s="98"/>
      <c r="E703" s="100" t="s">
        <v>2143</v>
      </c>
      <c r="F703" s="101" t="n">
        <v>560</v>
      </c>
      <c r="G703" s="101" t="s">
        <v>178</v>
      </c>
      <c r="H703" s="102" t="n">
        <v>8.97</v>
      </c>
      <c r="I703" s="103" t="n">
        <v>5023.2</v>
      </c>
      <c r="J703" s="104" t="s">
        <v>456</v>
      </c>
      <c r="K703" s="104" t="n">
        <v>1</v>
      </c>
      <c r="L703" s="101" t="n">
        <v>560</v>
      </c>
      <c r="M703" s="104" t="s">
        <v>902</v>
      </c>
      <c r="N703" s="98"/>
      <c r="O703" s="105" t="n">
        <f aca="false">IF(M703="Y",I703,IF(ISNUMBER(H703),H703*L703,0))</f>
        <v>5023.2</v>
      </c>
      <c r="P703" s="106" t="str">
        <f aca="false">IF(J703="","",J703&amp;"|"&amp;A703&amp;"|"&amp;K703)</f>
        <v>R139|Scholzen|1</v>
      </c>
    </row>
    <row r="704" customFormat="false" ht="15" hidden="false" customHeight="false" outlineLevel="0" collapsed="false">
      <c r="A704" s="98" t="s">
        <v>31</v>
      </c>
      <c r="B704" s="99" t="s">
        <v>2144</v>
      </c>
      <c r="C704" s="99" t="s">
        <v>457</v>
      </c>
      <c r="D704" s="98"/>
      <c r="E704" s="100" t="s">
        <v>2145</v>
      </c>
      <c r="F704" s="101" t="n">
        <v>1000</v>
      </c>
      <c r="G704" s="101" t="s">
        <v>178</v>
      </c>
      <c r="H704" s="102" t="n">
        <v>398.66</v>
      </c>
      <c r="I704" s="103" t="n">
        <v>398.66</v>
      </c>
      <c r="J704" s="104" t="s">
        <v>459</v>
      </c>
      <c r="K704" s="104" t="n">
        <v>1</v>
      </c>
      <c r="L704" s="101" t="n">
        <v>1000</v>
      </c>
      <c r="M704" s="104" t="s">
        <v>902</v>
      </c>
      <c r="N704" s="98" t="s">
        <v>2146</v>
      </c>
      <c r="O704" s="105" t="n">
        <f aca="false">IF(M704="Y",I704,IF(ISNUMBER(H704),H704*L704,0))</f>
        <v>398.66</v>
      </c>
      <c r="P704" s="106" t="str">
        <f aca="false">IF(J704="","",J704&amp;"|"&amp;A704&amp;"|"&amp;K704)</f>
        <v>R140|Scholzen|1</v>
      </c>
    </row>
    <row r="705" customFormat="false" ht="15" hidden="false" customHeight="false" outlineLevel="0" collapsed="false">
      <c r="A705" s="98" t="s">
        <v>31</v>
      </c>
      <c r="B705" s="99" t="s">
        <v>2147</v>
      </c>
      <c r="C705" s="99" t="s">
        <v>457</v>
      </c>
      <c r="D705" s="98"/>
      <c r="E705" s="100" t="s">
        <v>2148</v>
      </c>
      <c r="F705" s="101" t="n">
        <v>18</v>
      </c>
      <c r="G705" s="101" t="s">
        <v>133</v>
      </c>
      <c r="H705" s="102" t="n">
        <v>77.18</v>
      </c>
      <c r="I705" s="103" t="n">
        <v>1389.24</v>
      </c>
      <c r="J705" s="104" t="s">
        <v>465</v>
      </c>
      <c r="K705" s="104" t="n">
        <v>1</v>
      </c>
      <c r="L705" s="101" t="n">
        <v>18</v>
      </c>
      <c r="M705" s="104" t="s">
        <v>902</v>
      </c>
      <c r="N705" s="98"/>
      <c r="O705" s="105" t="n">
        <f aca="false">IF(M705="Y",I705,IF(ISNUMBER(H705),H705*L705,0))</f>
        <v>1389.24</v>
      </c>
      <c r="P705" s="106" t="str">
        <f aca="false">IF(J705="","",J705&amp;"|"&amp;A705&amp;"|"&amp;K705)</f>
        <v>R142|Scholzen|1</v>
      </c>
    </row>
    <row r="706" customFormat="false" ht="15" hidden="false" customHeight="false" outlineLevel="0" collapsed="false">
      <c r="A706" s="98" t="s">
        <v>31</v>
      </c>
      <c r="B706" s="99" t="s">
        <v>2149</v>
      </c>
      <c r="C706" s="99" t="s">
        <v>481</v>
      </c>
      <c r="D706" s="98"/>
      <c r="E706" s="100" t="s">
        <v>2150</v>
      </c>
      <c r="F706" s="101" t="n">
        <v>3000</v>
      </c>
      <c r="G706" s="101" t="s">
        <v>178</v>
      </c>
      <c r="H706" s="102" t="n">
        <v>36.35</v>
      </c>
      <c r="I706" s="103" t="n">
        <v>109050</v>
      </c>
      <c r="J706" s="104" t="s">
        <v>480</v>
      </c>
      <c r="K706" s="104" t="n">
        <v>1</v>
      </c>
      <c r="L706" s="101" t="n">
        <v>3000</v>
      </c>
      <c r="M706" s="104" t="s">
        <v>902</v>
      </c>
      <c r="N706" s="98"/>
      <c r="O706" s="105" t="n">
        <f aca="false">IF(M706="Y",I706,IF(ISNUMBER(H706),H706*L706,0))</f>
        <v>109050</v>
      </c>
      <c r="P706" s="106" t="str">
        <f aca="false">IF(J706="","",J706&amp;"|"&amp;A706&amp;"|"&amp;K706)</f>
        <v>R147|Scholzen|1</v>
      </c>
    </row>
    <row r="707" customFormat="false" ht="15" hidden="false" customHeight="false" outlineLevel="0" collapsed="false">
      <c r="A707" s="98" t="s">
        <v>31</v>
      </c>
      <c r="B707" s="99" t="s">
        <v>2151</v>
      </c>
      <c r="C707" s="99" t="s">
        <v>481</v>
      </c>
      <c r="D707" s="98"/>
      <c r="E707" s="100" t="s">
        <v>2145</v>
      </c>
      <c r="F707" s="101" t="n">
        <v>3000</v>
      </c>
      <c r="G707" s="101" t="s">
        <v>178</v>
      </c>
      <c r="H707" s="102" t="n">
        <v>398.66</v>
      </c>
      <c r="I707" s="103" t="n">
        <v>1195.98</v>
      </c>
      <c r="J707" s="104" t="s">
        <v>484</v>
      </c>
      <c r="K707" s="104" t="n">
        <v>1</v>
      </c>
      <c r="L707" s="101" t="n">
        <v>3000</v>
      </c>
      <c r="M707" s="104" t="s">
        <v>902</v>
      </c>
      <c r="N707" s="98" t="s">
        <v>2146</v>
      </c>
      <c r="O707" s="105" t="n">
        <f aca="false">IF(M707="Y",I707,IF(ISNUMBER(H707),H707*L707,0))</f>
        <v>1195.98</v>
      </c>
      <c r="P707" s="106" t="str">
        <f aca="false">IF(J707="","",J707&amp;"|"&amp;A707&amp;"|"&amp;K707)</f>
        <v>R148|Scholzen|1</v>
      </c>
    </row>
    <row r="708" customFormat="false" ht="15" hidden="false" customHeight="false" outlineLevel="0" collapsed="false">
      <c r="A708" s="98" t="s">
        <v>31</v>
      </c>
      <c r="B708" s="99" t="s">
        <v>2152</v>
      </c>
      <c r="C708" s="99" t="s">
        <v>481</v>
      </c>
      <c r="D708" s="98"/>
      <c r="E708" s="100" t="s">
        <v>2153</v>
      </c>
      <c r="F708" s="101" t="n">
        <v>88</v>
      </c>
      <c r="G708" s="101" t="s">
        <v>133</v>
      </c>
      <c r="H708" s="102" t="n">
        <v>408.48</v>
      </c>
      <c r="I708" s="103" t="n">
        <v>35946.24</v>
      </c>
      <c r="J708" s="104" t="s">
        <v>486</v>
      </c>
      <c r="K708" s="104" t="n">
        <v>1</v>
      </c>
      <c r="L708" s="101" t="n">
        <v>88</v>
      </c>
      <c r="M708" s="104" t="s">
        <v>902</v>
      </c>
      <c r="N708" s="98"/>
      <c r="O708" s="105" t="n">
        <f aca="false">IF(M708="Y",I708,IF(ISNUMBER(H708),H708*L708,0))</f>
        <v>35946.24</v>
      </c>
      <c r="P708" s="106" t="str">
        <f aca="false">IF(J708="","",J708&amp;"|"&amp;A708&amp;"|"&amp;K708)</f>
        <v>R150|Scholzen|1</v>
      </c>
    </row>
    <row r="709" customFormat="false" ht="15" hidden="false" customHeight="false" outlineLevel="0" collapsed="false">
      <c r="A709" s="98" t="s">
        <v>31</v>
      </c>
      <c r="B709" s="99" t="s">
        <v>2154</v>
      </c>
      <c r="C709" s="99" t="s">
        <v>498</v>
      </c>
      <c r="D709" s="98"/>
      <c r="E709" s="100" t="s">
        <v>2155</v>
      </c>
      <c r="F709" s="101" t="n">
        <v>12500</v>
      </c>
      <c r="G709" s="101" t="s">
        <v>178</v>
      </c>
      <c r="H709" s="102" t="n">
        <v>30.29</v>
      </c>
      <c r="I709" s="103" t="n">
        <v>378625</v>
      </c>
      <c r="J709" s="104" t="s">
        <v>497</v>
      </c>
      <c r="K709" s="104" t="n">
        <v>1</v>
      </c>
      <c r="L709" s="101" t="n">
        <v>12500</v>
      </c>
      <c r="M709" s="104" t="s">
        <v>902</v>
      </c>
      <c r="N709" s="98"/>
      <c r="O709" s="105" t="n">
        <f aca="false">IF(M709="Y",I709,IF(ISNUMBER(H709),H709*L709,0))</f>
        <v>378625</v>
      </c>
      <c r="P709" s="106" t="str">
        <f aca="false">IF(J709="","",J709&amp;"|"&amp;A709&amp;"|"&amp;K709)</f>
        <v>R156|Scholzen|1</v>
      </c>
    </row>
    <row r="710" customFormat="false" ht="15" hidden="false" customHeight="false" outlineLevel="0" collapsed="false">
      <c r="A710" s="98" t="s">
        <v>31</v>
      </c>
      <c r="B710" s="99" t="s">
        <v>2156</v>
      </c>
      <c r="C710" s="99" t="s">
        <v>498</v>
      </c>
      <c r="D710" s="98"/>
      <c r="E710" s="100" t="s">
        <v>2145</v>
      </c>
      <c r="F710" s="101" t="n">
        <v>12500</v>
      </c>
      <c r="G710" s="101" t="s">
        <v>178</v>
      </c>
      <c r="H710" s="102" t="n">
        <v>398.66</v>
      </c>
      <c r="I710" s="103" t="n">
        <v>4983.25</v>
      </c>
      <c r="J710" s="104" t="s">
        <v>500</v>
      </c>
      <c r="K710" s="104" t="n">
        <v>1</v>
      </c>
      <c r="L710" s="101" t="n">
        <v>12500</v>
      </c>
      <c r="M710" s="104" t="s">
        <v>902</v>
      </c>
      <c r="N710" s="98" t="s">
        <v>2146</v>
      </c>
      <c r="O710" s="105" t="n">
        <f aca="false">IF(M710="Y",I710,IF(ISNUMBER(H710),H710*L710,0))</f>
        <v>4983.25</v>
      </c>
      <c r="P710" s="106" t="str">
        <f aca="false">IF(J710="","",J710&amp;"|"&amp;A710&amp;"|"&amp;K710)</f>
        <v>R157|Scholzen|1</v>
      </c>
    </row>
    <row r="711" customFormat="false" ht="15" hidden="false" customHeight="false" outlineLevel="0" collapsed="false">
      <c r="A711" s="98" t="s">
        <v>31</v>
      </c>
      <c r="B711" s="99" t="s">
        <v>2157</v>
      </c>
      <c r="C711" s="99" t="s">
        <v>498</v>
      </c>
      <c r="D711" s="98"/>
      <c r="E711" s="100" t="s">
        <v>2158</v>
      </c>
      <c r="F711" s="101" t="n">
        <v>132</v>
      </c>
      <c r="G711" s="101" t="s">
        <v>133</v>
      </c>
      <c r="H711" s="102" t="n">
        <v>164.48</v>
      </c>
      <c r="I711" s="103" t="n">
        <v>21711.36</v>
      </c>
      <c r="J711" s="104" t="s">
        <v>502</v>
      </c>
      <c r="K711" s="104" t="n">
        <v>1</v>
      </c>
      <c r="L711" s="101" t="n">
        <v>132</v>
      </c>
      <c r="M711" s="104" t="s">
        <v>902</v>
      </c>
      <c r="N711" s="98"/>
      <c r="O711" s="105" t="n">
        <f aca="false">IF(M711="Y",I711,IF(ISNUMBER(H711),H711*L711,0))</f>
        <v>21711.36</v>
      </c>
      <c r="P711" s="106" t="str">
        <f aca="false">IF(J711="","",J711&amp;"|"&amp;A711&amp;"|"&amp;K711)</f>
        <v>R159|Scholzen|1</v>
      </c>
    </row>
    <row r="712" customFormat="false" ht="15" hidden="false" customHeight="false" outlineLevel="0" collapsed="false">
      <c r="A712" s="98" t="s">
        <v>31</v>
      </c>
      <c r="B712" s="99" t="s">
        <v>2159</v>
      </c>
      <c r="C712" s="99" t="s">
        <v>511</v>
      </c>
      <c r="D712" s="98"/>
      <c r="E712" s="100" t="s">
        <v>2160</v>
      </c>
      <c r="F712" s="101" t="n">
        <v>16</v>
      </c>
      <c r="G712" s="101" t="s">
        <v>133</v>
      </c>
      <c r="H712" s="102" t="n">
        <v>1104.53</v>
      </c>
      <c r="I712" s="103" t="n">
        <v>17672.48</v>
      </c>
      <c r="J712" s="104" t="s">
        <v>510</v>
      </c>
      <c r="K712" s="104" t="n">
        <v>1</v>
      </c>
      <c r="L712" s="101" t="n">
        <v>16</v>
      </c>
      <c r="M712" s="104" t="s">
        <v>902</v>
      </c>
      <c r="N712" s="98"/>
      <c r="O712" s="105" t="n">
        <f aca="false">IF(M712="Y",I712,IF(ISNUMBER(H712),H712*L712,0))</f>
        <v>17672.48</v>
      </c>
      <c r="P712" s="106" t="str">
        <f aca="false">IF(J712="","",J712&amp;"|"&amp;A712&amp;"|"&amp;K712)</f>
        <v>R164|Scholzen|1</v>
      </c>
    </row>
    <row r="713" customFormat="false" ht="15" hidden="false" customHeight="false" outlineLevel="0" collapsed="false">
      <c r="A713" s="98" t="s">
        <v>31</v>
      </c>
      <c r="B713" s="99" t="s">
        <v>2161</v>
      </c>
      <c r="C713" s="99" t="s">
        <v>511</v>
      </c>
      <c r="D713" s="98"/>
      <c r="E713" s="100" t="s">
        <v>2064</v>
      </c>
      <c r="F713" s="101" t="n">
        <v>16</v>
      </c>
      <c r="G713" s="101" t="s">
        <v>133</v>
      </c>
      <c r="H713" s="102" t="n">
        <v>141.45</v>
      </c>
      <c r="I713" s="103" t="n">
        <v>2263.2</v>
      </c>
      <c r="J713" s="104" t="s">
        <v>513</v>
      </c>
      <c r="K713" s="104" t="n">
        <v>1</v>
      </c>
      <c r="L713" s="101" t="n">
        <v>16</v>
      </c>
      <c r="M713" s="104" t="s">
        <v>902</v>
      </c>
      <c r="N713" s="98"/>
      <c r="O713" s="105" t="n">
        <f aca="false">IF(M713="Y",I713,IF(ISNUMBER(H713),H713*L713,0))</f>
        <v>2263.2</v>
      </c>
      <c r="P713" s="106" t="str">
        <f aca="false">IF(J713="","",J713&amp;"|"&amp;A713&amp;"|"&amp;K713)</f>
        <v>R165|Scholzen|1</v>
      </c>
    </row>
    <row r="714" customFormat="false" ht="15" hidden="false" customHeight="false" outlineLevel="0" collapsed="false">
      <c r="A714" s="98" t="s">
        <v>31</v>
      </c>
      <c r="B714" s="99" t="s">
        <v>2162</v>
      </c>
      <c r="C714" s="99" t="s">
        <v>511</v>
      </c>
      <c r="D714" s="98"/>
      <c r="E714" s="100" t="s">
        <v>2163</v>
      </c>
      <c r="F714" s="101" t="n">
        <v>16</v>
      </c>
      <c r="G714" s="101" t="s">
        <v>133</v>
      </c>
      <c r="H714" s="102" t="n">
        <v>78.75</v>
      </c>
      <c r="I714" s="103" t="n">
        <v>1260</v>
      </c>
      <c r="J714" s="104" t="s">
        <v>516</v>
      </c>
      <c r="K714" s="104" t="n">
        <v>1</v>
      </c>
      <c r="L714" s="101" t="n">
        <v>16</v>
      </c>
      <c r="M714" s="104" t="s">
        <v>902</v>
      </c>
      <c r="N714" s="98"/>
      <c r="O714" s="105" t="n">
        <f aca="false">IF(M714="Y",I714,IF(ISNUMBER(H714),H714*L714,0))</f>
        <v>1260</v>
      </c>
      <c r="P714" s="106" t="str">
        <f aca="false">IF(J714="","",J714&amp;"|"&amp;A714&amp;"|"&amp;K714)</f>
        <v>R166|Scholzen|1</v>
      </c>
    </row>
    <row r="715" customFormat="false" ht="15" hidden="false" customHeight="false" outlineLevel="0" collapsed="false">
      <c r="A715" s="98" t="s">
        <v>31</v>
      </c>
      <c r="B715" s="99" t="s">
        <v>2164</v>
      </c>
      <c r="C715" s="99" t="s">
        <v>523</v>
      </c>
      <c r="D715" s="98"/>
      <c r="E715" s="100" t="s">
        <v>2165</v>
      </c>
      <c r="F715" s="101" t="n">
        <v>4</v>
      </c>
      <c r="G715" s="101" t="s">
        <v>133</v>
      </c>
      <c r="H715" s="102" t="n">
        <v>1918.32</v>
      </c>
      <c r="I715" s="103" t="n">
        <v>7673.28</v>
      </c>
      <c r="J715" s="104" t="s">
        <v>522</v>
      </c>
      <c r="K715" s="104" t="n">
        <v>1</v>
      </c>
      <c r="L715" s="101" t="n">
        <v>4</v>
      </c>
      <c r="M715" s="104" t="s">
        <v>902</v>
      </c>
      <c r="N715" s="98"/>
      <c r="O715" s="105" t="n">
        <f aca="false">IF(M715="Y",I715,IF(ISNUMBER(H715),H715*L715,0))</f>
        <v>7673.28</v>
      </c>
      <c r="P715" s="106" t="str">
        <f aca="false">IF(J715="","",J715&amp;"|"&amp;A715&amp;"|"&amp;K715)</f>
        <v>R168|Scholzen|1</v>
      </c>
    </row>
    <row r="716" customFormat="false" ht="15" hidden="false" customHeight="false" outlineLevel="0" collapsed="false">
      <c r="A716" s="98" t="s">
        <v>31</v>
      </c>
      <c r="B716" s="99" t="s">
        <v>2166</v>
      </c>
      <c r="C716" s="99" t="s">
        <v>523</v>
      </c>
      <c r="D716" s="98"/>
      <c r="E716" s="100" t="s">
        <v>2167</v>
      </c>
      <c r="F716" s="101" t="n">
        <v>2</v>
      </c>
      <c r="G716" s="101" t="s">
        <v>133</v>
      </c>
      <c r="H716" s="102" t="n">
        <v>181.25</v>
      </c>
      <c r="I716" s="103" t="n">
        <v>362.5</v>
      </c>
      <c r="J716" s="104" t="s">
        <v>635</v>
      </c>
      <c r="K716" s="104" t="n">
        <v>1</v>
      </c>
      <c r="L716" s="101" t="n">
        <v>2</v>
      </c>
      <c r="M716" s="104" t="s">
        <v>902</v>
      </c>
      <c r="N716" s="98"/>
      <c r="O716" s="105" t="n">
        <f aca="false">IF(M716="Y",I716,IF(ISNUMBER(H716),H716*L716,0))</f>
        <v>362.5</v>
      </c>
      <c r="P716" s="106" t="str">
        <f aca="false">IF(J716="","",J716&amp;"|"&amp;A716&amp;"|"&amp;K716)</f>
        <v>R220|Scholzen|1</v>
      </c>
    </row>
    <row r="717" customFormat="false" ht="15" hidden="false" customHeight="false" outlineLevel="0" collapsed="false">
      <c r="A717" s="98" t="s">
        <v>31</v>
      </c>
      <c r="B717" s="99" t="s">
        <v>2168</v>
      </c>
      <c r="C717" s="99" t="s">
        <v>523</v>
      </c>
      <c r="D717" s="98"/>
      <c r="E717" s="100" t="s">
        <v>2169</v>
      </c>
      <c r="F717" s="101" t="n">
        <v>2</v>
      </c>
      <c r="G717" s="101" t="s">
        <v>133</v>
      </c>
      <c r="H717" s="102" t="n">
        <v>92.4</v>
      </c>
      <c r="I717" s="103" t="n">
        <v>184.8</v>
      </c>
      <c r="J717" s="104" t="s">
        <v>528</v>
      </c>
      <c r="K717" s="104" t="n">
        <v>1</v>
      </c>
      <c r="L717" s="101" t="n">
        <v>2</v>
      </c>
      <c r="M717" s="104" t="s">
        <v>902</v>
      </c>
      <c r="N717" s="98"/>
      <c r="O717" s="105" t="n">
        <f aca="false">IF(M717="Y",I717,IF(ISNUMBER(H717),H717*L717,0))</f>
        <v>184.8</v>
      </c>
      <c r="P717" s="106" t="str">
        <f aca="false">IF(J717="","",J717&amp;"|"&amp;A717&amp;"|"&amp;K717)</f>
        <v>R171|Scholzen|1</v>
      </c>
    </row>
    <row r="718" customFormat="false" ht="15" hidden="false" customHeight="false" outlineLevel="0" collapsed="false">
      <c r="A718" s="98" t="s">
        <v>31</v>
      </c>
      <c r="B718" s="99" t="s">
        <v>2170</v>
      </c>
      <c r="C718" s="99" t="s">
        <v>523</v>
      </c>
      <c r="D718" s="98"/>
      <c r="E718" s="100" t="s">
        <v>2163</v>
      </c>
      <c r="F718" s="101" t="n">
        <v>2</v>
      </c>
      <c r="G718" s="101" t="s">
        <v>133</v>
      </c>
      <c r="H718" s="102" t="n">
        <v>78.75</v>
      </c>
      <c r="I718" s="103" t="n">
        <v>157.5</v>
      </c>
      <c r="J718" s="104" t="s">
        <v>641</v>
      </c>
      <c r="K718" s="104" t="n">
        <v>1</v>
      </c>
      <c r="L718" s="101" t="n">
        <v>2</v>
      </c>
      <c r="M718" s="104" t="s">
        <v>902</v>
      </c>
      <c r="N718" s="98"/>
      <c r="O718" s="105" t="n">
        <f aca="false">IF(M718="Y",I718,IF(ISNUMBER(H718),H718*L718,0))</f>
        <v>157.5</v>
      </c>
      <c r="P718" s="106" t="str">
        <f aca="false">IF(J718="","",J718&amp;"|"&amp;A718&amp;"|"&amp;K718)</f>
        <v>R222|Scholzen|1</v>
      </c>
    </row>
    <row r="719" customFormat="false" ht="15" hidden="false" customHeight="false" outlineLevel="0" collapsed="false">
      <c r="A719" s="98" t="s">
        <v>31</v>
      </c>
      <c r="B719" s="99" t="s">
        <v>2171</v>
      </c>
      <c r="C719" s="99" t="s">
        <v>523</v>
      </c>
      <c r="D719" s="98"/>
      <c r="E719" s="100" t="s">
        <v>2172</v>
      </c>
      <c r="F719" s="101" t="n">
        <v>2</v>
      </c>
      <c r="G719" s="101" t="s">
        <v>133</v>
      </c>
      <c r="H719" s="102" t="n">
        <v>145.5</v>
      </c>
      <c r="I719" s="103" t="n">
        <v>291</v>
      </c>
      <c r="J719" s="104" t="s">
        <v>532</v>
      </c>
      <c r="K719" s="104" t="n">
        <v>1</v>
      </c>
      <c r="L719" s="101" t="n">
        <v>2</v>
      </c>
      <c r="M719" s="104" t="s">
        <v>902</v>
      </c>
      <c r="N719" s="98"/>
      <c r="O719" s="105" t="n">
        <f aca="false">IF(M719="Y",I719,IF(ISNUMBER(H719),H719*L719,0))</f>
        <v>291</v>
      </c>
      <c r="P719" s="106" t="str">
        <f aca="false">IF(J719="","",J719&amp;"|"&amp;A719&amp;"|"&amp;K719)</f>
        <v>R173|Scholzen|1</v>
      </c>
    </row>
    <row r="720" customFormat="false" ht="15" hidden="false" customHeight="false" outlineLevel="0" collapsed="false">
      <c r="A720" s="98" t="s">
        <v>31</v>
      </c>
      <c r="B720" s="99" t="s">
        <v>2173</v>
      </c>
      <c r="C720" s="99" t="s">
        <v>523</v>
      </c>
      <c r="D720" s="98"/>
      <c r="E720" s="100" t="s">
        <v>2064</v>
      </c>
      <c r="F720" s="101" t="n">
        <v>4</v>
      </c>
      <c r="G720" s="101" t="s">
        <v>133</v>
      </c>
      <c r="H720" s="102" t="n">
        <v>141.45</v>
      </c>
      <c r="I720" s="103" t="n">
        <v>565.8</v>
      </c>
      <c r="J720" s="104" t="s">
        <v>525</v>
      </c>
      <c r="K720" s="104" t="n">
        <v>1</v>
      </c>
      <c r="L720" s="101" t="n">
        <v>4</v>
      </c>
      <c r="M720" s="104" t="s">
        <v>902</v>
      </c>
      <c r="N720" s="98"/>
      <c r="O720" s="105" t="n">
        <f aca="false">IF(M720="Y",I720,IF(ISNUMBER(H720),H720*L720,0))</f>
        <v>565.8</v>
      </c>
      <c r="P720" s="106" t="str">
        <f aca="false">IF(J720="","",J720&amp;"|"&amp;A720&amp;"|"&amp;K720)</f>
        <v>R169|Scholzen|1</v>
      </c>
    </row>
    <row r="721" customFormat="false" ht="15" hidden="false" customHeight="false" outlineLevel="0" collapsed="false">
      <c r="A721" s="98" t="s">
        <v>31</v>
      </c>
      <c r="B721" s="99" t="s">
        <v>2174</v>
      </c>
      <c r="C721" s="99" t="s">
        <v>523</v>
      </c>
      <c r="D721" s="98"/>
      <c r="E721" s="100" t="s">
        <v>2175</v>
      </c>
      <c r="F721" s="101" t="n">
        <v>4</v>
      </c>
      <c r="G721" s="101" t="s">
        <v>133</v>
      </c>
      <c r="H721" s="102" t="n">
        <v>106.05</v>
      </c>
      <c r="I721" s="103" t="n">
        <v>424.2</v>
      </c>
      <c r="J721" s="104" t="s">
        <v>526</v>
      </c>
      <c r="K721" s="104" t="n">
        <v>1</v>
      </c>
      <c r="L721" s="101" t="n">
        <v>4</v>
      </c>
      <c r="M721" s="104" t="s">
        <v>902</v>
      </c>
      <c r="N721" s="98"/>
      <c r="O721" s="105" t="n">
        <f aca="false">IF(M721="Y",I721,IF(ISNUMBER(H721),H721*L721,0))</f>
        <v>424.2</v>
      </c>
      <c r="P721" s="106" t="str">
        <f aca="false">IF(J721="","",J721&amp;"|"&amp;A721&amp;"|"&amp;K721)</f>
        <v>R170|Scholzen|1</v>
      </c>
    </row>
    <row r="722" customFormat="false" ht="15" hidden="false" customHeight="false" outlineLevel="0" collapsed="false">
      <c r="A722" s="98" t="s">
        <v>31</v>
      </c>
      <c r="B722" s="99" t="s">
        <v>2176</v>
      </c>
      <c r="C722" s="99" t="s">
        <v>540</v>
      </c>
      <c r="D722" s="98"/>
      <c r="E722" s="100" t="s">
        <v>2060</v>
      </c>
      <c r="F722" s="101" t="n">
        <v>16</v>
      </c>
      <c r="G722" s="101" t="s">
        <v>133</v>
      </c>
      <c r="H722" s="102" t="n">
        <v>3434.76</v>
      </c>
      <c r="I722" s="103" t="n">
        <v>54956.16</v>
      </c>
      <c r="J722" s="104" t="s">
        <v>539</v>
      </c>
      <c r="K722" s="104" t="n">
        <v>1</v>
      </c>
      <c r="L722" s="101" t="n">
        <v>16</v>
      </c>
      <c r="M722" s="104" t="s">
        <v>902</v>
      </c>
      <c r="N722" s="98"/>
      <c r="O722" s="105" t="n">
        <f aca="false">IF(M722="Y",I722,IF(ISNUMBER(H722),H722*L722,0))</f>
        <v>54956.16</v>
      </c>
      <c r="P722" s="106" t="str">
        <f aca="false">IF(J722="","",J722&amp;"|"&amp;A722&amp;"|"&amp;K722)</f>
        <v>R176|Scholzen|1</v>
      </c>
    </row>
    <row r="723" customFormat="false" ht="15" hidden="false" customHeight="false" outlineLevel="0" collapsed="false">
      <c r="A723" s="98" t="s">
        <v>31</v>
      </c>
      <c r="B723" s="99" t="s">
        <v>2177</v>
      </c>
      <c r="C723" s="99" t="s">
        <v>540</v>
      </c>
      <c r="D723" s="98"/>
      <c r="E723" s="100" t="s">
        <v>2064</v>
      </c>
      <c r="F723" s="101" t="n">
        <v>16</v>
      </c>
      <c r="G723" s="101" t="s">
        <v>133</v>
      </c>
      <c r="H723" s="102" t="n">
        <v>141.45</v>
      </c>
      <c r="I723" s="103" t="n">
        <v>2263.2</v>
      </c>
      <c r="J723" s="104" t="s">
        <v>541</v>
      </c>
      <c r="K723" s="104" t="n">
        <v>1</v>
      </c>
      <c r="L723" s="101" t="n">
        <v>16</v>
      </c>
      <c r="M723" s="104" t="s">
        <v>902</v>
      </c>
      <c r="N723" s="98"/>
      <c r="O723" s="105" t="n">
        <f aca="false">IF(M723="Y",I723,IF(ISNUMBER(H723),H723*L723,0))</f>
        <v>2263.2</v>
      </c>
      <c r="P723" s="106" t="str">
        <f aca="false">IF(J723="","",J723&amp;"|"&amp;A723&amp;"|"&amp;K723)</f>
        <v>R177|Scholzen|1</v>
      </c>
    </row>
    <row r="724" customFormat="false" ht="15" hidden="false" customHeight="false" outlineLevel="0" collapsed="false">
      <c r="A724" s="98" t="s">
        <v>31</v>
      </c>
      <c r="B724" s="99" t="s">
        <v>2178</v>
      </c>
      <c r="C724" s="99" t="s">
        <v>540</v>
      </c>
      <c r="D724" s="98"/>
      <c r="E724" s="100" t="s">
        <v>2000</v>
      </c>
      <c r="F724" s="101" t="n">
        <v>16</v>
      </c>
      <c r="G724" s="101" t="s">
        <v>133</v>
      </c>
      <c r="H724" s="102" t="n">
        <v>193.73</v>
      </c>
      <c r="I724" s="103" t="n">
        <v>3099.68</v>
      </c>
      <c r="J724" s="104" t="s">
        <v>542</v>
      </c>
      <c r="K724" s="104" t="n">
        <v>1</v>
      </c>
      <c r="L724" s="101" t="n">
        <v>16</v>
      </c>
      <c r="M724" s="104" t="s">
        <v>902</v>
      </c>
      <c r="N724" s="98"/>
      <c r="O724" s="105" t="n">
        <f aca="false">IF(M724="Y",I724,IF(ISNUMBER(H724),H724*L724,0))</f>
        <v>3099.68</v>
      </c>
      <c r="P724" s="106" t="str">
        <f aca="false">IF(J724="","",J724&amp;"|"&amp;A724&amp;"|"&amp;K724)</f>
        <v>R178|Scholzen|1</v>
      </c>
    </row>
    <row r="725" customFormat="false" ht="15" hidden="false" customHeight="false" outlineLevel="0" collapsed="false">
      <c r="A725" s="98" t="s">
        <v>31</v>
      </c>
      <c r="B725" s="99" t="s">
        <v>2179</v>
      </c>
      <c r="C725" s="99" t="s">
        <v>552</v>
      </c>
      <c r="D725" s="98"/>
      <c r="E725" s="100" t="s">
        <v>2180</v>
      </c>
      <c r="F725" s="101" t="n">
        <v>12</v>
      </c>
      <c r="G725" s="101" t="s">
        <v>133</v>
      </c>
      <c r="H725" s="102" t="n">
        <v>4100</v>
      </c>
      <c r="I725" s="103" t="n">
        <v>49200</v>
      </c>
      <c r="J725" s="104" t="s">
        <v>551</v>
      </c>
      <c r="K725" s="104" t="n">
        <v>1</v>
      </c>
      <c r="L725" s="101" t="n">
        <v>12</v>
      </c>
      <c r="M725" s="104" t="s">
        <v>902</v>
      </c>
      <c r="N725" s="98"/>
      <c r="O725" s="105" t="n">
        <f aca="false">IF(M725="Y",I725,IF(ISNUMBER(H725),H725*L725,0))</f>
        <v>49200</v>
      </c>
      <c r="P725" s="106" t="str">
        <f aca="false">IF(J725="","",J725&amp;"|"&amp;A725&amp;"|"&amp;K725)</f>
        <v>R183|Scholzen|1</v>
      </c>
    </row>
    <row r="726" customFormat="false" ht="15" hidden="false" customHeight="false" outlineLevel="0" collapsed="false">
      <c r="A726" s="98" t="s">
        <v>31</v>
      </c>
      <c r="B726" s="99" t="s">
        <v>2181</v>
      </c>
      <c r="C726" s="99" t="s">
        <v>552</v>
      </c>
      <c r="D726" s="98"/>
      <c r="E726" s="100" t="s">
        <v>2064</v>
      </c>
      <c r="F726" s="101" t="n">
        <v>12</v>
      </c>
      <c r="G726" s="101" t="s">
        <v>133</v>
      </c>
      <c r="H726" s="102" t="n">
        <v>141.45</v>
      </c>
      <c r="I726" s="103" t="n">
        <v>1697.4</v>
      </c>
      <c r="J726" s="104" t="s">
        <v>555</v>
      </c>
      <c r="K726" s="104" t="n">
        <v>1</v>
      </c>
      <c r="L726" s="101" t="n">
        <v>12</v>
      </c>
      <c r="M726" s="104" t="s">
        <v>902</v>
      </c>
      <c r="N726" s="98"/>
      <c r="O726" s="105" t="n">
        <f aca="false">IF(M726="Y",I726,IF(ISNUMBER(H726),H726*L726,0))</f>
        <v>1697.4</v>
      </c>
      <c r="P726" s="106" t="str">
        <f aca="false">IF(J726="","",J726&amp;"|"&amp;A726&amp;"|"&amp;K726)</f>
        <v>R184|Scholzen|1</v>
      </c>
    </row>
    <row r="727" customFormat="false" ht="15" hidden="false" customHeight="false" outlineLevel="0" collapsed="false">
      <c r="A727" s="98" t="s">
        <v>31</v>
      </c>
      <c r="B727" s="99" t="s">
        <v>2182</v>
      </c>
      <c r="C727" s="99" t="s">
        <v>552</v>
      </c>
      <c r="D727" s="98"/>
      <c r="E727" s="100" t="s">
        <v>564</v>
      </c>
      <c r="F727" s="101" t="n">
        <v>1</v>
      </c>
      <c r="G727" s="101" t="s">
        <v>133</v>
      </c>
      <c r="H727" s="102" t="n">
        <v>693.59</v>
      </c>
      <c r="I727" s="103" t="n">
        <v>693.59</v>
      </c>
      <c r="J727" s="104" t="s">
        <v>563</v>
      </c>
      <c r="K727" s="104" t="n">
        <v>1</v>
      </c>
      <c r="L727" s="101" t="n">
        <v>1</v>
      </c>
      <c r="M727" s="104" t="s">
        <v>902</v>
      </c>
      <c r="N727" s="98"/>
      <c r="O727" s="105" t="n">
        <f aca="false">IF(M727="Y",I727,IF(ISNUMBER(H727),H727*L727,0))</f>
        <v>693.59</v>
      </c>
      <c r="P727" s="106" t="str">
        <f aca="false">IF(J727="","",J727&amp;"|"&amp;A727&amp;"|"&amp;K727)</f>
        <v>R189|Scholzen|1</v>
      </c>
    </row>
    <row r="728" customFormat="false" ht="15" hidden="false" customHeight="false" outlineLevel="0" collapsed="false">
      <c r="A728" s="98" t="s">
        <v>31</v>
      </c>
      <c r="B728" s="99" t="s">
        <v>2183</v>
      </c>
      <c r="C728" s="99" t="s">
        <v>552</v>
      </c>
      <c r="D728" s="98"/>
      <c r="E728" s="100" t="s">
        <v>566</v>
      </c>
      <c r="F728" s="101" t="n">
        <v>1</v>
      </c>
      <c r="G728" s="101" t="s">
        <v>133</v>
      </c>
      <c r="H728" s="102" t="n">
        <v>16.82</v>
      </c>
      <c r="I728" s="103" t="n">
        <v>16.82</v>
      </c>
      <c r="J728" s="104" t="s">
        <v>565</v>
      </c>
      <c r="K728" s="104" t="n">
        <v>1</v>
      </c>
      <c r="L728" s="101" t="n">
        <v>1</v>
      </c>
      <c r="M728" s="104" t="s">
        <v>902</v>
      </c>
      <c r="N728" s="98"/>
      <c r="O728" s="105" t="n">
        <f aca="false">IF(M728="Y",I728,IF(ISNUMBER(H728),H728*L728,0))</f>
        <v>16.82</v>
      </c>
      <c r="P728" s="106" t="str">
        <f aca="false">IF(J728="","",J728&amp;"|"&amp;A728&amp;"|"&amp;K728)</f>
        <v>R190|Scholzen|1</v>
      </c>
    </row>
    <row r="729" customFormat="false" ht="15" hidden="false" customHeight="false" outlineLevel="0" collapsed="false">
      <c r="A729" s="98" t="s">
        <v>31</v>
      </c>
      <c r="B729" s="99" t="s">
        <v>2184</v>
      </c>
      <c r="C729" s="99" t="s">
        <v>552</v>
      </c>
      <c r="D729" s="98"/>
      <c r="E729" s="100" t="s">
        <v>2105</v>
      </c>
      <c r="F729" s="101" t="n">
        <v>12</v>
      </c>
      <c r="G729" s="101" t="s">
        <v>133</v>
      </c>
      <c r="H729" s="102" t="n">
        <v>399.53</v>
      </c>
      <c r="I729" s="103" t="n">
        <v>4794.36</v>
      </c>
      <c r="J729" s="104" t="s">
        <v>556</v>
      </c>
      <c r="K729" s="104" t="n">
        <v>1</v>
      </c>
      <c r="L729" s="101" t="n">
        <v>12</v>
      </c>
      <c r="M729" s="104" t="s">
        <v>902</v>
      </c>
      <c r="N729" s="98"/>
      <c r="O729" s="105" t="n">
        <f aca="false">IF(M729="Y",I729,IF(ISNUMBER(H729),H729*L729,0))</f>
        <v>4794.36</v>
      </c>
      <c r="P729" s="106" t="str">
        <f aca="false">IF(J729="","",J729&amp;"|"&amp;A729&amp;"|"&amp;K729)</f>
        <v>R185|Scholzen|1</v>
      </c>
    </row>
    <row r="730" customFormat="false" ht="15" hidden="false" customHeight="false" outlineLevel="0" collapsed="false">
      <c r="A730" s="98" t="s">
        <v>31</v>
      </c>
      <c r="B730" s="99" t="s">
        <v>2185</v>
      </c>
      <c r="C730" s="99" t="s">
        <v>569</v>
      </c>
      <c r="D730" s="98"/>
      <c r="E730" s="100" t="s">
        <v>2186</v>
      </c>
      <c r="F730" s="101" t="n">
        <v>2</v>
      </c>
      <c r="G730" s="101" t="s">
        <v>133</v>
      </c>
      <c r="H730" s="102" t="n">
        <v>381.75</v>
      </c>
      <c r="I730" s="103" t="n">
        <v>763.5</v>
      </c>
      <c r="J730" s="104" t="s">
        <v>568</v>
      </c>
      <c r="K730" s="104" t="n">
        <v>1</v>
      </c>
      <c r="L730" s="101" t="n">
        <v>2</v>
      </c>
      <c r="M730" s="104" t="s">
        <v>902</v>
      </c>
      <c r="N730" s="98"/>
      <c r="O730" s="105" t="n">
        <f aca="false">IF(M730="Y",I730,IF(ISNUMBER(H730),H730*L730,0))</f>
        <v>763.5</v>
      </c>
      <c r="P730" s="106" t="str">
        <f aca="false">IF(J730="","",J730&amp;"|"&amp;A730&amp;"|"&amp;K730)</f>
        <v>R191|Scholzen|1</v>
      </c>
    </row>
    <row r="731" customFormat="false" ht="15" hidden="false" customHeight="false" outlineLevel="0" collapsed="false">
      <c r="A731" s="98" t="s">
        <v>31</v>
      </c>
      <c r="B731" s="99" t="s">
        <v>2187</v>
      </c>
      <c r="C731" s="99" t="s">
        <v>569</v>
      </c>
      <c r="D731" s="98"/>
      <c r="E731" s="100" t="s">
        <v>2000</v>
      </c>
      <c r="F731" s="101" t="n">
        <v>4</v>
      </c>
      <c r="G731" s="101" t="s">
        <v>133</v>
      </c>
      <c r="H731" s="102" t="n">
        <v>193.73</v>
      </c>
      <c r="I731" s="103" t="n">
        <v>774.92</v>
      </c>
      <c r="J731" s="104" t="s">
        <v>571</v>
      </c>
      <c r="K731" s="104" t="n">
        <v>1</v>
      </c>
      <c r="L731" s="101" t="n">
        <v>4</v>
      </c>
      <c r="M731" s="104" t="s">
        <v>902</v>
      </c>
      <c r="N731" s="98"/>
      <c r="O731" s="105" t="n">
        <f aca="false">IF(M731="Y",I731,IF(ISNUMBER(H731),H731*L731,0))</f>
        <v>774.92</v>
      </c>
      <c r="P731" s="106" t="str">
        <f aca="false">IF(J731="","",J731&amp;"|"&amp;A731&amp;"|"&amp;K731)</f>
        <v>R192|Scholzen|1</v>
      </c>
    </row>
    <row r="732" customFormat="false" ht="15" hidden="false" customHeight="false" outlineLevel="0" collapsed="false">
      <c r="A732" s="98" t="s">
        <v>31</v>
      </c>
      <c r="B732" s="99" t="s">
        <v>2188</v>
      </c>
      <c r="C732" s="99" t="s">
        <v>574</v>
      </c>
      <c r="D732" s="98"/>
      <c r="E732" s="100" t="s">
        <v>1996</v>
      </c>
      <c r="F732" s="101" t="n">
        <v>1</v>
      </c>
      <c r="G732" s="101" t="s">
        <v>133</v>
      </c>
      <c r="H732" s="102" t="n">
        <v>465.75</v>
      </c>
      <c r="I732" s="103" t="n">
        <v>465.75</v>
      </c>
      <c r="J732" s="104" t="s">
        <v>573</v>
      </c>
      <c r="K732" s="104" t="n">
        <v>1</v>
      </c>
      <c r="L732" s="101" t="n">
        <v>1</v>
      </c>
      <c r="M732" s="104" t="s">
        <v>902</v>
      </c>
      <c r="N732" s="98"/>
      <c r="O732" s="105" t="n">
        <f aca="false">IF(M732="Y",I732,IF(ISNUMBER(H732),H732*L732,0))</f>
        <v>465.75</v>
      </c>
      <c r="P732" s="106" t="str">
        <f aca="false">IF(J732="","",J732&amp;"|"&amp;A732&amp;"|"&amp;K732)</f>
        <v>R193|Scholzen|1</v>
      </c>
    </row>
    <row r="733" customFormat="false" ht="15" hidden="false" customHeight="false" outlineLevel="0" collapsed="false">
      <c r="A733" s="98" t="s">
        <v>31</v>
      </c>
      <c r="B733" s="99" t="s">
        <v>2189</v>
      </c>
      <c r="C733" s="99" t="s">
        <v>574</v>
      </c>
      <c r="D733" s="98"/>
      <c r="E733" s="100" t="s">
        <v>2000</v>
      </c>
      <c r="F733" s="101" t="n">
        <v>2</v>
      </c>
      <c r="G733" s="101" t="s">
        <v>133</v>
      </c>
      <c r="H733" s="102" t="n">
        <v>193.73</v>
      </c>
      <c r="I733" s="103" t="n">
        <v>387.46</v>
      </c>
      <c r="J733" s="104" t="s">
        <v>576</v>
      </c>
      <c r="K733" s="104" t="n">
        <v>1</v>
      </c>
      <c r="L733" s="101" t="n">
        <v>2</v>
      </c>
      <c r="M733" s="104" t="s">
        <v>902</v>
      </c>
      <c r="N733" s="98"/>
      <c r="O733" s="105" t="n">
        <f aca="false">IF(M733="Y",I733,IF(ISNUMBER(H733),H733*L733,0))</f>
        <v>387.46</v>
      </c>
      <c r="P733" s="106" t="str">
        <f aca="false">IF(J733="","",J733&amp;"|"&amp;A733&amp;"|"&amp;K733)</f>
        <v>R194|Scholzen|1</v>
      </c>
    </row>
    <row r="734" customFormat="false" ht="15" hidden="false" customHeight="false" outlineLevel="0" collapsed="false">
      <c r="A734" s="98" t="s">
        <v>31</v>
      </c>
      <c r="B734" s="99" t="s">
        <v>2190</v>
      </c>
      <c r="C734" s="99" t="s">
        <v>579</v>
      </c>
      <c r="D734" s="98"/>
      <c r="E734" s="100" t="s">
        <v>2191</v>
      </c>
      <c r="F734" s="101" t="n">
        <v>1</v>
      </c>
      <c r="G734" s="101" t="s">
        <v>133</v>
      </c>
      <c r="H734" s="102" t="n">
        <v>697.5</v>
      </c>
      <c r="I734" s="103" t="n">
        <v>697.5</v>
      </c>
      <c r="J734" s="104" t="s">
        <v>581</v>
      </c>
      <c r="K734" s="104" t="n">
        <v>1</v>
      </c>
      <c r="L734" s="101" t="n">
        <v>1</v>
      </c>
      <c r="M734" s="104" t="s">
        <v>902</v>
      </c>
      <c r="N734" s="98"/>
      <c r="O734" s="105" t="n">
        <f aca="false">IF(M734="Y",I734,IF(ISNUMBER(H734),H734*L734,0))</f>
        <v>697.5</v>
      </c>
      <c r="P734" s="106" t="str">
        <f aca="false">IF(J734="","",J734&amp;"|"&amp;A734&amp;"|"&amp;K734)</f>
        <v>R196|Scholzen|1</v>
      </c>
    </row>
    <row r="735" customFormat="false" ht="15" hidden="false" customHeight="false" outlineLevel="0" collapsed="false">
      <c r="A735" s="98" t="s">
        <v>31</v>
      </c>
      <c r="B735" s="99" t="s">
        <v>2192</v>
      </c>
      <c r="C735" s="99" t="s">
        <v>579</v>
      </c>
      <c r="D735" s="98"/>
      <c r="E735" s="100" t="s">
        <v>2193</v>
      </c>
      <c r="F735" s="101" t="n">
        <v>11</v>
      </c>
      <c r="G735" s="101" t="s">
        <v>133</v>
      </c>
      <c r="H735" s="102" t="n">
        <v>1348.5</v>
      </c>
      <c r="I735" s="103" t="n">
        <v>14833.5</v>
      </c>
      <c r="J735" s="104" t="s">
        <v>578</v>
      </c>
      <c r="K735" s="104" t="n">
        <v>1</v>
      </c>
      <c r="L735" s="101" t="n">
        <v>11</v>
      </c>
      <c r="M735" s="104" t="s">
        <v>902</v>
      </c>
      <c r="N735" s="98"/>
      <c r="O735" s="105" t="n">
        <f aca="false">IF(M735="Y",I735,IF(ISNUMBER(H735),H735*L735,0))</f>
        <v>14833.5</v>
      </c>
      <c r="P735" s="106" t="str">
        <f aca="false">IF(J735="","",J735&amp;"|"&amp;A735&amp;"|"&amp;K735)</f>
        <v>R195|Scholzen|1</v>
      </c>
    </row>
    <row r="736" customFormat="false" ht="15" hidden="false" customHeight="false" outlineLevel="0" collapsed="false">
      <c r="A736" s="98" t="s">
        <v>31</v>
      </c>
      <c r="B736" s="99" t="s">
        <v>2194</v>
      </c>
      <c r="C736" s="99" t="s">
        <v>579</v>
      </c>
      <c r="D736" s="98"/>
      <c r="E736" s="100" t="s">
        <v>2012</v>
      </c>
      <c r="F736" s="101" t="n">
        <v>8</v>
      </c>
      <c r="G736" s="101" t="s">
        <v>133</v>
      </c>
      <c r="H736" s="102" t="n">
        <v>488.25</v>
      </c>
      <c r="I736" s="103" t="n">
        <v>3906</v>
      </c>
      <c r="J736" s="104" t="s">
        <v>583</v>
      </c>
      <c r="K736" s="104" t="n">
        <v>1</v>
      </c>
      <c r="L736" s="101" t="n">
        <v>8</v>
      </c>
      <c r="M736" s="104" t="s">
        <v>902</v>
      </c>
      <c r="N736" s="98"/>
      <c r="O736" s="105" t="n">
        <f aca="false">IF(M736="Y",I736,IF(ISNUMBER(H736),H736*L736,0))</f>
        <v>3906</v>
      </c>
      <c r="P736" s="106" t="str">
        <f aca="false">IF(J736="","",J736&amp;"|"&amp;A736&amp;"|"&amp;K736)</f>
        <v>R197|Scholzen|1</v>
      </c>
    </row>
    <row r="737" customFormat="false" ht="15" hidden="false" customHeight="false" outlineLevel="0" collapsed="false">
      <c r="A737" s="98" t="s">
        <v>31</v>
      </c>
      <c r="B737" s="99" t="s">
        <v>2195</v>
      </c>
      <c r="C737" s="99" t="s">
        <v>579</v>
      </c>
      <c r="D737" s="98"/>
      <c r="E737" s="100" t="s">
        <v>2000</v>
      </c>
      <c r="F737" s="101" t="n">
        <v>10</v>
      </c>
      <c r="G737" s="101" t="s">
        <v>133</v>
      </c>
      <c r="H737" s="102" t="n">
        <v>193.73</v>
      </c>
      <c r="I737" s="103" t="n">
        <v>1937.3</v>
      </c>
      <c r="J737" s="104" t="s">
        <v>585</v>
      </c>
      <c r="K737" s="104" t="n">
        <v>1</v>
      </c>
      <c r="L737" s="101" t="n">
        <v>10</v>
      </c>
      <c r="M737" s="104" t="s">
        <v>902</v>
      </c>
      <c r="N737" s="98"/>
      <c r="O737" s="105" t="n">
        <f aca="false">IF(M737="Y",I737,IF(ISNUMBER(H737),H737*L737,0))</f>
        <v>1937.3</v>
      </c>
      <c r="P737" s="106" t="str">
        <f aca="false">IF(J737="","",J737&amp;"|"&amp;A737&amp;"|"&amp;K737)</f>
        <v>R198|Scholzen|1</v>
      </c>
    </row>
    <row r="738" customFormat="false" ht="15" hidden="false" customHeight="false" outlineLevel="0" collapsed="false">
      <c r="A738" s="98" t="s">
        <v>31</v>
      </c>
      <c r="B738" s="99" t="s">
        <v>2196</v>
      </c>
      <c r="C738" s="99" t="s">
        <v>579</v>
      </c>
      <c r="D738" s="98"/>
      <c r="E738" s="100" t="s">
        <v>2058</v>
      </c>
      <c r="F738" s="101" t="n">
        <v>22</v>
      </c>
      <c r="G738" s="101" t="s">
        <v>133</v>
      </c>
      <c r="H738" s="102" t="n">
        <v>58.13</v>
      </c>
      <c r="I738" s="103" t="n">
        <v>1278.86</v>
      </c>
      <c r="J738" s="104" t="s">
        <v>586</v>
      </c>
      <c r="K738" s="104" t="n">
        <v>1</v>
      </c>
      <c r="L738" s="101" t="n">
        <v>22</v>
      </c>
      <c r="M738" s="104" t="s">
        <v>902</v>
      </c>
      <c r="N738" s="98"/>
      <c r="O738" s="105" t="n">
        <f aca="false">IF(M738="Y",I738,IF(ISNUMBER(H738),H738*L738,0))</f>
        <v>1278.86</v>
      </c>
      <c r="P738" s="106" t="str">
        <f aca="false">IF(J738="","",J738&amp;"|"&amp;A738&amp;"|"&amp;K738)</f>
        <v>R199|Scholzen|1</v>
      </c>
    </row>
    <row r="739" customFormat="false" ht="15" hidden="false" customHeight="false" outlineLevel="0" collapsed="false">
      <c r="A739" s="98" t="s">
        <v>31</v>
      </c>
      <c r="B739" s="99" t="s">
        <v>2197</v>
      </c>
      <c r="C739" s="99" t="s">
        <v>579</v>
      </c>
      <c r="D739" s="98"/>
      <c r="E739" s="100" t="s">
        <v>2198</v>
      </c>
      <c r="F739" s="101" t="n">
        <v>12</v>
      </c>
      <c r="G739" s="101" t="s">
        <v>133</v>
      </c>
      <c r="H739" s="102" t="n">
        <v>32.68</v>
      </c>
      <c r="I739" s="103" t="n">
        <v>392.16</v>
      </c>
      <c r="J739" s="104" t="s">
        <v>588</v>
      </c>
      <c r="K739" s="104" t="n">
        <v>1</v>
      </c>
      <c r="L739" s="101" t="n">
        <v>12</v>
      </c>
      <c r="M739" s="104" t="s">
        <v>902</v>
      </c>
      <c r="N739" s="98"/>
      <c r="O739" s="105" t="n">
        <f aca="false">IF(M739="Y",I739,IF(ISNUMBER(H739),H739*L739,0))</f>
        <v>392.16</v>
      </c>
      <c r="P739" s="106" t="str">
        <f aca="false">IF(J739="","",J739&amp;"|"&amp;A739&amp;"|"&amp;K739)</f>
        <v>R200|Scholzen|1</v>
      </c>
    </row>
    <row r="740" customFormat="false" ht="15" hidden="false" customHeight="false" outlineLevel="0" collapsed="false">
      <c r="A740" s="98" t="s">
        <v>31</v>
      </c>
      <c r="B740" s="99" t="s">
        <v>2199</v>
      </c>
      <c r="C740" s="99" t="s">
        <v>591</v>
      </c>
      <c r="D740" s="98"/>
      <c r="E740" s="100" t="s">
        <v>2200</v>
      </c>
      <c r="F740" s="101" t="n">
        <v>1</v>
      </c>
      <c r="G740" s="101" t="s">
        <v>133</v>
      </c>
      <c r="H740" s="102" t="n">
        <v>1219.16</v>
      </c>
      <c r="I740" s="103" t="n">
        <v>1219.16</v>
      </c>
      <c r="J740" s="104" t="s">
        <v>593</v>
      </c>
      <c r="K740" s="104" t="n">
        <v>1</v>
      </c>
      <c r="L740" s="101" t="n">
        <v>1</v>
      </c>
      <c r="M740" s="104" t="s">
        <v>902</v>
      </c>
      <c r="N740" s="98"/>
      <c r="O740" s="105" t="n">
        <f aca="false">IF(M740="Y",I740,IF(ISNUMBER(H740),H740*L740,0))</f>
        <v>1219.16</v>
      </c>
      <c r="P740" s="106" t="str">
        <f aca="false">IF(J740="","",J740&amp;"|"&amp;A740&amp;"|"&amp;K740)</f>
        <v>R202|Scholzen|1</v>
      </c>
    </row>
    <row r="741" customFormat="false" ht="15" hidden="false" customHeight="false" outlineLevel="0" collapsed="false">
      <c r="A741" s="98" t="s">
        <v>31</v>
      </c>
      <c r="B741" s="99" t="s">
        <v>2201</v>
      </c>
      <c r="C741" s="99" t="s">
        <v>591</v>
      </c>
      <c r="D741" s="98"/>
      <c r="E741" s="100" t="s">
        <v>2202</v>
      </c>
      <c r="F741" s="101" t="n">
        <v>1</v>
      </c>
      <c r="G741" s="101" t="s">
        <v>133</v>
      </c>
      <c r="H741" s="102" t="n">
        <v>2342.83</v>
      </c>
      <c r="I741" s="103" t="n">
        <v>2342.83</v>
      </c>
      <c r="J741" s="104" t="s">
        <v>590</v>
      </c>
      <c r="K741" s="104" t="n">
        <v>1</v>
      </c>
      <c r="L741" s="101" t="n">
        <v>1</v>
      </c>
      <c r="M741" s="104" t="s">
        <v>902</v>
      </c>
      <c r="N741" s="98"/>
      <c r="O741" s="105" t="n">
        <f aca="false">IF(M741="Y",I741,IF(ISNUMBER(H741),H741*L741,0))</f>
        <v>2342.83</v>
      </c>
      <c r="P741" s="106" t="str">
        <f aca="false">IF(J741="","",J741&amp;"|"&amp;A741&amp;"|"&amp;K741)</f>
        <v>R201|Scholzen|1</v>
      </c>
    </row>
    <row r="742" customFormat="false" ht="15" hidden="false" customHeight="false" outlineLevel="0" collapsed="false">
      <c r="A742" s="98" t="s">
        <v>31</v>
      </c>
      <c r="B742" s="99" t="s">
        <v>2203</v>
      </c>
      <c r="C742" s="99" t="s">
        <v>591</v>
      </c>
      <c r="D742" s="98"/>
      <c r="E742" s="100" t="s">
        <v>2105</v>
      </c>
      <c r="F742" s="101" t="n">
        <v>2</v>
      </c>
      <c r="G742" s="101" t="s">
        <v>133</v>
      </c>
      <c r="H742" s="102" t="n">
        <v>399.53</v>
      </c>
      <c r="I742" s="103" t="n">
        <v>799.06</v>
      </c>
      <c r="J742" s="104" t="s">
        <v>597</v>
      </c>
      <c r="K742" s="104" t="n">
        <v>1</v>
      </c>
      <c r="L742" s="101" t="n">
        <v>2</v>
      </c>
      <c r="M742" s="104" t="s">
        <v>902</v>
      </c>
      <c r="N742" s="98"/>
      <c r="O742" s="105" t="n">
        <f aca="false">IF(M742="Y",I742,IF(ISNUMBER(H742),H742*L742,0))</f>
        <v>799.06</v>
      </c>
      <c r="P742" s="106" t="str">
        <f aca="false">IF(J742="","",J742&amp;"|"&amp;A742&amp;"|"&amp;K742)</f>
        <v>R204|Scholzen|1</v>
      </c>
    </row>
    <row r="743" customFormat="false" ht="15" hidden="false" customHeight="false" outlineLevel="0" collapsed="false">
      <c r="A743" s="98" t="s">
        <v>31</v>
      </c>
      <c r="B743" s="99" t="s">
        <v>2204</v>
      </c>
      <c r="C743" s="99" t="s">
        <v>591</v>
      </c>
      <c r="D743" s="98"/>
      <c r="E743" s="100" t="s">
        <v>2205</v>
      </c>
      <c r="F743" s="101" t="n">
        <v>2</v>
      </c>
      <c r="G743" s="101" t="s">
        <v>133</v>
      </c>
      <c r="H743" s="102" t="n">
        <v>80.28</v>
      </c>
      <c r="I743" s="103" t="n">
        <v>160.56</v>
      </c>
      <c r="J743" s="104" t="s">
        <v>599</v>
      </c>
      <c r="K743" s="104" t="n">
        <v>1</v>
      </c>
      <c r="L743" s="101" t="n">
        <v>2</v>
      </c>
      <c r="M743" s="104" t="s">
        <v>902</v>
      </c>
      <c r="N743" s="98"/>
      <c r="O743" s="105" t="n">
        <f aca="false">IF(M743="Y",I743,IF(ISNUMBER(H743),H743*L743,0))</f>
        <v>160.56</v>
      </c>
      <c r="P743" s="106" t="str">
        <f aca="false">IF(J743="","",J743&amp;"|"&amp;A743&amp;"|"&amp;K743)</f>
        <v>R205|Scholzen|1</v>
      </c>
    </row>
    <row r="744" customFormat="false" ht="15" hidden="false" customHeight="false" outlineLevel="0" collapsed="false">
      <c r="A744" s="98" t="s">
        <v>31</v>
      </c>
      <c r="B744" s="99" t="s">
        <v>2206</v>
      </c>
      <c r="C744" s="99" t="s">
        <v>591</v>
      </c>
      <c r="D744" s="98"/>
      <c r="E744" s="100" t="s">
        <v>2198</v>
      </c>
      <c r="F744" s="101" t="n">
        <v>2</v>
      </c>
      <c r="G744" s="101" t="s">
        <v>133</v>
      </c>
      <c r="H744" s="102" t="n">
        <v>32.68</v>
      </c>
      <c r="I744" s="103" t="n">
        <v>65.36</v>
      </c>
      <c r="J744" s="104" t="s">
        <v>601</v>
      </c>
      <c r="K744" s="104" t="n">
        <v>1</v>
      </c>
      <c r="L744" s="101" t="n">
        <v>2</v>
      </c>
      <c r="M744" s="104" t="s">
        <v>902</v>
      </c>
      <c r="N744" s="98"/>
      <c r="O744" s="105" t="n">
        <f aca="false">IF(M744="Y",I744,IF(ISNUMBER(H744),H744*L744,0))</f>
        <v>65.36</v>
      </c>
      <c r="P744" s="106" t="str">
        <f aca="false">IF(J744="","",J744&amp;"|"&amp;A744&amp;"|"&amp;K744)</f>
        <v>R206|Scholzen|1</v>
      </c>
    </row>
    <row r="745" customFormat="false" ht="15" hidden="false" customHeight="false" outlineLevel="0" collapsed="false">
      <c r="A745" s="98" t="s">
        <v>31</v>
      </c>
      <c r="B745" s="99" t="s">
        <v>2207</v>
      </c>
      <c r="C745" s="99" t="s">
        <v>604</v>
      </c>
      <c r="D745" s="98"/>
      <c r="E745" s="100" t="s">
        <v>2208</v>
      </c>
      <c r="F745" s="101" t="n">
        <v>1</v>
      </c>
      <c r="G745" s="101" t="s">
        <v>133</v>
      </c>
      <c r="H745" s="102" t="n">
        <v>2490.35</v>
      </c>
      <c r="I745" s="103" t="n">
        <v>2490.35</v>
      </c>
      <c r="J745" s="104" t="s">
        <v>603</v>
      </c>
      <c r="K745" s="104" t="n">
        <v>1</v>
      </c>
      <c r="L745" s="101" t="n">
        <v>1</v>
      </c>
      <c r="M745" s="104" t="s">
        <v>902</v>
      </c>
      <c r="N745" s="98"/>
      <c r="O745" s="105" t="n">
        <f aca="false">IF(M745="Y",I745,IF(ISNUMBER(H745),H745*L745,0))</f>
        <v>2490.35</v>
      </c>
      <c r="P745" s="106" t="str">
        <f aca="false">IF(J745="","",J745&amp;"|"&amp;A745&amp;"|"&amp;K745)</f>
        <v>R207|Scholzen|1</v>
      </c>
    </row>
    <row r="746" customFormat="false" ht="15" hidden="false" customHeight="false" outlineLevel="0" collapsed="false">
      <c r="A746" s="98" t="s">
        <v>31</v>
      </c>
      <c r="B746" s="99" t="s">
        <v>2209</v>
      </c>
      <c r="C746" s="99" t="s">
        <v>604</v>
      </c>
      <c r="D746" s="98"/>
      <c r="E746" s="100" t="s">
        <v>2205</v>
      </c>
      <c r="F746" s="101" t="n">
        <v>2</v>
      </c>
      <c r="G746" s="101" t="s">
        <v>133</v>
      </c>
      <c r="H746" s="102" t="n">
        <v>80.28</v>
      </c>
      <c r="I746" s="103" t="n">
        <v>160.56</v>
      </c>
      <c r="J746" s="104" t="s">
        <v>611</v>
      </c>
      <c r="K746" s="104" t="n">
        <v>1</v>
      </c>
      <c r="L746" s="101" t="n">
        <v>2</v>
      </c>
      <c r="M746" s="104" t="s">
        <v>902</v>
      </c>
      <c r="N746" s="98"/>
      <c r="O746" s="105" t="n">
        <f aca="false">IF(M746="Y",I746,IF(ISNUMBER(H746),H746*L746,0))</f>
        <v>160.56</v>
      </c>
      <c r="P746" s="106" t="str">
        <f aca="false">IF(J746="","",J746&amp;"|"&amp;A746&amp;"|"&amp;K746)</f>
        <v>R210|Scholzen|1</v>
      </c>
    </row>
    <row r="747" customFormat="false" ht="15" hidden="false" customHeight="false" outlineLevel="0" collapsed="false">
      <c r="A747" s="98" t="s">
        <v>31</v>
      </c>
      <c r="B747" s="99" t="s">
        <v>2210</v>
      </c>
      <c r="C747" s="99" t="s">
        <v>604</v>
      </c>
      <c r="D747" s="98"/>
      <c r="E747" s="100" t="s">
        <v>2058</v>
      </c>
      <c r="F747" s="101" t="n">
        <v>1</v>
      </c>
      <c r="G747" s="101" t="s">
        <v>133</v>
      </c>
      <c r="H747" s="102" t="n">
        <v>58.13</v>
      </c>
      <c r="I747" s="103" t="n">
        <v>58.13</v>
      </c>
      <c r="J747" s="104" t="s">
        <v>613</v>
      </c>
      <c r="K747" s="104" t="n">
        <v>1</v>
      </c>
      <c r="L747" s="101" t="n">
        <v>1</v>
      </c>
      <c r="M747" s="104" t="s">
        <v>902</v>
      </c>
      <c r="N747" s="98"/>
      <c r="O747" s="105" t="n">
        <f aca="false">IF(M747="Y",I747,IF(ISNUMBER(H747),H747*L747,0))</f>
        <v>58.13</v>
      </c>
      <c r="P747" s="106" t="str">
        <f aca="false">IF(J747="","",J747&amp;"|"&amp;A747&amp;"|"&amp;K747)</f>
        <v>R211|Scholzen|1</v>
      </c>
    </row>
    <row r="748" customFormat="false" ht="15" hidden="false" customHeight="false" outlineLevel="0" collapsed="false">
      <c r="A748" s="98" t="s">
        <v>31</v>
      </c>
      <c r="B748" s="99" t="s">
        <v>2211</v>
      </c>
      <c r="C748" s="99" t="s">
        <v>604</v>
      </c>
      <c r="D748" s="98"/>
      <c r="E748" s="100" t="s">
        <v>2048</v>
      </c>
      <c r="F748" s="101" t="n">
        <v>1</v>
      </c>
      <c r="G748" s="101" t="s">
        <v>133</v>
      </c>
      <c r="H748" s="102" t="n">
        <v>784.77</v>
      </c>
      <c r="I748" s="103" t="n">
        <v>784.77</v>
      </c>
      <c r="J748" s="104" t="s">
        <v>606</v>
      </c>
      <c r="K748" s="104" t="n">
        <v>1</v>
      </c>
      <c r="L748" s="101" t="n">
        <v>1</v>
      </c>
      <c r="M748" s="104" t="s">
        <v>902</v>
      </c>
      <c r="N748" s="98"/>
      <c r="O748" s="105" t="n">
        <f aca="false">IF(M748="Y",I748,IF(ISNUMBER(H748),H748*L748,0))</f>
        <v>784.77</v>
      </c>
      <c r="P748" s="106" t="str">
        <f aca="false">IF(J748="","",J748&amp;"|"&amp;A748&amp;"|"&amp;K748)</f>
        <v>R208|Scholzen|1</v>
      </c>
    </row>
    <row r="749" customFormat="false" ht="15" hidden="false" customHeight="false" outlineLevel="0" collapsed="false">
      <c r="A749" s="98" t="s">
        <v>31</v>
      </c>
      <c r="B749" s="99" t="s">
        <v>2212</v>
      </c>
      <c r="C749" s="99" t="s">
        <v>604</v>
      </c>
      <c r="D749" s="98"/>
      <c r="E749" s="100" t="s">
        <v>2105</v>
      </c>
      <c r="F749" s="101" t="n">
        <v>2</v>
      </c>
      <c r="G749" s="101" t="s">
        <v>133</v>
      </c>
      <c r="H749" s="102" t="n">
        <v>399.53</v>
      </c>
      <c r="I749" s="103" t="n">
        <v>799.06</v>
      </c>
      <c r="J749" s="104" t="s">
        <v>609</v>
      </c>
      <c r="K749" s="104" t="n">
        <v>1</v>
      </c>
      <c r="L749" s="101" t="n">
        <v>2</v>
      </c>
      <c r="M749" s="104" t="s">
        <v>902</v>
      </c>
      <c r="N749" s="98"/>
      <c r="O749" s="105" t="n">
        <f aca="false">IF(M749="Y",I749,IF(ISNUMBER(H749),H749*L749,0))</f>
        <v>799.06</v>
      </c>
      <c r="P749" s="106" t="str">
        <f aca="false">IF(J749="","",J749&amp;"|"&amp;A749&amp;"|"&amp;K749)</f>
        <v>R209|Scholzen|1</v>
      </c>
    </row>
    <row r="750" customFormat="false" ht="15" hidden="false" customHeight="false" outlineLevel="0" collapsed="false">
      <c r="A750" s="98" t="s">
        <v>31</v>
      </c>
      <c r="B750" s="99" t="s">
        <v>2213</v>
      </c>
      <c r="C750" s="99" t="s">
        <v>616</v>
      </c>
      <c r="D750" s="98"/>
      <c r="E750" s="100" t="s">
        <v>2214</v>
      </c>
      <c r="F750" s="101" t="n">
        <v>1</v>
      </c>
      <c r="G750" s="101" t="s">
        <v>133</v>
      </c>
      <c r="H750" s="102" t="n">
        <v>16567.35</v>
      </c>
      <c r="I750" s="103" t="n">
        <v>16567.35</v>
      </c>
      <c r="J750" s="104" t="s">
        <v>615</v>
      </c>
      <c r="K750" s="104" t="n">
        <v>1</v>
      </c>
      <c r="L750" s="101" t="n">
        <v>1</v>
      </c>
      <c r="M750" s="104" t="s">
        <v>902</v>
      </c>
      <c r="N750" s="98"/>
      <c r="O750" s="105" t="n">
        <f aca="false">IF(M750="Y",I750,IF(ISNUMBER(H750),H750*L750,0))</f>
        <v>16567.35</v>
      </c>
      <c r="P750" s="106" t="str">
        <f aca="false">IF(J750="","",J750&amp;"|"&amp;A750&amp;"|"&amp;K750)</f>
        <v>R212|Scholzen|1</v>
      </c>
    </row>
    <row r="751" customFormat="false" ht="15" hidden="false" customHeight="false" outlineLevel="0" collapsed="false">
      <c r="A751" s="98" t="s">
        <v>31</v>
      </c>
      <c r="B751" s="99" t="s">
        <v>2215</v>
      </c>
      <c r="C751" s="99" t="s">
        <v>616</v>
      </c>
      <c r="D751" s="98"/>
      <c r="E751" s="100" t="s">
        <v>2216</v>
      </c>
      <c r="F751" s="101" t="n">
        <v>1</v>
      </c>
      <c r="G751" s="101" t="s">
        <v>133</v>
      </c>
      <c r="H751" s="102" t="n">
        <v>4482.66</v>
      </c>
      <c r="I751" s="103" t="n">
        <v>4482.66</v>
      </c>
      <c r="J751" s="104" t="s">
        <v>618</v>
      </c>
      <c r="K751" s="104" t="n">
        <v>1</v>
      </c>
      <c r="L751" s="101" t="n">
        <v>1</v>
      </c>
      <c r="M751" s="104" t="s">
        <v>902</v>
      </c>
      <c r="N751" s="98"/>
      <c r="O751" s="105" t="n">
        <f aca="false">IF(M751="Y",I751,IF(ISNUMBER(H751),H751*L751,0))</f>
        <v>4482.66</v>
      </c>
      <c r="P751" s="106" t="str">
        <f aca="false">IF(J751="","",J751&amp;"|"&amp;A751&amp;"|"&amp;K751)</f>
        <v>R213|Scholzen|1</v>
      </c>
    </row>
    <row r="752" customFormat="false" ht="15" hidden="false" customHeight="false" outlineLevel="0" collapsed="false">
      <c r="A752" s="98" t="s">
        <v>31</v>
      </c>
      <c r="B752" s="99" t="s">
        <v>2217</v>
      </c>
      <c r="C752" s="99" t="s">
        <v>616</v>
      </c>
      <c r="D752" s="98"/>
      <c r="E752" s="100" t="s">
        <v>2218</v>
      </c>
      <c r="F752" s="101" t="n">
        <v>4</v>
      </c>
      <c r="G752" s="101" t="s">
        <v>133</v>
      </c>
      <c r="H752" s="102" t="n">
        <v>1899</v>
      </c>
      <c r="I752" s="103" t="n">
        <v>7596</v>
      </c>
      <c r="J752" s="104" t="s">
        <v>620</v>
      </c>
      <c r="K752" s="104" t="n">
        <v>1</v>
      </c>
      <c r="L752" s="101" t="n">
        <v>4</v>
      </c>
      <c r="M752" s="104" t="s">
        <v>902</v>
      </c>
      <c r="N752" s="98"/>
      <c r="O752" s="105" t="n">
        <f aca="false">IF(M752="Y",I752,IF(ISNUMBER(H752),H752*L752,0))</f>
        <v>7596</v>
      </c>
      <c r="P752" s="106" t="str">
        <f aca="false">IF(J752="","",J752&amp;"|"&amp;A752&amp;"|"&amp;K752)</f>
        <v>R214|Scholzen|1</v>
      </c>
    </row>
    <row r="753" customFormat="false" ht="15" hidden="false" customHeight="false" outlineLevel="0" collapsed="false">
      <c r="A753" s="98" t="s">
        <v>31</v>
      </c>
      <c r="B753" s="99" t="s">
        <v>2219</v>
      </c>
      <c r="C753" s="99" t="s">
        <v>616</v>
      </c>
      <c r="D753" s="98"/>
      <c r="E753" s="100" t="s">
        <v>2220</v>
      </c>
      <c r="F753" s="101" t="n">
        <v>1</v>
      </c>
      <c r="G753" s="101" t="s">
        <v>133</v>
      </c>
      <c r="H753" s="102" t="n">
        <v>200</v>
      </c>
      <c r="I753" s="103" t="n">
        <v>200</v>
      </c>
      <c r="J753" s="104" t="s">
        <v>625</v>
      </c>
      <c r="K753" s="104" t="n">
        <v>1</v>
      </c>
      <c r="L753" s="101" t="n">
        <v>1</v>
      </c>
      <c r="M753" s="104" t="s">
        <v>902</v>
      </c>
      <c r="N753" s="98"/>
      <c r="O753" s="105" t="n">
        <f aca="false">IF(M753="Y",I753,IF(ISNUMBER(H753),H753*L753,0))</f>
        <v>200</v>
      </c>
      <c r="P753" s="106" t="str">
        <f aca="false">IF(J753="","",J753&amp;"|"&amp;A753&amp;"|"&amp;K753)</f>
        <v>R216|Scholzen|1</v>
      </c>
    </row>
    <row r="754" customFormat="false" ht="15" hidden="false" customHeight="false" outlineLevel="0" collapsed="false">
      <c r="A754" s="98" t="s">
        <v>31</v>
      </c>
      <c r="B754" s="99" t="s">
        <v>2221</v>
      </c>
      <c r="C754" s="99" t="s">
        <v>629</v>
      </c>
      <c r="D754" s="98"/>
      <c r="E754" s="100" t="s">
        <v>2222</v>
      </c>
      <c r="F754" s="101" t="n">
        <v>3</v>
      </c>
      <c r="G754" s="101" t="s">
        <v>133</v>
      </c>
      <c r="H754" s="102" t="n">
        <v>3545.64</v>
      </c>
      <c r="I754" s="103" t="n">
        <v>10636.92</v>
      </c>
      <c r="J754" s="104" t="s">
        <v>628</v>
      </c>
      <c r="K754" s="104" t="n">
        <v>1</v>
      </c>
      <c r="L754" s="101" t="n">
        <v>3</v>
      </c>
      <c r="M754" s="104" t="s">
        <v>902</v>
      </c>
      <c r="N754" s="98"/>
      <c r="O754" s="105" t="n">
        <f aca="false">IF(M754="Y",I754,IF(ISNUMBER(H754),H754*L754,0))</f>
        <v>10636.92</v>
      </c>
      <c r="P754" s="106" t="str">
        <f aca="false">IF(J754="","",J754&amp;"|"&amp;A754&amp;"|"&amp;K754)</f>
        <v>R217|Scholzen|1</v>
      </c>
    </row>
    <row r="755" customFormat="false" ht="15" hidden="false" customHeight="false" outlineLevel="0" collapsed="false">
      <c r="A755" s="98" t="s">
        <v>31</v>
      </c>
      <c r="B755" s="99" t="s">
        <v>2223</v>
      </c>
      <c r="C755" s="99" t="s">
        <v>629</v>
      </c>
      <c r="D755" s="98"/>
      <c r="E755" s="100" t="s">
        <v>2205</v>
      </c>
      <c r="F755" s="101" t="n">
        <v>6</v>
      </c>
      <c r="G755" s="101" t="s">
        <v>133</v>
      </c>
      <c r="H755" s="102" t="n">
        <v>80.28</v>
      </c>
      <c r="I755" s="103" t="n">
        <v>481.68</v>
      </c>
      <c r="J755" s="104" t="s">
        <v>631</v>
      </c>
      <c r="K755" s="104" t="n">
        <v>1</v>
      </c>
      <c r="L755" s="101" t="n">
        <v>6</v>
      </c>
      <c r="M755" s="104" t="s">
        <v>902</v>
      </c>
      <c r="N755" s="98"/>
      <c r="O755" s="105" t="n">
        <f aca="false">IF(M755="Y",I755,IF(ISNUMBER(H755),H755*L755,0))</f>
        <v>481.68</v>
      </c>
      <c r="P755" s="106" t="str">
        <f aca="false">IF(J755="","",J755&amp;"|"&amp;A755&amp;"|"&amp;K755)</f>
        <v>R218|Scholzen|1</v>
      </c>
    </row>
    <row r="756" customFormat="false" ht="15" hidden="false" customHeight="false" outlineLevel="0" collapsed="false">
      <c r="A756" s="98" t="s">
        <v>31</v>
      </c>
      <c r="B756" s="99" t="s">
        <v>2224</v>
      </c>
      <c r="C756" s="99" t="s">
        <v>629</v>
      </c>
      <c r="D756" s="98"/>
      <c r="E756" s="100" t="s">
        <v>2056</v>
      </c>
      <c r="F756" s="101" t="n">
        <v>6</v>
      </c>
      <c r="G756" s="101" t="s">
        <v>133</v>
      </c>
      <c r="H756" s="102" t="n">
        <v>124</v>
      </c>
      <c r="I756" s="103" t="n">
        <v>744</v>
      </c>
      <c r="J756" s="104" t="s">
        <v>633</v>
      </c>
      <c r="K756" s="104" t="n">
        <v>1</v>
      </c>
      <c r="L756" s="101" t="n">
        <v>6</v>
      </c>
      <c r="M756" s="104" t="s">
        <v>902</v>
      </c>
      <c r="N756" s="98"/>
      <c r="O756" s="105" t="n">
        <f aca="false">IF(M756="Y",I756,IF(ISNUMBER(H756),H756*L756,0))</f>
        <v>744</v>
      </c>
      <c r="P756" s="106" t="str">
        <f aca="false">IF(J756="","",J756&amp;"|"&amp;A756&amp;"|"&amp;K756)</f>
        <v>R219|Scholzen|1</v>
      </c>
    </row>
    <row r="757" customFormat="false" ht="15" hidden="false" customHeight="false" outlineLevel="0" collapsed="false">
      <c r="A757" s="98" t="s">
        <v>31</v>
      </c>
      <c r="B757" s="99" t="s">
        <v>2225</v>
      </c>
      <c r="C757" s="99" t="s">
        <v>636</v>
      </c>
      <c r="D757" s="98"/>
      <c r="E757" s="100" t="s">
        <v>2226</v>
      </c>
      <c r="F757" s="101" t="n">
        <v>2</v>
      </c>
      <c r="G757" s="101" t="s">
        <v>133</v>
      </c>
      <c r="H757" s="102" t="n">
        <v>356.25</v>
      </c>
      <c r="I757" s="103" t="n">
        <v>712.5</v>
      </c>
      <c r="J757" s="104" t="s">
        <v>639</v>
      </c>
      <c r="K757" s="104" t="n">
        <v>1</v>
      </c>
      <c r="L757" s="101" t="n">
        <v>2</v>
      </c>
      <c r="M757" s="104" t="s">
        <v>902</v>
      </c>
      <c r="N757" s="98"/>
      <c r="O757" s="105" t="n">
        <f aca="false">IF(M757="Y",I757,IF(ISNUMBER(H757),H757*L757,0))</f>
        <v>712.5</v>
      </c>
      <c r="P757" s="106" t="str">
        <f aca="false">IF(J757="","",J757&amp;"|"&amp;A757&amp;"|"&amp;K757)</f>
        <v>R221|Scholzen|1</v>
      </c>
    </row>
    <row r="758" customFormat="false" ht="15" hidden="false" customHeight="false" outlineLevel="0" collapsed="false">
      <c r="A758" s="98" t="s">
        <v>31</v>
      </c>
      <c r="B758" s="99" t="s">
        <v>2227</v>
      </c>
      <c r="C758" s="99" t="s">
        <v>636</v>
      </c>
      <c r="D758" s="98"/>
      <c r="E758" s="100" t="s">
        <v>2198</v>
      </c>
      <c r="F758" s="101" t="n">
        <v>2</v>
      </c>
      <c r="G758" s="101" t="s">
        <v>133</v>
      </c>
      <c r="H758" s="102" t="n">
        <v>32.68</v>
      </c>
      <c r="I758" s="103" t="n">
        <v>65.36</v>
      </c>
      <c r="J758" s="104" t="s">
        <v>644</v>
      </c>
      <c r="K758" s="104" t="n">
        <v>1</v>
      </c>
      <c r="L758" s="101" t="n">
        <v>2</v>
      </c>
      <c r="M758" s="104" t="s">
        <v>902</v>
      </c>
      <c r="N758" s="98"/>
      <c r="O758" s="105" t="n">
        <f aca="false">IF(M758="Y",I758,IF(ISNUMBER(H758),H758*L758,0))</f>
        <v>65.36</v>
      </c>
      <c r="P758" s="106" t="str">
        <f aca="false">IF(J758="","",J758&amp;"|"&amp;A758&amp;"|"&amp;K758)</f>
        <v>R224|Scholzen|1</v>
      </c>
    </row>
    <row r="759" customFormat="false" ht="15" hidden="false" customHeight="false" outlineLevel="0" collapsed="false">
      <c r="A759" s="98" t="s">
        <v>31</v>
      </c>
      <c r="B759" s="99" t="s">
        <v>2228</v>
      </c>
      <c r="C759" s="99" t="s">
        <v>647</v>
      </c>
      <c r="D759" s="98"/>
      <c r="E759" s="100" t="s">
        <v>2229</v>
      </c>
      <c r="F759" s="101" t="n">
        <v>1</v>
      </c>
      <c r="G759" s="101" t="s">
        <v>133</v>
      </c>
      <c r="H759" s="102" t="n">
        <v>1017.88</v>
      </c>
      <c r="I759" s="103" t="n">
        <v>1017.88</v>
      </c>
      <c r="J759" s="104" t="s">
        <v>646</v>
      </c>
      <c r="K759" s="104" t="n">
        <v>1</v>
      </c>
      <c r="L759" s="101" t="n">
        <v>1</v>
      </c>
      <c r="M759" s="104" t="s">
        <v>902</v>
      </c>
      <c r="N759" s="98"/>
      <c r="O759" s="105" t="n">
        <f aca="false">IF(M759="Y",I759,IF(ISNUMBER(H759),H759*L759,0))</f>
        <v>1017.88</v>
      </c>
      <c r="P759" s="106" t="str">
        <f aca="false">IF(J759="","",J759&amp;"|"&amp;A759&amp;"|"&amp;K759)</f>
        <v>R225|Scholzen|1</v>
      </c>
    </row>
    <row r="760" customFormat="false" ht="15" hidden="false" customHeight="false" outlineLevel="0" collapsed="false">
      <c r="A760" s="98" t="s">
        <v>31</v>
      </c>
      <c r="B760" s="99" t="s">
        <v>2230</v>
      </c>
      <c r="C760" s="99" t="s">
        <v>647</v>
      </c>
      <c r="D760" s="98"/>
      <c r="E760" s="100" t="s">
        <v>2198</v>
      </c>
      <c r="F760" s="101" t="n">
        <v>1</v>
      </c>
      <c r="G760" s="101" t="s">
        <v>133</v>
      </c>
      <c r="H760" s="102" t="n">
        <v>32.68</v>
      </c>
      <c r="I760" s="103" t="n">
        <v>32.68</v>
      </c>
      <c r="J760" s="104" t="s">
        <v>650</v>
      </c>
      <c r="K760" s="104" t="n">
        <v>1</v>
      </c>
      <c r="L760" s="101" t="n">
        <v>1</v>
      </c>
      <c r="M760" s="104" t="s">
        <v>902</v>
      </c>
      <c r="N760" s="98"/>
      <c r="O760" s="105" t="n">
        <f aca="false">IF(M760="Y",I760,IF(ISNUMBER(H760),H760*L760,0))</f>
        <v>32.68</v>
      </c>
      <c r="P760" s="106" t="str">
        <f aca="false">IF(J760="","",J760&amp;"|"&amp;A760&amp;"|"&amp;K760)</f>
        <v>R227|Scholzen|1</v>
      </c>
    </row>
    <row r="761" customFormat="false" ht="15" hidden="false" customHeight="false" outlineLevel="0" collapsed="false">
      <c r="A761" s="98" t="s">
        <v>31</v>
      </c>
      <c r="B761" s="99" t="s">
        <v>2231</v>
      </c>
      <c r="C761" s="99" t="s">
        <v>653</v>
      </c>
      <c r="D761" s="98"/>
      <c r="E761" s="100" t="s">
        <v>2232</v>
      </c>
      <c r="F761" s="101" t="n">
        <v>4</v>
      </c>
      <c r="G761" s="101" t="s">
        <v>133</v>
      </c>
      <c r="H761" s="102" t="n">
        <v>922.58</v>
      </c>
      <c r="I761" s="103" t="n">
        <v>3690.32</v>
      </c>
      <c r="J761" s="104" t="s">
        <v>652</v>
      </c>
      <c r="K761" s="104" t="n">
        <v>1</v>
      </c>
      <c r="L761" s="101" t="n">
        <v>4</v>
      </c>
      <c r="M761" s="104" t="s">
        <v>902</v>
      </c>
      <c r="N761" s="98"/>
      <c r="O761" s="105" t="n">
        <f aca="false">IF(M761="Y",I761,IF(ISNUMBER(H761),H761*L761,0))</f>
        <v>3690.32</v>
      </c>
      <c r="P761" s="106" t="str">
        <f aca="false">IF(J761="","",J761&amp;"|"&amp;A761&amp;"|"&amp;K761)</f>
        <v>R228|Scholzen|1</v>
      </c>
    </row>
    <row r="762" customFormat="false" ht="15" hidden="false" customHeight="false" outlineLevel="0" collapsed="false">
      <c r="A762" s="98" t="s">
        <v>31</v>
      </c>
      <c r="B762" s="99" t="s">
        <v>2233</v>
      </c>
      <c r="C762" s="99" t="s">
        <v>653</v>
      </c>
      <c r="D762" s="98"/>
      <c r="E762" s="100" t="s">
        <v>2052</v>
      </c>
      <c r="F762" s="101" t="n">
        <v>4</v>
      </c>
      <c r="G762" s="101" t="s">
        <v>133</v>
      </c>
      <c r="H762" s="102" t="n">
        <v>39.38</v>
      </c>
      <c r="I762" s="103" t="n">
        <v>157.52</v>
      </c>
      <c r="J762" s="104" t="s">
        <v>656</v>
      </c>
      <c r="K762" s="104" t="n">
        <v>1</v>
      </c>
      <c r="L762" s="101" t="n">
        <v>4</v>
      </c>
      <c r="M762" s="104" t="s">
        <v>902</v>
      </c>
      <c r="N762" s="98"/>
      <c r="O762" s="105" t="n">
        <f aca="false">IF(M762="Y",I762,IF(ISNUMBER(H762),H762*L762,0))</f>
        <v>157.52</v>
      </c>
      <c r="P762" s="106" t="str">
        <f aca="false">IF(J762="","",J762&amp;"|"&amp;A762&amp;"|"&amp;K762)</f>
        <v>R230|Scholzen|1</v>
      </c>
    </row>
    <row r="763" customFormat="false" ht="15" hidden="false" customHeight="false" outlineLevel="0" collapsed="false">
      <c r="A763" s="98" t="s">
        <v>31</v>
      </c>
      <c r="B763" s="99" t="s">
        <v>2234</v>
      </c>
      <c r="C763" s="99" t="s">
        <v>659</v>
      </c>
      <c r="D763" s="98"/>
      <c r="E763" s="100" t="s">
        <v>2014</v>
      </c>
      <c r="F763" s="101" t="n">
        <v>1</v>
      </c>
      <c r="G763" s="101" t="s">
        <v>133</v>
      </c>
      <c r="H763" s="102" t="n">
        <v>1395.07</v>
      </c>
      <c r="I763" s="103" t="n">
        <v>1395.07</v>
      </c>
      <c r="J763" s="104" t="s">
        <v>658</v>
      </c>
      <c r="K763" s="104" t="n">
        <v>1</v>
      </c>
      <c r="L763" s="101" t="n">
        <v>1</v>
      </c>
      <c r="M763" s="104" t="s">
        <v>902</v>
      </c>
      <c r="N763" s="98"/>
      <c r="O763" s="105" t="n">
        <f aca="false">IF(M763="Y",I763,IF(ISNUMBER(H763),H763*L763,0))</f>
        <v>1395.07</v>
      </c>
      <c r="P763" s="106" t="str">
        <f aca="false">IF(J763="","",J763&amp;"|"&amp;A763&amp;"|"&amp;K763)</f>
        <v>R231|Scholzen|1</v>
      </c>
    </row>
    <row r="764" customFormat="false" ht="15" hidden="false" customHeight="false" outlineLevel="0" collapsed="false">
      <c r="A764" s="98" t="s">
        <v>31</v>
      </c>
      <c r="B764" s="99" t="s">
        <v>2235</v>
      </c>
      <c r="C764" s="99" t="s">
        <v>659</v>
      </c>
      <c r="D764" s="98"/>
      <c r="E764" s="100" t="s">
        <v>2058</v>
      </c>
      <c r="F764" s="101" t="n">
        <v>1</v>
      </c>
      <c r="G764" s="101" t="s">
        <v>133</v>
      </c>
      <c r="H764" s="102" t="n">
        <v>58.13</v>
      </c>
      <c r="I764" s="103" t="n">
        <v>58.13</v>
      </c>
      <c r="J764" s="104" t="s">
        <v>661</v>
      </c>
      <c r="K764" s="104" t="n">
        <v>1</v>
      </c>
      <c r="L764" s="101" t="n">
        <v>1</v>
      </c>
      <c r="M764" s="104" t="s">
        <v>902</v>
      </c>
      <c r="N764" s="98"/>
      <c r="O764" s="105" t="n">
        <f aca="false">IF(M764="Y",I764,IF(ISNUMBER(H764),H764*L764,0))</f>
        <v>58.13</v>
      </c>
      <c r="P764" s="106" t="str">
        <f aca="false">IF(J764="","",J764&amp;"|"&amp;A764&amp;"|"&amp;K764)</f>
        <v>R233|Scholzen|1</v>
      </c>
    </row>
    <row r="765" customFormat="false" ht="15" hidden="false" customHeight="false" outlineLevel="0" collapsed="false">
      <c r="A765" s="98" t="s">
        <v>31</v>
      </c>
      <c r="B765" s="99" t="s">
        <v>2236</v>
      </c>
      <c r="C765" s="99" t="s">
        <v>664</v>
      </c>
      <c r="D765" s="98"/>
      <c r="E765" s="100" t="s">
        <v>2237</v>
      </c>
      <c r="F765" s="101" t="n">
        <v>1</v>
      </c>
      <c r="G765" s="101" t="s">
        <v>133</v>
      </c>
      <c r="H765" s="102" t="n">
        <v>2617.41</v>
      </c>
      <c r="I765" s="103" t="n">
        <v>2617.41</v>
      </c>
      <c r="J765" s="104" t="s">
        <v>663</v>
      </c>
      <c r="K765" s="104" t="n">
        <v>1</v>
      </c>
      <c r="L765" s="101" t="n">
        <v>1</v>
      </c>
      <c r="M765" s="104" t="s">
        <v>902</v>
      </c>
      <c r="N765" s="98"/>
      <c r="O765" s="105" t="n">
        <f aca="false">IF(M765="Y",I765,IF(ISNUMBER(H765),H765*L765,0))</f>
        <v>2617.41</v>
      </c>
      <c r="P765" s="106" t="str">
        <f aca="false">IF(J765="","",J765&amp;"|"&amp;A765&amp;"|"&amp;K765)</f>
        <v>R234|Scholzen|1</v>
      </c>
    </row>
    <row r="766" customFormat="false" ht="15" hidden="false" customHeight="false" outlineLevel="0" collapsed="false">
      <c r="A766" s="98" t="s">
        <v>31</v>
      </c>
      <c r="B766" s="99" t="s">
        <v>2238</v>
      </c>
      <c r="C766" s="99" t="s">
        <v>664</v>
      </c>
      <c r="D766" s="98"/>
      <c r="E766" s="100" t="s">
        <v>2205</v>
      </c>
      <c r="F766" s="101" t="n">
        <v>1</v>
      </c>
      <c r="G766" s="101" t="s">
        <v>133</v>
      </c>
      <c r="H766" s="102" t="n">
        <v>80.28</v>
      </c>
      <c r="I766" s="103" t="n">
        <v>80.28</v>
      </c>
      <c r="J766" s="104" t="s">
        <v>668</v>
      </c>
      <c r="K766" s="104" t="n">
        <v>1</v>
      </c>
      <c r="L766" s="101" t="n">
        <v>1</v>
      </c>
      <c r="M766" s="104" t="s">
        <v>902</v>
      </c>
      <c r="N766" s="98"/>
      <c r="O766" s="105" t="n">
        <f aca="false">IF(M766="Y",I766,IF(ISNUMBER(H766),H766*L766,0))</f>
        <v>80.28</v>
      </c>
      <c r="P766" s="106" t="str">
        <f aca="false">IF(J766="","",J766&amp;"|"&amp;A766&amp;"|"&amp;K766)</f>
        <v>R236|Scholzen|1</v>
      </c>
    </row>
    <row r="767" customFormat="false" ht="15" hidden="false" customHeight="false" outlineLevel="0" collapsed="false">
      <c r="A767" s="98" t="s">
        <v>31</v>
      </c>
      <c r="B767" s="99" t="s">
        <v>2239</v>
      </c>
      <c r="C767" s="99" t="s">
        <v>671</v>
      </c>
      <c r="D767" s="98"/>
      <c r="E767" s="100" t="s">
        <v>2240</v>
      </c>
      <c r="F767" s="101" t="n">
        <v>17</v>
      </c>
      <c r="G767" s="101" t="s">
        <v>133</v>
      </c>
      <c r="H767" s="102" t="n">
        <v>3583.17</v>
      </c>
      <c r="I767" s="103" t="n">
        <v>60913.89</v>
      </c>
      <c r="J767" s="104" t="s">
        <v>670</v>
      </c>
      <c r="K767" s="104" t="n">
        <v>1</v>
      </c>
      <c r="L767" s="101" t="n">
        <v>17</v>
      </c>
      <c r="M767" s="104" t="s">
        <v>902</v>
      </c>
      <c r="N767" s="98"/>
      <c r="O767" s="105" t="n">
        <f aca="false">IF(M767="Y",I767,IF(ISNUMBER(H767),H767*L767,0))</f>
        <v>60913.89</v>
      </c>
      <c r="P767" s="106" t="str">
        <f aca="false">IF(J767="","",J767&amp;"|"&amp;A767&amp;"|"&amp;K767)</f>
        <v>R237|Scholzen|1</v>
      </c>
    </row>
    <row r="768" customFormat="false" ht="15" hidden="false" customHeight="false" outlineLevel="0" collapsed="false">
      <c r="A768" s="98" t="s">
        <v>31</v>
      </c>
      <c r="B768" s="99" t="s">
        <v>2241</v>
      </c>
      <c r="C768" s="99" t="s">
        <v>671</v>
      </c>
      <c r="D768" s="98"/>
      <c r="E768" s="100" t="s">
        <v>2163</v>
      </c>
      <c r="F768" s="101" t="n">
        <v>17</v>
      </c>
      <c r="G768" s="101" t="s">
        <v>133</v>
      </c>
      <c r="H768" s="102" t="n">
        <v>78.75</v>
      </c>
      <c r="I768" s="103" t="n">
        <v>1338.75</v>
      </c>
      <c r="J768" s="104" t="s">
        <v>677</v>
      </c>
      <c r="K768" s="104" t="n">
        <v>1</v>
      </c>
      <c r="L768" s="101" t="n">
        <v>17</v>
      </c>
      <c r="M768" s="104" t="s">
        <v>902</v>
      </c>
      <c r="N768" s="98"/>
      <c r="O768" s="105" t="n">
        <f aca="false">IF(M768="Y",I768,IF(ISNUMBER(H768),H768*L768,0))</f>
        <v>1338.75</v>
      </c>
      <c r="P768" s="106" t="str">
        <f aca="false">IF(J768="","",J768&amp;"|"&amp;A768&amp;"|"&amp;K768)</f>
        <v>R239|Scholzen|1</v>
      </c>
    </row>
    <row r="769" customFormat="false" ht="15" hidden="false" customHeight="false" outlineLevel="0" collapsed="false">
      <c r="A769" s="98" t="s">
        <v>31</v>
      </c>
      <c r="B769" s="99" t="s">
        <v>2242</v>
      </c>
      <c r="C769" s="99" t="s">
        <v>682</v>
      </c>
      <c r="D769" s="98"/>
      <c r="E769" s="100" t="s">
        <v>2030</v>
      </c>
      <c r="F769" s="101" t="n">
        <v>9</v>
      </c>
      <c r="G769" s="101" t="s">
        <v>133</v>
      </c>
      <c r="H769" s="102" t="n">
        <v>1181.13</v>
      </c>
      <c r="I769" s="103" t="n">
        <v>10630.17</v>
      </c>
      <c r="J769" s="104" t="s">
        <v>681</v>
      </c>
      <c r="K769" s="104" t="n">
        <v>1</v>
      </c>
      <c r="L769" s="101" t="n">
        <v>9</v>
      </c>
      <c r="M769" s="104" t="s">
        <v>902</v>
      </c>
      <c r="N769" s="98"/>
      <c r="O769" s="105" t="n">
        <f aca="false">IF(M769="Y",I769,IF(ISNUMBER(H769),H769*L769,0))</f>
        <v>10630.17</v>
      </c>
      <c r="P769" s="106" t="str">
        <f aca="false">IF(J769="","",J769&amp;"|"&amp;A769&amp;"|"&amp;K769)</f>
        <v>R240|Scholzen|1</v>
      </c>
    </row>
    <row r="770" customFormat="false" ht="15" hidden="false" customHeight="false" outlineLevel="0" collapsed="false">
      <c r="A770" s="98" t="s">
        <v>31</v>
      </c>
      <c r="B770" s="99" t="s">
        <v>2243</v>
      </c>
      <c r="C770" s="99" t="s">
        <v>682</v>
      </c>
      <c r="D770" s="98"/>
      <c r="E770" s="100" t="s">
        <v>2244</v>
      </c>
      <c r="F770" s="101" t="n">
        <v>7</v>
      </c>
      <c r="G770" s="101" t="s">
        <v>133</v>
      </c>
      <c r="H770" s="102" t="n">
        <v>530.61</v>
      </c>
      <c r="I770" s="103" t="n">
        <v>3714.27</v>
      </c>
      <c r="J770" s="104" t="s">
        <v>684</v>
      </c>
      <c r="K770" s="104" t="n">
        <v>1</v>
      </c>
      <c r="L770" s="101" t="n">
        <v>7</v>
      </c>
      <c r="M770" s="104" t="s">
        <v>902</v>
      </c>
      <c r="N770" s="98"/>
      <c r="O770" s="105" t="n">
        <f aca="false">IF(M770="Y",I770,IF(ISNUMBER(H770),H770*L770,0))</f>
        <v>3714.27</v>
      </c>
      <c r="P770" s="106" t="str">
        <f aca="false">IF(J770="","",J770&amp;"|"&amp;A770&amp;"|"&amp;K770)</f>
        <v>R241|Scholzen|1</v>
      </c>
    </row>
    <row r="771" customFormat="false" ht="15" hidden="false" customHeight="false" outlineLevel="0" collapsed="false">
      <c r="A771" s="98" t="s">
        <v>31</v>
      </c>
      <c r="B771" s="99" t="s">
        <v>2245</v>
      </c>
      <c r="C771" s="99" t="s">
        <v>682</v>
      </c>
      <c r="D771" s="98"/>
      <c r="E771" s="100" t="s">
        <v>2246</v>
      </c>
      <c r="F771" s="101" t="n">
        <v>2</v>
      </c>
      <c r="G771" s="101" t="s">
        <v>133</v>
      </c>
      <c r="H771" s="102" t="n">
        <v>654.25</v>
      </c>
      <c r="I771" s="103" t="n">
        <v>1308.5</v>
      </c>
      <c r="J771" s="104" t="s">
        <v>687</v>
      </c>
      <c r="K771" s="104" t="n">
        <v>1</v>
      </c>
      <c r="L771" s="101" t="n">
        <v>2</v>
      </c>
      <c r="M771" s="104" t="s">
        <v>902</v>
      </c>
      <c r="N771" s="98"/>
      <c r="O771" s="105" t="n">
        <f aca="false">IF(M771="Y",I771,IF(ISNUMBER(H771),H771*L771,0))</f>
        <v>1308.5</v>
      </c>
      <c r="P771" s="106" t="str">
        <f aca="false">IF(J771="","",J771&amp;"|"&amp;A771&amp;"|"&amp;K771)</f>
        <v>R242|Scholzen|1</v>
      </c>
    </row>
    <row r="772" customFormat="false" ht="15" hidden="false" customHeight="false" outlineLevel="0" collapsed="false">
      <c r="A772" s="98" t="s">
        <v>31</v>
      </c>
      <c r="B772" s="99" t="s">
        <v>2247</v>
      </c>
      <c r="C772" s="99" t="s">
        <v>682</v>
      </c>
      <c r="D772" s="98"/>
      <c r="E772" s="100" t="s">
        <v>2022</v>
      </c>
      <c r="F772" s="101" t="n">
        <v>9</v>
      </c>
      <c r="G772" s="101" t="s">
        <v>133</v>
      </c>
      <c r="H772" s="102" t="n">
        <v>101.72</v>
      </c>
      <c r="I772" s="103" t="n">
        <v>915.48</v>
      </c>
      <c r="J772" s="104" t="s">
        <v>690</v>
      </c>
      <c r="K772" s="104" t="n">
        <v>1</v>
      </c>
      <c r="L772" s="101" t="n">
        <v>9</v>
      </c>
      <c r="M772" s="104" t="s">
        <v>902</v>
      </c>
      <c r="N772" s="98"/>
      <c r="O772" s="105" t="n">
        <f aca="false">IF(M772="Y",I772,IF(ISNUMBER(H772),H772*L772,0))</f>
        <v>915.48</v>
      </c>
      <c r="P772" s="106" t="str">
        <f aca="false">IF(J772="","",J772&amp;"|"&amp;A772&amp;"|"&amp;K772)</f>
        <v>R243|Scholzen|1</v>
      </c>
    </row>
    <row r="773" customFormat="false" ht="15" hidden="false" customHeight="false" outlineLevel="0" collapsed="false">
      <c r="A773" s="98" t="s">
        <v>31</v>
      </c>
      <c r="B773" s="99" t="s">
        <v>2248</v>
      </c>
      <c r="C773" s="99" t="s">
        <v>682</v>
      </c>
      <c r="D773" s="98"/>
      <c r="E773" s="100" t="s">
        <v>429</v>
      </c>
      <c r="F773" s="101" t="n">
        <v>18</v>
      </c>
      <c r="G773" s="101" t="s">
        <v>133</v>
      </c>
      <c r="H773" s="102" t="n">
        <v>20.5</v>
      </c>
      <c r="I773" s="103" t="n">
        <v>369</v>
      </c>
      <c r="J773" s="104" t="s">
        <v>692</v>
      </c>
      <c r="K773" s="104" t="n">
        <v>1</v>
      </c>
      <c r="L773" s="101" t="n">
        <v>18</v>
      </c>
      <c r="M773" s="104" t="s">
        <v>902</v>
      </c>
      <c r="N773" s="98"/>
      <c r="O773" s="105" t="n">
        <f aca="false">IF(M773="Y",I773,IF(ISNUMBER(H773),H773*L773,0))</f>
        <v>369</v>
      </c>
      <c r="P773" s="106" t="str">
        <f aca="false">IF(J773="","",J773&amp;"|"&amp;A773&amp;"|"&amp;K773)</f>
        <v>R244|Scholzen|1</v>
      </c>
    </row>
    <row r="774" customFormat="false" ht="15" hidden="false" customHeight="false" outlineLevel="0" collapsed="false">
      <c r="A774" s="98" t="s">
        <v>31</v>
      </c>
      <c r="B774" s="99" t="s">
        <v>2249</v>
      </c>
      <c r="C774" s="99" t="s">
        <v>682</v>
      </c>
      <c r="D774" s="98"/>
      <c r="E774" s="100" t="s">
        <v>2250</v>
      </c>
      <c r="F774" s="101" t="n">
        <v>2</v>
      </c>
      <c r="G774" s="101" t="s">
        <v>133</v>
      </c>
      <c r="H774" s="102" t="n">
        <v>20.67</v>
      </c>
      <c r="I774" s="103" t="n">
        <v>41.34</v>
      </c>
      <c r="J774" s="104" t="s">
        <v>694</v>
      </c>
      <c r="K774" s="104" t="n">
        <v>1</v>
      </c>
      <c r="L774" s="101" t="n">
        <v>2</v>
      </c>
      <c r="M774" s="104" t="s">
        <v>902</v>
      </c>
      <c r="N774" s="98"/>
      <c r="O774" s="105" t="n">
        <f aca="false">IF(M774="Y",I774,IF(ISNUMBER(H774),H774*L774,0))</f>
        <v>41.34</v>
      </c>
      <c r="P774" s="106" t="str">
        <f aca="false">IF(J774="","",J774&amp;"|"&amp;A774&amp;"|"&amp;K774)</f>
        <v>R245|Scholzen|1</v>
      </c>
    </row>
    <row r="775" customFormat="false" ht="15" hidden="false" customHeight="false" outlineLevel="0" collapsed="false">
      <c r="A775" s="98" t="s">
        <v>31</v>
      </c>
      <c r="B775" s="99" t="s">
        <v>2251</v>
      </c>
      <c r="C775" s="99" t="s">
        <v>682</v>
      </c>
      <c r="D775" s="98"/>
      <c r="E775" s="100" t="s">
        <v>2252</v>
      </c>
      <c r="F775" s="101" t="n">
        <v>18</v>
      </c>
      <c r="G775" s="101" t="s">
        <v>133</v>
      </c>
      <c r="H775" s="102" t="n">
        <v>7.52</v>
      </c>
      <c r="I775" s="103" t="n">
        <v>135.36</v>
      </c>
      <c r="J775" s="104" t="s">
        <v>696</v>
      </c>
      <c r="K775" s="104" t="n">
        <v>1</v>
      </c>
      <c r="L775" s="101" t="n">
        <v>18</v>
      </c>
      <c r="M775" s="104" t="s">
        <v>902</v>
      </c>
      <c r="N775" s="98"/>
      <c r="O775" s="105" t="n">
        <f aca="false">IF(M775="Y",I775,IF(ISNUMBER(H775),H775*L775,0))</f>
        <v>135.36</v>
      </c>
      <c r="P775" s="106" t="str">
        <f aca="false">IF(J775="","",J775&amp;"|"&amp;A775&amp;"|"&amp;K775)</f>
        <v>R246|Scholzen|1</v>
      </c>
    </row>
    <row r="776" customFormat="false" ht="15" hidden="false" customHeight="false" outlineLevel="0" collapsed="false">
      <c r="A776" s="98" t="s">
        <v>31</v>
      </c>
      <c r="B776" s="99" t="s">
        <v>2253</v>
      </c>
      <c r="C776" s="99" t="s">
        <v>682</v>
      </c>
      <c r="D776" s="98"/>
      <c r="E776" s="100" t="s">
        <v>2254</v>
      </c>
      <c r="F776" s="101" t="n">
        <v>9</v>
      </c>
      <c r="G776" s="101" t="s">
        <v>133</v>
      </c>
      <c r="H776" s="102" t="n">
        <v>34.18</v>
      </c>
      <c r="I776" s="103" t="n">
        <v>307.62</v>
      </c>
      <c r="J776" s="104" t="s">
        <v>698</v>
      </c>
      <c r="K776" s="104" t="n">
        <v>1</v>
      </c>
      <c r="L776" s="101" t="n">
        <v>9</v>
      </c>
      <c r="M776" s="104" t="s">
        <v>902</v>
      </c>
      <c r="N776" s="98"/>
      <c r="O776" s="105" t="n">
        <f aca="false">IF(M776="Y",I776,IF(ISNUMBER(H776),H776*L776,0))</f>
        <v>307.62</v>
      </c>
      <c r="P776" s="106" t="str">
        <f aca="false">IF(J776="","",J776&amp;"|"&amp;A776&amp;"|"&amp;K776)</f>
        <v>R247|Scholzen|1</v>
      </c>
    </row>
    <row r="777" customFormat="false" ht="15" hidden="false" customHeight="false" outlineLevel="0" collapsed="false">
      <c r="A777" s="98" t="s">
        <v>31</v>
      </c>
      <c r="B777" s="99" t="s">
        <v>2255</v>
      </c>
      <c r="C777" s="99" t="s">
        <v>682</v>
      </c>
      <c r="D777" s="98"/>
      <c r="E777" s="100" t="s">
        <v>2256</v>
      </c>
      <c r="F777" s="101" t="n">
        <v>9</v>
      </c>
      <c r="G777" s="101" t="s">
        <v>133</v>
      </c>
      <c r="H777" s="102" t="n">
        <v>6.97</v>
      </c>
      <c r="I777" s="103" t="n">
        <v>62.73</v>
      </c>
      <c r="J777" s="104" t="s">
        <v>706</v>
      </c>
      <c r="K777" s="104" t="n">
        <v>1</v>
      </c>
      <c r="L777" s="101" t="n">
        <v>9</v>
      </c>
      <c r="M777" s="104" t="s">
        <v>902</v>
      </c>
      <c r="N777" s="98"/>
      <c r="O777" s="105" t="n">
        <f aca="false">IF(M777="Y",I777,IF(ISNUMBER(H777),H777*L777,0))</f>
        <v>62.73</v>
      </c>
      <c r="P777" s="106" t="str">
        <f aca="false">IF(J777="","",J777&amp;"|"&amp;A777&amp;"|"&amp;K777)</f>
        <v>R250|Scholzen|1</v>
      </c>
    </row>
    <row r="778" customFormat="false" ht="15" hidden="false" customHeight="false" outlineLevel="0" collapsed="false">
      <c r="A778" s="98" t="s">
        <v>31</v>
      </c>
      <c r="B778" s="99" t="s">
        <v>2257</v>
      </c>
      <c r="C778" s="99" t="s">
        <v>682</v>
      </c>
      <c r="D778" s="98"/>
      <c r="E778" s="100" t="s">
        <v>2258</v>
      </c>
      <c r="F778" s="101" t="n">
        <v>9</v>
      </c>
      <c r="G778" s="101" t="s">
        <v>133</v>
      </c>
      <c r="H778" s="102" t="n">
        <v>92.65</v>
      </c>
      <c r="I778" s="103" t="n">
        <v>833.85</v>
      </c>
      <c r="J778" s="104" t="s">
        <v>713</v>
      </c>
      <c r="K778" s="104" t="n">
        <v>1</v>
      </c>
      <c r="L778" s="101" t="n">
        <v>9</v>
      </c>
      <c r="M778" s="104" t="s">
        <v>902</v>
      </c>
      <c r="N778" s="98"/>
      <c r="O778" s="105" t="n">
        <f aca="false">IF(M778="Y",I778,IF(ISNUMBER(H778),H778*L778,0))</f>
        <v>833.85</v>
      </c>
      <c r="P778" s="106" t="str">
        <f aca="false">IF(J778="","",J778&amp;"|"&amp;A778&amp;"|"&amp;K778)</f>
        <v>R253|Scholzen|1</v>
      </c>
    </row>
    <row r="779" customFormat="false" ht="15" hidden="false" customHeight="false" outlineLevel="0" collapsed="false">
      <c r="A779" s="98" t="s">
        <v>31</v>
      </c>
      <c r="B779" s="99" t="s">
        <v>2259</v>
      </c>
      <c r="C779" s="99" t="s">
        <v>682</v>
      </c>
      <c r="D779" s="98"/>
      <c r="E779" s="100" t="s">
        <v>2260</v>
      </c>
      <c r="F779" s="101" t="n">
        <v>9</v>
      </c>
      <c r="G779" s="101" t="s">
        <v>133</v>
      </c>
      <c r="H779" s="102" t="n">
        <v>161.45</v>
      </c>
      <c r="I779" s="103" t="n">
        <v>1453.05</v>
      </c>
      <c r="J779" s="104" t="s">
        <v>718</v>
      </c>
      <c r="K779" s="104" t="n">
        <v>1</v>
      </c>
      <c r="L779" s="101" t="n">
        <v>9</v>
      </c>
      <c r="M779" s="104" t="s">
        <v>902</v>
      </c>
      <c r="N779" s="98"/>
      <c r="O779" s="105" t="n">
        <f aca="false">IF(M779="Y",I779,IF(ISNUMBER(H779),H779*L779,0))</f>
        <v>1453.05</v>
      </c>
      <c r="P779" s="106" t="str">
        <f aca="false">IF(J779="","",J779&amp;"|"&amp;A779&amp;"|"&amp;K779)</f>
        <v>R256|Scholzen|1</v>
      </c>
    </row>
    <row r="780" customFormat="false" ht="15" hidden="false" customHeight="false" outlineLevel="0" collapsed="false">
      <c r="A780" s="98" t="s">
        <v>31</v>
      </c>
      <c r="B780" s="99" t="s">
        <v>2261</v>
      </c>
      <c r="C780" s="99" t="s">
        <v>682</v>
      </c>
      <c r="D780" s="98"/>
      <c r="E780" s="100" t="s">
        <v>2114</v>
      </c>
      <c r="F780" s="101" t="n">
        <v>9</v>
      </c>
      <c r="G780" s="101" t="s">
        <v>133</v>
      </c>
      <c r="H780" s="102" t="n">
        <v>63.33</v>
      </c>
      <c r="I780" s="103" t="n">
        <v>569.97</v>
      </c>
      <c r="J780" s="104" t="s">
        <v>720</v>
      </c>
      <c r="K780" s="104" t="n">
        <v>1</v>
      </c>
      <c r="L780" s="101" t="n">
        <v>9</v>
      </c>
      <c r="M780" s="104" t="s">
        <v>902</v>
      </c>
      <c r="N780" s="98"/>
      <c r="O780" s="105" t="n">
        <f aca="false">IF(M780="Y",I780,IF(ISNUMBER(H780),H780*L780,0))</f>
        <v>569.97</v>
      </c>
      <c r="P780" s="106" t="str">
        <f aca="false">IF(J780="","",J780&amp;"|"&amp;A780&amp;"|"&amp;K780)</f>
        <v>R257|Scholzen|1</v>
      </c>
    </row>
    <row r="781" customFormat="false" ht="15" hidden="false" customHeight="false" outlineLevel="0" collapsed="false">
      <c r="A781" s="98" t="s">
        <v>31</v>
      </c>
      <c r="B781" s="99" t="s">
        <v>2262</v>
      </c>
      <c r="C781" s="99" t="s">
        <v>682</v>
      </c>
      <c r="D781" s="98"/>
      <c r="E781" s="100" t="s">
        <v>2123</v>
      </c>
      <c r="F781" s="101" t="n">
        <v>100</v>
      </c>
      <c r="G781" s="101" t="s">
        <v>178</v>
      </c>
      <c r="H781" s="102" t="n">
        <v>2.1</v>
      </c>
      <c r="I781" s="103" t="n">
        <v>210</v>
      </c>
      <c r="J781" s="104" t="s">
        <v>701</v>
      </c>
      <c r="K781" s="104" t="n">
        <v>1</v>
      </c>
      <c r="L781" s="101" t="n">
        <v>100</v>
      </c>
      <c r="M781" s="104" t="s">
        <v>902</v>
      </c>
      <c r="N781" s="98"/>
      <c r="O781" s="105" t="n">
        <f aca="false">IF(M781="Y",I781,IF(ISNUMBER(H781),H781*L781,0))</f>
        <v>210</v>
      </c>
      <c r="P781" s="106" t="str">
        <f aca="false">IF(J781="","",J781&amp;"|"&amp;A781&amp;"|"&amp;K781)</f>
        <v>R248|Scholzen|1</v>
      </c>
    </row>
    <row r="782" customFormat="false" ht="15" hidden="false" customHeight="false" outlineLevel="0" collapsed="false">
      <c r="A782" s="98" t="s">
        <v>31</v>
      </c>
      <c r="B782" s="99" t="s">
        <v>2263</v>
      </c>
      <c r="C782" s="99" t="s">
        <v>754</v>
      </c>
      <c r="D782" s="98"/>
      <c r="E782" s="100" t="s">
        <v>2264</v>
      </c>
      <c r="F782" s="101" t="n">
        <v>1</v>
      </c>
      <c r="G782" s="101" t="s">
        <v>133</v>
      </c>
      <c r="H782" s="102" t="n">
        <v>135.12</v>
      </c>
      <c r="I782" s="103" t="n">
        <v>135.12</v>
      </c>
      <c r="J782" s="104" t="s">
        <v>753</v>
      </c>
      <c r="K782" s="104" t="n">
        <v>1</v>
      </c>
      <c r="L782" s="101" t="n">
        <v>1</v>
      </c>
      <c r="M782" s="104" t="s">
        <v>902</v>
      </c>
      <c r="N782" s="98"/>
      <c r="O782" s="105" t="n">
        <f aca="false">IF(M782="Y",I782,IF(ISNUMBER(H782),H782*L782,0))</f>
        <v>135.12</v>
      </c>
      <c r="P782" s="106" t="str">
        <f aca="false">IF(J782="","",J782&amp;"|"&amp;A782&amp;"|"&amp;K782)</f>
        <v>R269|Scholzen|1</v>
      </c>
    </row>
    <row r="783" customFormat="false" ht="15" hidden="false" customHeight="false" outlineLevel="0" collapsed="false">
      <c r="A783" s="98" t="s">
        <v>31</v>
      </c>
      <c r="B783" s="99" t="s">
        <v>2265</v>
      </c>
      <c r="C783" s="99" t="s">
        <v>754</v>
      </c>
      <c r="D783" s="98"/>
      <c r="E783" s="100" t="s">
        <v>2266</v>
      </c>
      <c r="F783" s="101" t="n">
        <v>1</v>
      </c>
      <c r="G783" s="101" t="s">
        <v>133</v>
      </c>
      <c r="H783" s="102" t="n">
        <v>68.73</v>
      </c>
      <c r="I783" s="103" t="n">
        <v>68.73</v>
      </c>
      <c r="J783" s="104" t="s">
        <v>757</v>
      </c>
      <c r="K783" s="104" t="n">
        <v>1</v>
      </c>
      <c r="L783" s="101" t="n">
        <v>1</v>
      </c>
      <c r="M783" s="104" t="s">
        <v>902</v>
      </c>
      <c r="N783" s="98"/>
      <c r="O783" s="105" t="n">
        <f aca="false">IF(M783="Y",I783,IF(ISNUMBER(H783),H783*L783,0))</f>
        <v>68.73</v>
      </c>
      <c r="P783" s="106" t="str">
        <f aca="false">IF(J783="","",J783&amp;"|"&amp;A783&amp;"|"&amp;K783)</f>
        <v>R270|Scholzen|1</v>
      </c>
    </row>
    <row r="784" customFormat="false" ht="15" hidden="false" customHeight="false" outlineLevel="0" collapsed="false">
      <c r="A784" s="98" t="s">
        <v>31</v>
      </c>
      <c r="B784" s="99" t="s">
        <v>2267</v>
      </c>
      <c r="C784" s="99" t="s">
        <v>754</v>
      </c>
      <c r="D784" s="98"/>
      <c r="E784" s="100" t="s">
        <v>2268</v>
      </c>
      <c r="F784" s="101" t="n">
        <v>100</v>
      </c>
      <c r="G784" s="101" t="s">
        <v>178</v>
      </c>
      <c r="H784" s="102" t="n">
        <v>69.6</v>
      </c>
      <c r="I784" s="103" t="n">
        <v>69.6</v>
      </c>
      <c r="J784" s="104" t="s">
        <v>760</v>
      </c>
      <c r="K784" s="104" t="n">
        <v>1</v>
      </c>
      <c r="L784" s="101" t="n">
        <v>100</v>
      </c>
      <c r="M784" s="104" t="s">
        <v>902</v>
      </c>
      <c r="N784" s="98" t="s">
        <v>2121</v>
      </c>
      <c r="O784" s="105" t="n">
        <f aca="false">IF(M784="Y",I784,IF(ISNUMBER(H784),H784*L784,0))</f>
        <v>69.6</v>
      </c>
      <c r="P784" s="106" t="str">
        <f aca="false">IF(J784="","",J784&amp;"|"&amp;A784&amp;"|"&amp;K784)</f>
        <v>R271|Scholzen|1</v>
      </c>
    </row>
    <row r="785" customFormat="false" ht="15" hidden="false" customHeight="false" outlineLevel="0" collapsed="false">
      <c r="A785" s="98" t="s">
        <v>31</v>
      </c>
      <c r="B785" s="99" t="s">
        <v>2269</v>
      </c>
      <c r="C785" s="99" t="s">
        <v>754</v>
      </c>
      <c r="D785" s="98"/>
      <c r="E785" s="100" t="s">
        <v>2270</v>
      </c>
      <c r="F785" s="101" t="n">
        <v>1</v>
      </c>
      <c r="G785" s="101" t="s">
        <v>133</v>
      </c>
      <c r="H785" s="102" t="n">
        <v>360.3</v>
      </c>
      <c r="I785" s="103" t="n">
        <v>360.3</v>
      </c>
      <c r="J785" s="104" t="s">
        <v>762</v>
      </c>
      <c r="K785" s="104" t="n">
        <v>1</v>
      </c>
      <c r="L785" s="101" t="n">
        <v>1</v>
      </c>
      <c r="M785" s="104" t="s">
        <v>902</v>
      </c>
      <c r="N785" s="98"/>
      <c r="O785" s="105" t="n">
        <f aca="false">IF(M785="Y",I785,IF(ISNUMBER(H785),H785*L785,0))</f>
        <v>360.3</v>
      </c>
      <c r="P785" s="106" t="str">
        <f aca="false">IF(J785="","",J785&amp;"|"&amp;A785&amp;"|"&amp;K785)</f>
        <v>R272|Scholzen|1</v>
      </c>
    </row>
    <row r="786" customFormat="false" ht="15" hidden="false" customHeight="false" outlineLevel="0" collapsed="false">
      <c r="A786" s="98" t="s">
        <v>31</v>
      </c>
      <c r="B786" s="99" t="s">
        <v>2271</v>
      </c>
      <c r="C786" s="99" t="s">
        <v>754</v>
      </c>
      <c r="D786" s="98"/>
      <c r="E786" s="100" t="s">
        <v>2272</v>
      </c>
      <c r="F786" s="101" t="n">
        <v>2</v>
      </c>
      <c r="G786" s="101" t="s">
        <v>133</v>
      </c>
      <c r="H786" s="102" t="n">
        <v>33.62</v>
      </c>
      <c r="I786" s="103" t="n">
        <v>67.24</v>
      </c>
      <c r="J786" s="104" t="s">
        <v>765</v>
      </c>
      <c r="K786" s="104" t="n">
        <v>1</v>
      </c>
      <c r="L786" s="101" t="n">
        <v>2</v>
      </c>
      <c r="M786" s="104" t="s">
        <v>902</v>
      </c>
      <c r="N786" s="98"/>
      <c r="O786" s="105" t="n">
        <f aca="false">IF(M786="Y",I786,IF(ISNUMBER(H786),H786*L786,0))</f>
        <v>67.24</v>
      </c>
      <c r="P786" s="106" t="str">
        <f aca="false">IF(J786="","",J786&amp;"|"&amp;A786&amp;"|"&amp;K786)</f>
        <v>R273|Scholzen|1</v>
      </c>
    </row>
    <row r="787" customFormat="false" ht="15" hidden="false" customHeight="false" outlineLevel="0" collapsed="false">
      <c r="A787" s="98" t="s">
        <v>31</v>
      </c>
      <c r="B787" s="99" t="s">
        <v>2273</v>
      </c>
      <c r="C787" s="99" t="s">
        <v>754</v>
      </c>
      <c r="D787" s="98"/>
      <c r="E787" s="100" t="s">
        <v>2274</v>
      </c>
      <c r="F787" s="101" t="n">
        <v>1</v>
      </c>
      <c r="G787" s="101" t="s">
        <v>133</v>
      </c>
      <c r="H787" s="102" t="n">
        <v>125.67</v>
      </c>
      <c r="I787" s="103" t="n">
        <v>125.67</v>
      </c>
      <c r="J787" s="104" t="s">
        <v>767</v>
      </c>
      <c r="K787" s="104" t="n">
        <v>1</v>
      </c>
      <c r="L787" s="101" t="n">
        <v>1</v>
      </c>
      <c r="M787" s="104" t="s">
        <v>902</v>
      </c>
      <c r="N787" s="98"/>
      <c r="O787" s="105" t="n">
        <f aca="false">IF(M787="Y",I787,IF(ISNUMBER(H787),H787*L787,0))</f>
        <v>125.67</v>
      </c>
      <c r="P787" s="106" t="str">
        <f aca="false">IF(J787="","",J787&amp;"|"&amp;A787&amp;"|"&amp;K787)</f>
        <v>R274|Scholzen|1</v>
      </c>
    </row>
    <row r="788" customFormat="false" ht="15" hidden="false" customHeight="false" outlineLevel="0" collapsed="false">
      <c r="A788" s="98" t="s">
        <v>31</v>
      </c>
      <c r="B788" s="99" t="s">
        <v>2275</v>
      </c>
      <c r="C788" s="99" t="s">
        <v>754</v>
      </c>
      <c r="D788" s="98"/>
      <c r="E788" s="100" t="s">
        <v>2276</v>
      </c>
      <c r="F788" s="101" t="n">
        <v>3</v>
      </c>
      <c r="G788" s="101" t="s">
        <v>133</v>
      </c>
      <c r="H788" s="102" t="n">
        <v>2.72</v>
      </c>
      <c r="I788" s="103" t="n">
        <v>8.16</v>
      </c>
      <c r="J788" s="104" t="s">
        <v>774</v>
      </c>
      <c r="K788" s="104" t="n">
        <v>1</v>
      </c>
      <c r="L788" s="101" t="n">
        <v>3</v>
      </c>
      <c r="M788" s="104" t="s">
        <v>902</v>
      </c>
      <c r="N788" s="98"/>
      <c r="O788" s="105" t="n">
        <f aca="false">IF(M788="Y",I788,IF(ISNUMBER(H788),H788*L788,0))</f>
        <v>8.16</v>
      </c>
      <c r="P788" s="106" t="str">
        <f aca="false">IF(J788="","",J788&amp;"|"&amp;A788&amp;"|"&amp;K788)</f>
        <v>R277|Scholzen|1</v>
      </c>
    </row>
    <row r="789" customFormat="false" ht="15" hidden="false" customHeight="false" outlineLevel="0" collapsed="false">
      <c r="A789" s="98" t="s">
        <v>31</v>
      </c>
      <c r="B789" s="99" t="s">
        <v>2277</v>
      </c>
      <c r="C789" s="99" t="s">
        <v>782</v>
      </c>
      <c r="D789" s="98"/>
      <c r="E789" s="100" t="s">
        <v>2278</v>
      </c>
      <c r="F789" s="101" t="n">
        <v>653</v>
      </c>
      <c r="G789" s="101" t="s">
        <v>178</v>
      </c>
      <c r="H789" s="102" t="n">
        <v>96.21</v>
      </c>
      <c r="I789" s="103" t="n">
        <v>62825.13</v>
      </c>
      <c r="J789" s="104" t="s">
        <v>781</v>
      </c>
      <c r="K789" s="104" t="n">
        <v>1</v>
      </c>
      <c r="L789" s="101" t="n">
        <v>653</v>
      </c>
      <c r="M789" s="104" t="s">
        <v>902</v>
      </c>
      <c r="N789" s="98" t="s">
        <v>2279</v>
      </c>
      <c r="O789" s="105" t="n">
        <f aca="false">IF(M789="Y",I789,IF(ISNUMBER(H789),H789*L789,0))</f>
        <v>62825.13</v>
      </c>
      <c r="P789" s="106" t="str">
        <f aca="false">IF(J789="","",J789&amp;"|"&amp;A789&amp;"|"&amp;K789)</f>
        <v>R280|Scholzen|1</v>
      </c>
    </row>
    <row r="790" customFormat="false" ht="15" hidden="false" customHeight="false" outlineLevel="0" collapsed="false">
      <c r="A790" s="98" t="s">
        <v>31</v>
      </c>
      <c r="B790" s="99" t="s">
        <v>2280</v>
      </c>
      <c r="C790" s="99" t="s">
        <v>782</v>
      </c>
      <c r="D790" s="98"/>
      <c r="E790" s="100" t="s">
        <v>2281</v>
      </c>
      <c r="F790" s="101" t="n">
        <v>34</v>
      </c>
      <c r="G790" s="101" t="s">
        <v>133</v>
      </c>
      <c r="H790" s="102" t="n">
        <v>1083.29</v>
      </c>
      <c r="I790" s="103" t="n">
        <v>36831.86</v>
      </c>
      <c r="J790" s="104" t="s">
        <v>785</v>
      </c>
      <c r="K790" s="104" t="n">
        <v>1</v>
      </c>
      <c r="L790" s="101" t="n">
        <v>34</v>
      </c>
      <c r="M790" s="104" t="s">
        <v>902</v>
      </c>
      <c r="N790" s="98"/>
      <c r="O790" s="105" t="n">
        <f aca="false">IF(M790="Y",I790,IF(ISNUMBER(H790),H790*L790,0))</f>
        <v>36831.86</v>
      </c>
      <c r="P790" s="106" t="str">
        <f aca="false">IF(J790="","",J790&amp;"|"&amp;A790&amp;"|"&amp;K790)</f>
        <v>R281|Scholzen|1</v>
      </c>
    </row>
    <row r="791" customFormat="false" ht="15" hidden="false" customHeight="false" outlineLevel="0" collapsed="false">
      <c r="A791" s="98" t="s">
        <v>31</v>
      </c>
      <c r="B791" s="99" t="s">
        <v>2282</v>
      </c>
      <c r="C791" s="99" t="s">
        <v>782</v>
      </c>
      <c r="D791" s="98"/>
      <c r="E791" s="100" t="s">
        <v>2283</v>
      </c>
      <c r="F791" s="101" t="n">
        <v>3</v>
      </c>
      <c r="G791" s="101" t="s">
        <v>133</v>
      </c>
      <c r="H791" s="102" t="n">
        <v>835.75</v>
      </c>
      <c r="I791" s="103" t="n">
        <v>2507.25</v>
      </c>
      <c r="J791" s="104" t="s">
        <v>790</v>
      </c>
      <c r="K791" s="104" t="n">
        <v>1</v>
      </c>
      <c r="L791" s="101" t="n">
        <v>3</v>
      </c>
      <c r="M791" s="104" t="s">
        <v>902</v>
      </c>
      <c r="N791" s="98"/>
      <c r="O791" s="105" t="n">
        <f aca="false">IF(M791="Y",I791,IF(ISNUMBER(H791),H791*L791,0))</f>
        <v>2507.25</v>
      </c>
      <c r="P791" s="106" t="str">
        <f aca="false">IF(J791="","",J791&amp;"|"&amp;A791&amp;"|"&amp;K791)</f>
        <v>R283|Scholzen|1</v>
      </c>
    </row>
    <row r="792" customFormat="false" ht="15" hidden="false" customHeight="false" outlineLevel="0" collapsed="false">
      <c r="A792" s="98" t="s">
        <v>31</v>
      </c>
      <c r="B792" s="99" t="s">
        <v>2284</v>
      </c>
      <c r="C792" s="99" t="s">
        <v>782</v>
      </c>
      <c r="D792" s="98"/>
      <c r="E792" s="100" t="s">
        <v>2285</v>
      </c>
      <c r="F792" s="101" t="n">
        <v>1</v>
      </c>
      <c r="G792" s="101" t="s">
        <v>133</v>
      </c>
      <c r="H792" s="102" t="n">
        <v>1324.94</v>
      </c>
      <c r="I792" s="103" t="n">
        <v>1324.94</v>
      </c>
      <c r="J792" s="104" t="s">
        <v>792</v>
      </c>
      <c r="K792" s="104" t="n">
        <v>1</v>
      </c>
      <c r="L792" s="101" t="n">
        <v>1</v>
      </c>
      <c r="M792" s="104" t="s">
        <v>902</v>
      </c>
      <c r="N792" s="98"/>
      <c r="O792" s="105" t="n">
        <f aca="false">IF(M792="Y",I792,IF(ISNUMBER(H792),H792*L792,0))</f>
        <v>1324.94</v>
      </c>
      <c r="P792" s="106" t="str">
        <f aca="false">IF(J792="","",J792&amp;"|"&amp;A792&amp;"|"&amp;K792)</f>
        <v>R284|Scholzen|1</v>
      </c>
    </row>
    <row r="793" customFormat="false" ht="15" hidden="false" customHeight="false" outlineLevel="0" collapsed="false">
      <c r="A793" s="98" t="s">
        <v>31</v>
      </c>
      <c r="B793" s="99" t="s">
        <v>2286</v>
      </c>
      <c r="C793" s="99" t="s">
        <v>782</v>
      </c>
      <c r="D793" s="98"/>
      <c r="E793" s="100" t="s">
        <v>789</v>
      </c>
      <c r="F793" s="101" t="n">
        <v>1</v>
      </c>
      <c r="G793" s="101" t="s">
        <v>133</v>
      </c>
      <c r="H793" s="102" t="n">
        <v>897.18</v>
      </c>
      <c r="I793" s="103" t="n">
        <v>897.18</v>
      </c>
      <c r="J793" s="104" t="s">
        <v>788</v>
      </c>
      <c r="K793" s="104" t="n">
        <v>1</v>
      </c>
      <c r="L793" s="101" t="n">
        <v>1</v>
      </c>
      <c r="M793" s="104" t="s">
        <v>902</v>
      </c>
      <c r="N793" s="98"/>
      <c r="O793" s="105" t="n">
        <f aca="false">IF(M793="Y",I793,IF(ISNUMBER(H793),H793*L793,0))</f>
        <v>897.18</v>
      </c>
      <c r="P793" s="106" t="str">
        <f aca="false">IF(J793="","",J793&amp;"|"&amp;A793&amp;"|"&amp;K793)</f>
        <v>R282|Scholzen|1</v>
      </c>
    </row>
    <row r="794" customFormat="false" ht="15" hidden="false" customHeight="false" outlineLevel="0" collapsed="false">
      <c r="A794" s="98" t="s">
        <v>31</v>
      </c>
      <c r="B794" s="99" t="s">
        <v>2287</v>
      </c>
      <c r="C794" s="99" t="s">
        <v>782</v>
      </c>
      <c r="D794" s="98"/>
      <c r="E794" s="100" t="s">
        <v>2288</v>
      </c>
      <c r="F794" s="101" t="n">
        <v>1</v>
      </c>
      <c r="G794" s="101" t="s">
        <v>133</v>
      </c>
      <c r="H794" s="102" t="n">
        <v>6391</v>
      </c>
      <c r="I794" s="103" t="n">
        <v>6391</v>
      </c>
      <c r="J794" s="104" t="s">
        <v>795</v>
      </c>
      <c r="K794" s="104" t="n">
        <v>1</v>
      </c>
      <c r="L794" s="101" t="n">
        <v>1</v>
      </c>
      <c r="M794" s="104" t="s">
        <v>902</v>
      </c>
      <c r="N794" s="98"/>
      <c r="O794" s="105" t="n">
        <f aca="false">IF(M794="Y",I794,IF(ISNUMBER(H794),H794*L794,0))</f>
        <v>6391</v>
      </c>
      <c r="P794" s="106" t="str">
        <f aca="false">IF(J794="","",J794&amp;"|"&amp;A794&amp;"|"&amp;K794)</f>
        <v>R285|Scholzen|1</v>
      </c>
    </row>
    <row r="795" customFormat="false" ht="15" hidden="false" customHeight="false" outlineLevel="0" collapsed="false">
      <c r="A795" s="98" t="s">
        <v>31</v>
      </c>
      <c r="B795" s="99" t="s">
        <v>2289</v>
      </c>
      <c r="C795" s="99" t="s">
        <v>782</v>
      </c>
      <c r="D795" s="98"/>
      <c r="E795" s="100" t="s">
        <v>2123</v>
      </c>
      <c r="F795" s="101" t="n">
        <v>40</v>
      </c>
      <c r="G795" s="101" t="s">
        <v>178</v>
      </c>
      <c r="H795" s="102" t="n">
        <v>2.1</v>
      </c>
      <c r="I795" s="103" t="n">
        <v>84</v>
      </c>
      <c r="J795" s="104" t="s">
        <v>832</v>
      </c>
      <c r="K795" s="104" t="n">
        <v>1</v>
      </c>
      <c r="L795" s="101" t="n">
        <v>40</v>
      </c>
      <c r="M795" s="104" t="s">
        <v>902</v>
      </c>
      <c r="N795" s="98"/>
      <c r="O795" s="105" t="n">
        <f aca="false">IF(M795="Y",I795,IF(ISNUMBER(H795),H795*L795,0))</f>
        <v>84</v>
      </c>
      <c r="P795" s="106" t="str">
        <f aca="false">IF(J795="","",J795&amp;"|"&amp;A795&amp;"|"&amp;K795)</f>
        <v>R303|Scholzen|1</v>
      </c>
    </row>
    <row r="796" customFormat="false" ht="15" hidden="false" customHeight="false" outlineLevel="0" collapsed="false">
      <c r="A796" s="98" t="s">
        <v>31</v>
      </c>
      <c r="B796" s="99" t="s">
        <v>2290</v>
      </c>
      <c r="C796" s="99" t="s">
        <v>782</v>
      </c>
      <c r="D796" s="98"/>
      <c r="E796" s="100" t="s">
        <v>2291</v>
      </c>
      <c r="F796" s="101" t="n">
        <v>2</v>
      </c>
      <c r="G796" s="101" t="s">
        <v>133</v>
      </c>
      <c r="H796" s="102" t="n">
        <v>9.36</v>
      </c>
      <c r="I796" s="103" t="n">
        <v>18.72</v>
      </c>
      <c r="J796" s="104" t="s">
        <v>834</v>
      </c>
      <c r="K796" s="104" t="n">
        <v>1</v>
      </c>
      <c r="L796" s="101" t="n">
        <v>2</v>
      </c>
      <c r="M796" s="104" t="s">
        <v>902</v>
      </c>
      <c r="N796" s="98"/>
      <c r="O796" s="105" t="n">
        <f aca="false">IF(M796="Y",I796,IF(ISNUMBER(H796),H796*L796,0))</f>
        <v>18.72</v>
      </c>
      <c r="P796" s="106" t="str">
        <f aca="false">IF(J796="","",J796&amp;"|"&amp;A796&amp;"|"&amp;K796)</f>
        <v>R304|Scholzen|1</v>
      </c>
    </row>
    <row r="797" customFormat="false" ht="15" hidden="false" customHeight="false" outlineLevel="0" collapsed="false">
      <c r="A797" s="98" t="s">
        <v>31</v>
      </c>
      <c r="B797" s="99" t="s">
        <v>2292</v>
      </c>
      <c r="C797" s="99" t="s">
        <v>782</v>
      </c>
      <c r="D797" s="98"/>
      <c r="E797" s="100" t="s">
        <v>2050</v>
      </c>
      <c r="F797" s="101" t="n">
        <v>7</v>
      </c>
      <c r="G797" s="101" t="s">
        <v>133</v>
      </c>
      <c r="H797" s="102" t="n">
        <v>315.53</v>
      </c>
      <c r="I797" s="103" t="n">
        <v>2208.71</v>
      </c>
      <c r="J797" s="104" t="s">
        <v>799</v>
      </c>
      <c r="K797" s="104" t="n">
        <v>1</v>
      </c>
      <c r="L797" s="101" t="n">
        <v>7</v>
      </c>
      <c r="M797" s="104" t="s">
        <v>902</v>
      </c>
      <c r="N797" s="98"/>
      <c r="O797" s="105" t="n">
        <f aca="false">IF(M797="Y",I797,IF(ISNUMBER(H797),H797*L797,0))</f>
        <v>2208.71</v>
      </c>
      <c r="P797" s="106" t="str">
        <f aca="false">IF(J797="","",J797&amp;"|"&amp;A797&amp;"|"&amp;K797)</f>
        <v>R287|Scholzen|1</v>
      </c>
    </row>
    <row r="798" customFormat="false" ht="15" hidden="false" customHeight="false" outlineLevel="0" collapsed="false">
      <c r="A798" s="98" t="s">
        <v>31</v>
      </c>
      <c r="B798" s="99" t="s">
        <v>2293</v>
      </c>
      <c r="C798" s="99" t="s">
        <v>782</v>
      </c>
      <c r="D798" s="98"/>
      <c r="E798" s="100" t="s">
        <v>2056</v>
      </c>
      <c r="F798" s="101" t="n">
        <v>2</v>
      </c>
      <c r="G798" s="101" t="s">
        <v>133</v>
      </c>
      <c r="H798" s="102" t="n">
        <v>124</v>
      </c>
      <c r="I798" s="103" t="n">
        <v>248</v>
      </c>
      <c r="J798" s="104" t="s">
        <v>802</v>
      </c>
      <c r="K798" s="104" t="n">
        <v>1</v>
      </c>
      <c r="L798" s="101" t="n">
        <v>2</v>
      </c>
      <c r="M798" s="104" t="s">
        <v>902</v>
      </c>
      <c r="N798" s="98"/>
      <c r="O798" s="105" t="n">
        <f aca="false">IF(M798="Y",I798,IF(ISNUMBER(H798),H798*L798,0))</f>
        <v>248</v>
      </c>
      <c r="P798" s="106" t="str">
        <f aca="false">IF(J798="","",J798&amp;"|"&amp;A798&amp;"|"&amp;K798)</f>
        <v>R289|Scholzen|1</v>
      </c>
    </row>
    <row r="799" customFormat="false" ht="15" hidden="false" customHeight="false" outlineLevel="0" collapsed="false">
      <c r="A799" s="98" t="s">
        <v>31</v>
      </c>
      <c r="B799" s="99" t="s">
        <v>2294</v>
      </c>
      <c r="C799" s="99" t="s">
        <v>782</v>
      </c>
      <c r="D799" s="98"/>
      <c r="E799" s="100" t="s">
        <v>2295</v>
      </c>
      <c r="F799" s="101" t="n">
        <v>1</v>
      </c>
      <c r="G799" s="101" t="s">
        <v>133</v>
      </c>
      <c r="H799" s="102" t="n">
        <v>441.53</v>
      </c>
      <c r="I799" s="103" t="n">
        <v>441.53</v>
      </c>
      <c r="J799" s="104" t="s">
        <v>797</v>
      </c>
      <c r="K799" s="104" t="n">
        <v>1</v>
      </c>
      <c r="L799" s="101" t="n">
        <v>1</v>
      </c>
      <c r="M799" s="104" t="s">
        <v>902</v>
      </c>
      <c r="N799" s="98"/>
      <c r="O799" s="105" t="n">
        <f aca="false">IF(M799="Y",I799,IF(ISNUMBER(H799),H799*L799,0))</f>
        <v>441.53</v>
      </c>
      <c r="P799" s="106" t="str">
        <f aca="false">IF(J799="","",J799&amp;"|"&amp;A799&amp;"|"&amp;K799)</f>
        <v>R286|Scholzen|1</v>
      </c>
    </row>
    <row r="800" customFormat="false" ht="15" hidden="false" customHeight="false" outlineLevel="0" collapsed="false">
      <c r="A800" s="98" t="s">
        <v>31</v>
      </c>
      <c r="B800" s="99" t="s">
        <v>2296</v>
      </c>
      <c r="C800" s="99" t="s">
        <v>782</v>
      </c>
      <c r="D800" s="98"/>
      <c r="E800" s="100" t="s">
        <v>2297</v>
      </c>
      <c r="F800" s="101" t="n">
        <v>1</v>
      </c>
      <c r="G800" s="101" t="s">
        <v>133</v>
      </c>
      <c r="H800" s="102" t="n">
        <v>96.75</v>
      </c>
      <c r="I800" s="103" t="n">
        <v>96.75</v>
      </c>
      <c r="J800" s="104" t="s">
        <v>800</v>
      </c>
      <c r="K800" s="104" t="n">
        <v>1</v>
      </c>
      <c r="L800" s="101" t="n">
        <v>1</v>
      </c>
      <c r="M800" s="104" t="s">
        <v>902</v>
      </c>
      <c r="N800" s="98"/>
      <c r="O800" s="105" t="n">
        <f aca="false">IF(M800="Y",I800,IF(ISNUMBER(H800),H800*L800,0))</f>
        <v>96.75</v>
      </c>
      <c r="P800" s="106" t="str">
        <f aca="false">IF(J800="","",J800&amp;"|"&amp;A800&amp;"|"&amp;K800)</f>
        <v>R288|Scholzen|1</v>
      </c>
    </row>
    <row r="801" customFormat="false" ht="15" hidden="false" customHeight="false" outlineLevel="0" collapsed="false">
      <c r="A801" s="98" t="s">
        <v>31</v>
      </c>
      <c r="B801" s="99" t="s">
        <v>2298</v>
      </c>
      <c r="C801" s="99" t="s">
        <v>782</v>
      </c>
      <c r="D801" s="98"/>
      <c r="E801" s="100" t="s">
        <v>809</v>
      </c>
      <c r="F801" s="101" t="n">
        <v>1260</v>
      </c>
      <c r="G801" s="101" t="s">
        <v>178</v>
      </c>
      <c r="H801" s="102" t="n">
        <v>4.4</v>
      </c>
      <c r="I801" s="103" t="n">
        <v>5544</v>
      </c>
      <c r="J801" s="104" t="s">
        <v>808</v>
      </c>
      <c r="K801" s="104" t="n">
        <v>1</v>
      </c>
      <c r="L801" s="101" t="n">
        <v>1260</v>
      </c>
      <c r="M801" s="104" t="s">
        <v>902</v>
      </c>
      <c r="N801" s="98"/>
      <c r="O801" s="105" t="n">
        <f aca="false">IF(M801="Y",I801,IF(ISNUMBER(H801),H801*L801,0))</f>
        <v>5544</v>
      </c>
      <c r="P801" s="106" t="str">
        <f aca="false">IF(J801="","",J801&amp;"|"&amp;A801&amp;"|"&amp;K801)</f>
        <v>R292|Scholzen|1</v>
      </c>
    </row>
    <row r="802" customFormat="false" ht="15" hidden="false" customHeight="false" outlineLevel="0" collapsed="false">
      <c r="A802" s="98" t="s">
        <v>31</v>
      </c>
      <c r="B802" s="99" t="s">
        <v>2299</v>
      </c>
      <c r="C802" s="99" t="s">
        <v>782</v>
      </c>
      <c r="D802" s="98"/>
      <c r="E802" s="100" t="s">
        <v>2300</v>
      </c>
      <c r="F802" s="101" t="n">
        <v>8</v>
      </c>
      <c r="G802" s="101" t="s">
        <v>133</v>
      </c>
      <c r="H802" s="102" t="n">
        <v>45.37</v>
      </c>
      <c r="I802" s="103" t="n">
        <v>362.96</v>
      </c>
      <c r="J802" s="104" t="s">
        <v>811</v>
      </c>
      <c r="K802" s="104" t="n">
        <v>1</v>
      </c>
      <c r="L802" s="101" t="n">
        <v>8</v>
      </c>
      <c r="M802" s="104" t="s">
        <v>902</v>
      </c>
      <c r="N802" s="98"/>
      <c r="O802" s="105" t="n">
        <f aca="false">IF(M802="Y",I802,IF(ISNUMBER(H802),H802*L802,0))</f>
        <v>362.96</v>
      </c>
      <c r="P802" s="106" t="str">
        <f aca="false">IF(J802="","",J802&amp;"|"&amp;A802&amp;"|"&amp;K802)</f>
        <v>R293|Scholzen|1</v>
      </c>
    </row>
    <row r="803" customFormat="false" ht="15" hidden="false" customHeight="false" outlineLevel="0" collapsed="false">
      <c r="A803" s="98" t="s">
        <v>31</v>
      </c>
      <c r="B803" s="99" t="s">
        <v>2301</v>
      </c>
      <c r="C803" s="99" t="s">
        <v>782</v>
      </c>
      <c r="D803" s="98"/>
      <c r="E803" s="100" t="s">
        <v>2302</v>
      </c>
      <c r="F803" s="101" t="n">
        <v>1</v>
      </c>
      <c r="G803" s="101" t="s">
        <v>133</v>
      </c>
      <c r="H803" s="102" t="n">
        <v>89.18</v>
      </c>
      <c r="I803" s="103" t="n">
        <v>89.18</v>
      </c>
      <c r="J803" s="104" t="s">
        <v>813</v>
      </c>
      <c r="K803" s="104" t="n">
        <v>1</v>
      </c>
      <c r="L803" s="101" t="n">
        <v>1</v>
      </c>
      <c r="M803" s="104" t="s">
        <v>902</v>
      </c>
      <c r="N803" s="98"/>
      <c r="O803" s="105" t="n">
        <f aca="false">IF(M803="Y",I803,IF(ISNUMBER(H803),H803*L803,0))</f>
        <v>89.18</v>
      </c>
      <c r="P803" s="106" t="str">
        <f aca="false">IF(J803="","",J803&amp;"|"&amp;A803&amp;"|"&amp;K803)</f>
        <v>R294|Scholzen|1</v>
      </c>
    </row>
    <row r="804" customFormat="false" ht="15" hidden="false" customHeight="false" outlineLevel="0" collapsed="false">
      <c r="A804" s="98" t="s">
        <v>31</v>
      </c>
      <c r="B804" s="99" t="s">
        <v>2303</v>
      </c>
      <c r="C804" s="99" t="s">
        <v>782</v>
      </c>
      <c r="D804" s="98"/>
      <c r="E804" s="100" t="s">
        <v>2304</v>
      </c>
      <c r="F804" s="101" t="n">
        <v>1540</v>
      </c>
      <c r="G804" s="101" t="s">
        <v>178</v>
      </c>
      <c r="H804" s="102" t="n">
        <v>2.12</v>
      </c>
      <c r="I804" s="103" t="n">
        <v>3264.8</v>
      </c>
      <c r="J804" s="104" t="s">
        <v>803</v>
      </c>
      <c r="K804" s="104" t="n">
        <v>1</v>
      </c>
      <c r="L804" s="101" t="n">
        <v>1540</v>
      </c>
      <c r="M804" s="104" t="s">
        <v>902</v>
      </c>
      <c r="N804" s="98"/>
      <c r="O804" s="105" t="n">
        <f aca="false">IF(M804="Y",I804,IF(ISNUMBER(H804),H804*L804,0))</f>
        <v>3264.8</v>
      </c>
      <c r="P804" s="106" t="str">
        <f aca="false">IF(J804="","",J804&amp;"|"&amp;A804&amp;"|"&amp;K804)</f>
        <v>R290|Scholzen|1</v>
      </c>
    </row>
    <row r="805" customFormat="false" ht="15" hidden="false" customHeight="false" outlineLevel="0" collapsed="false">
      <c r="A805" s="98" t="s">
        <v>31</v>
      </c>
      <c r="B805" s="99" t="s">
        <v>2305</v>
      </c>
      <c r="C805" s="99" t="s">
        <v>782</v>
      </c>
      <c r="D805" s="98"/>
      <c r="E805" s="100" t="s">
        <v>2306</v>
      </c>
      <c r="F805" s="101" t="n">
        <v>4</v>
      </c>
      <c r="G805" s="101" t="s">
        <v>133</v>
      </c>
      <c r="H805" s="102" t="n">
        <v>34</v>
      </c>
      <c r="I805" s="103" t="n">
        <v>136</v>
      </c>
      <c r="J805" s="104" t="s">
        <v>805</v>
      </c>
      <c r="K805" s="104" t="n">
        <v>1</v>
      </c>
      <c r="L805" s="101" t="n">
        <v>4</v>
      </c>
      <c r="M805" s="104" t="s">
        <v>902</v>
      </c>
      <c r="N805" s="98"/>
      <c r="O805" s="105" t="n">
        <f aca="false">IF(M805="Y",I805,IF(ISNUMBER(H805),H805*L805,0))</f>
        <v>136</v>
      </c>
      <c r="P805" s="106" t="str">
        <f aca="false">IF(J805="","",J805&amp;"|"&amp;A805&amp;"|"&amp;K805)</f>
        <v>R291|Scholzen|1</v>
      </c>
    </row>
  </sheetData>
  <autoFilter ref="A2:P8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B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5" min="4" style="0" width="62"/>
    <col collapsed="false" customWidth="true" hidden="false" outlineLevel="0" max="6" min="6" style="0" width="12"/>
  </cols>
  <sheetData>
    <row r="1" customFormat="false" ht="19.7" hidden="false" customHeight="false" outlineLevel="0" collapsed="false">
      <c r="B1" s="52" t="s">
        <v>2307</v>
      </c>
    </row>
    <row r="2" customFormat="false" ht="15" hidden="false" customHeight="false" outlineLevel="0" collapsed="false">
      <c r="B2" s="53" t="s">
        <v>2308</v>
      </c>
    </row>
    <row r="4" customFormat="false" ht="21.75" hidden="false" customHeight="true" outlineLevel="0" collapsed="false">
      <c r="B4" s="9" t="s">
        <v>2309</v>
      </c>
      <c r="C4" s="10"/>
      <c r="D4" s="10"/>
      <c r="E4" s="10"/>
      <c r="F4" s="10"/>
    </row>
    <row r="5" customFormat="false" ht="15" hidden="false" customHeight="false" outlineLevel="0" collapsed="false">
      <c r="B5" s="11" t="s">
        <v>9</v>
      </c>
      <c r="C5" s="11" t="s">
        <v>2310</v>
      </c>
      <c r="D5" s="11" t="s">
        <v>2311</v>
      </c>
      <c r="E5" s="11" t="s">
        <v>2312</v>
      </c>
      <c r="F5" s="11"/>
    </row>
    <row r="6" customFormat="false" ht="103.5" hidden="false" customHeight="true" outlineLevel="0" collapsed="false">
      <c r="B6" s="116" t="s">
        <v>19</v>
      </c>
      <c r="C6" s="117" t="s">
        <v>2313</v>
      </c>
      <c r="D6" s="117" t="s">
        <v>2314</v>
      </c>
      <c r="E6" s="117" t="s">
        <v>2315</v>
      </c>
      <c r="F6" s="117"/>
    </row>
    <row r="7" customFormat="false" ht="78.75" hidden="false" customHeight="true" outlineLevel="0" collapsed="false">
      <c r="B7" s="116" t="s">
        <v>23</v>
      </c>
      <c r="C7" s="117" t="s">
        <v>2316</v>
      </c>
      <c r="D7" s="117" t="s">
        <v>2317</v>
      </c>
      <c r="E7" s="117" t="s">
        <v>2318</v>
      </c>
      <c r="F7" s="117"/>
    </row>
    <row r="8" customFormat="false" ht="78.75" hidden="false" customHeight="true" outlineLevel="0" collapsed="false">
      <c r="B8" s="116" t="s">
        <v>27</v>
      </c>
      <c r="C8" s="117" t="s">
        <v>2319</v>
      </c>
      <c r="D8" s="117" t="s">
        <v>2320</v>
      </c>
      <c r="E8" s="117" t="s">
        <v>2321</v>
      </c>
      <c r="F8" s="117"/>
    </row>
    <row r="9" customFormat="false" ht="54" hidden="false" customHeight="true" outlineLevel="0" collapsed="false">
      <c r="B9" s="116" t="s">
        <v>31</v>
      </c>
      <c r="C9" s="117" t="s">
        <v>2322</v>
      </c>
      <c r="D9" s="117" t="s">
        <v>2323</v>
      </c>
      <c r="E9" s="117" t="s">
        <v>2324</v>
      </c>
      <c r="F9" s="117"/>
    </row>
    <row r="11" customFormat="false" ht="21.75" hidden="false" customHeight="true" outlineLevel="0" collapsed="false">
      <c r="B11" s="9" t="s">
        <v>2325</v>
      </c>
      <c r="C11" s="10"/>
      <c r="D11" s="10"/>
      <c r="E11" s="10"/>
      <c r="F11" s="10"/>
    </row>
    <row r="12" customFormat="false" ht="15" hidden="false" customHeight="false" outlineLevel="0" collapsed="false">
      <c r="B12" s="11" t="s">
        <v>9</v>
      </c>
      <c r="C12" s="11" t="s">
        <v>2326</v>
      </c>
      <c r="D12" s="11" t="s">
        <v>2327</v>
      </c>
      <c r="E12" s="11" t="s">
        <v>2328</v>
      </c>
      <c r="F12" s="11" t="s">
        <v>2329</v>
      </c>
    </row>
    <row r="13" customFormat="false" ht="28.5" hidden="false" customHeight="true" outlineLevel="0" collapsed="false">
      <c r="B13" s="116" t="s">
        <v>19</v>
      </c>
      <c r="C13" s="117" t="s">
        <v>288</v>
      </c>
      <c r="D13" s="117" t="s">
        <v>2330</v>
      </c>
      <c r="E13" s="117" t="s">
        <v>2331</v>
      </c>
      <c r="F13" s="117" t="s">
        <v>287</v>
      </c>
    </row>
    <row r="14" customFormat="false" ht="16.5" hidden="false" customHeight="true" outlineLevel="0" collapsed="false">
      <c r="B14" s="116" t="s">
        <v>19</v>
      </c>
      <c r="C14" s="117" t="s">
        <v>346</v>
      </c>
      <c r="D14" s="117" t="s">
        <v>2332</v>
      </c>
      <c r="E14" s="117" t="s">
        <v>2333</v>
      </c>
      <c r="F14" s="117" t="s">
        <v>345</v>
      </c>
    </row>
    <row r="15" customFormat="false" ht="28.5" hidden="false" customHeight="true" outlineLevel="0" collapsed="false">
      <c r="B15" s="116" t="s">
        <v>19</v>
      </c>
      <c r="C15" s="117" t="s">
        <v>341</v>
      </c>
      <c r="D15" s="117" t="s">
        <v>2334</v>
      </c>
      <c r="E15" s="117" t="s">
        <v>2335</v>
      </c>
      <c r="F15" s="117" t="s">
        <v>339</v>
      </c>
    </row>
    <row r="16" customFormat="false" ht="28.5" hidden="false" customHeight="true" outlineLevel="0" collapsed="false">
      <c r="B16" s="116" t="s">
        <v>19</v>
      </c>
      <c r="C16" s="117" t="s">
        <v>2336</v>
      </c>
      <c r="D16" s="117" t="s">
        <v>2337</v>
      </c>
      <c r="E16" s="117" t="s">
        <v>2338</v>
      </c>
      <c r="F16" s="117" t="s">
        <v>486</v>
      </c>
    </row>
    <row r="17" customFormat="false" ht="28.5" hidden="false" customHeight="true" outlineLevel="0" collapsed="false">
      <c r="B17" s="116" t="s">
        <v>19</v>
      </c>
      <c r="C17" s="117" t="s">
        <v>2339</v>
      </c>
      <c r="D17" s="117" t="s">
        <v>2340</v>
      </c>
      <c r="E17" s="117" t="s">
        <v>2341</v>
      </c>
      <c r="F17" s="117" t="s">
        <v>239</v>
      </c>
    </row>
    <row r="18" customFormat="false" ht="28.5" hidden="false" customHeight="true" outlineLevel="0" collapsed="false">
      <c r="B18" s="116" t="s">
        <v>19</v>
      </c>
      <c r="C18" s="117" t="s">
        <v>2342</v>
      </c>
      <c r="D18" s="117" t="s">
        <v>2343</v>
      </c>
      <c r="E18" s="117" t="s">
        <v>2344</v>
      </c>
      <c r="F18" s="117" t="s">
        <v>710</v>
      </c>
    </row>
    <row r="19" customFormat="false" ht="28.5" hidden="false" customHeight="true" outlineLevel="0" collapsed="false">
      <c r="B19" s="116" t="s">
        <v>19</v>
      </c>
      <c r="C19" s="117" t="s">
        <v>2345</v>
      </c>
      <c r="D19" s="117" t="s">
        <v>2346</v>
      </c>
      <c r="E19" s="117" t="s">
        <v>2347</v>
      </c>
      <c r="F19" s="117" t="s">
        <v>597</v>
      </c>
    </row>
    <row r="20" customFormat="false" ht="28.5" hidden="false" customHeight="true" outlineLevel="0" collapsed="false">
      <c r="B20" s="116" t="s">
        <v>23</v>
      </c>
      <c r="C20" s="117" t="s">
        <v>2348</v>
      </c>
      <c r="D20" s="117" t="s">
        <v>2349</v>
      </c>
      <c r="E20" s="117" t="s">
        <v>2350</v>
      </c>
      <c r="F20" s="117" t="s">
        <v>502</v>
      </c>
    </row>
    <row r="21" customFormat="false" ht="28.5" hidden="false" customHeight="true" outlineLevel="0" collapsed="false">
      <c r="B21" s="116" t="s">
        <v>23</v>
      </c>
      <c r="C21" s="117" t="s">
        <v>2351</v>
      </c>
      <c r="D21" s="117" t="s">
        <v>2352</v>
      </c>
      <c r="E21" s="117" t="s">
        <v>2353</v>
      </c>
      <c r="F21" s="117" t="s">
        <v>817</v>
      </c>
    </row>
    <row r="22" customFormat="false" ht="28.5" hidden="false" customHeight="true" outlineLevel="0" collapsed="false">
      <c r="B22" s="116" t="s">
        <v>23</v>
      </c>
      <c r="C22" s="117" t="s">
        <v>2354</v>
      </c>
      <c r="D22" s="117" t="s">
        <v>2355</v>
      </c>
      <c r="E22" s="117" t="s">
        <v>2356</v>
      </c>
      <c r="F22" s="117"/>
    </row>
    <row r="23" customFormat="false" ht="28.5" hidden="false" customHeight="true" outlineLevel="0" collapsed="false">
      <c r="B23" s="116" t="s">
        <v>23</v>
      </c>
      <c r="C23" s="117" t="s">
        <v>2357</v>
      </c>
      <c r="D23" s="117" t="s">
        <v>2358</v>
      </c>
      <c r="E23" s="117" t="s">
        <v>2359</v>
      </c>
      <c r="F23" s="117" t="s">
        <v>753</v>
      </c>
    </row>
    <row r="24" customFormat="false" ht="16.5" hidden="false" customHeight="true" outlineLevel="0" collapsed="false">
      <c r="B24" s="116" t="s">
        <v>23</v>
      </c>
      <c r="C24" s="117" t="s">
        <v>2360</v>
      </c>
      <c r="D24" s="117" t="s">
        <v>2361</v>
      </c>
      <c r="E24" s="117" t="s">
        <v>2362</v>
      </c>
      <c r="F24" s="117"/>
    </row>
    <row r="25" customFormat="false" ht="16.5" hidden="false" customHeight="true" outlineLevel="0" collapsed="false">
      <c r="B25" s="116" t="s">
        <v>27</v>
      </c>
      <c r="C25" s="117" t="s">
        <v>2363</v>
      </c>
      <c r="D25" s="117" t="s">
        <v>2364</v>
      </c>
      <c r="E25" s="117" t="s">
        <v>2365</v>
      </c>
      <c r="F25" s="117"/>
    </row>
    <row r="26" customFormat="false" ht="28.5" hidden="false" customHeight="true" outlineLevel="0" collapsed="false">
      <c r="B26" s="116" t="s">
        <v>27</v>
      </c>
      <c r="C26" s="117" t="s">
        <v>2366</v>
      </c>
      <c r="D26" s="117" t="s">
        <v>2367</v>
      </c>
      <c r="E26" s="117" t="s">
        <v>2368</v>
      </c>
      <c r="F26" s="117" t="s">
        <v>247</v>
      </c>
    </row>
    <row r="27" customFormat="false" ht="16.5" hidden="false" customHeight="true" outlineLevel="0" collapsed="false">
      <c r="B27" s="116" t="s">
        <v>27</v>
      </c>
      <c r="C27" s="117" t="s">
        <v>2369</v>
      </c>
      <c r="D27" s="117" t="s">
        <v>2370</v>
      </c>
      <c r="E27" s="117" t="s">
        <v>2371</v>
      </c>
      <c r="F27" s="117" t="s">
        <v>379</v>
      </c>
    </row>
    <row r="28" customFormat="false" ht="28.5" hidden="false" customHeight="true" outlineLevel="0" collapsed="false">
      <c r="B28" s="116" t="s">
        <v>27</v>
      </c>
      <c r="C28" s="117" t="s">
        <v>2372</v>
      </c>
      <c r="D28" s="117" t="s">
        <v>2373</v>
      </c>
      <c r="E28" s="117" t="s">
        <v>2374</v>
      </c>
      <c r="F28" s="117" t="s">
        <v>817</v>
      </c>
    </row>
    <row r="29" customFormat="false" ht="28.5" hidden="false" customHeight="true" outlineLevel="0" collapsed="false">
      <c r="B29" s="116" t="s">
        <v>31</v>
      </c>
      <c r="C29" s="117" t="s">
        <v>2363</v>
      </c>
      <c r="D29" s="117" t="s">
        <v>2375</v>
      </c>
      <c r="E29" s="117" t="s">
        <v>2376</v>
      </c>
      <c r="F29" s="117"/>
    </row>
    <row r="30" customFormat="false" ht="28.5" hidden="false" customHeight="true" outlineLevel="0" collapsed="false">
      <c r="B30" s="116" t="s">
        <v>31</v>
      </c>
      <c r="C30" s="117" t="s">
        <v>2377</v>
      </c>
      <c r="D30" s="117" t="s">
        <v>2378</v>
      </c>
      <c r="E30" s="117" t="s">
        <v>2379</v>
      </c>
      <c r="F30" s="117" t="s">
        <v>558</v>
      </c>
    </row>
    <row r="31" customFormat="false" ht="16.5" hidden="false" customHeight="true" outlineLevel="0" collapsed="false">
      <c r="B31" s="116" t="s">
        <v>31</v>
      </c>
      <c r="C31" s="117" t="s">
        <v>2380</v>
      </c>
      <c r="D31" s="117" t="s">
        <v>2381</v>
      </c>
      <c r="E31" s="117" t="s">
        <v>2382</v>
      </c>
      <c r="F31" s="117" t="s">
        <v>817</v>
      </c>
    </row>
    <row r="32" customFormat="false" ht="16.5" hidden="false" customHeight="true" outlineLevel="0" collapsed="false">
      <c r="B32" s="116" t="s">
        <v>31</v>
      </c>
      <c r="C32" s="117" t="s">
        <v>2383</v>
      </c>
      <c r="D32" s="117" t="s">
        <v>2384</v>
      </c>
      <c r="E32" s="117" t="s">
        <v>2385</v>
      </c>
      <c r="F32" s="117" t="s">
        <v>808</v>
      </c>
    </row>
    <row r="33" customFormat="false" ht="28.5" hidden="false" customHeight="true" outlineLevel="0" collapsed="false">
      <c r="B33" s="116" t="s">
        <v>31</v>
      </c>
      <c r="C33" s="117" t="s">
        <v>2386</v>
      </c>
      <c r="D33" s="117" t="s">
        <v>2387</v>
      </c>
      <c r="E33" s="117" t="s">
        <v>2388</v>
      </c>
      <c r="F33" s="117" t="s">
        <v>785</v>
      </c>
    </row>
    <row r="34" customFormat="false" ht="16.5" hidden="false" customHeight="true" outlineLevel="0" collapsed="false">
      <c r="B34" s="116" t="s">
        <v>31</v>
      </c>
      <c r="C34" s="117" t="s">
        <v>393</v>
      </c>
      <c r="D34" s="117" t="s">
        <v>2389</v>
      </c>
      <c r="E34" s="117" t="s">
        <v>2390</v>
      </c>
      <c r="F34" s="117" t="s">
        <v>392</v>
      </c>
    </row>
    <row r="35" customFormat="false" ht="16.5" hidden="false" customHeight="true" outlineLevel="0" collapsed="false">
      <c r="B35" s="116" t="s">
        <v>31</v>
      </c>
      <c r="C35" s="117" t="s">
        <v>2391</v>
      </c>
      <c r="D35" s="117" t="s">
        <v>2392</v>
      </c>
      <c r="E35" s="117" t="s">
        <v>2393</v>
      </c>
      <c r="F35" s="117" t="s">
        <v>668</v>
      </c>
    </row>
    <row r="36" customFormat="false" ht="28.5" hidden="false" customHeight="true" outlineLevel="0" collapsed="false">
      <c r="B36" s="116" t="s">
        <v>2394</v>
      </c>
      <c r="C36" s="117" t="s">
        <v>2395</v>
      </c>
      <c r="D36" s="117" t="s">
        <v>2396</v>
      </c>
      <c r="E36" s="117" t="s">
        <v>2397</v>
      </c>
      <c r="F36" s="117" t="s">
        <v>239</v>
      </c>
    </row>
    <row r="37" customFormat="false" ht="28.5" hidden="false" customHeight="true" outlineLevel="0" collapsed="false">
      <c r="B37" s="116" t="s">
        <v>2394</v>
      </c>
      <c r="C37" s="117" t="s">
        <v>2398</v>
      </c>
      <c r="D37" s="117" t="s">
        <v>2399</v>
      </c>
      <c r="E37" s="117" t="s">
        <v>2400</v>
      </c>
      <c r="F37" s="117"/>
    </row>
    <row r="39" customFormat="false" ht="21.75" hidden="false" customHeight="true" outlineLevel="0" collapsed="false">
      <c r="B39" s="9" t="s">
        <v>2401</v>
      </c>
      <c r="C39" s="10"/>
      <c r="D39" s="10"/>
      <c r="E39" s="10"/>
      <c r="F39" s="10"/>
    </row>
    <row r="40" customFormat="false" ht="15" hidden="false" customHeight="true" outlineLevel="0" collapsed="false">
      <c r="B40" s="11" t="s">
        <v>2402</v>
      </c>
      <c r="C40" s="11" t="s">
        <v>2403</v>
      </c>
      <c r="D40" s="11"/>
      <c r="E40" s="11"/>
      <c r="F40" s="11"/>
    </row>
    <row r="41" customFormat="false" ht="30.75" hidden="false" customHeight="true" outlineLevel="0" collapsed="false">
      <c r="B41" s="116" t="s">
        <v>2404</v>
      </c>
      <c r="C41" s="117" t="s">
        <v>2405</v>
      </c>
      <c r="D41" s="117"/>
      <c r="E41" s="117"/>
      <c r="F41" s="117"/>
    </row>
    <row r="42" customFormat="false" ht="55.5" hidden="false" customHeight="true" outlineLevel="0" collapsed="false">
      <c r="B42" s="116" t="s">
        <v>2406</v>
      </c>
      <c r="C42" s="117" t="s">
        <v>2407</v>
      </c>
      <c r="D42" s="117"/>
      <c r="E42" s="117"/>
      <c r="F42" s="117"/>
    </row>
    <row r="43" customFormat="false" ht="30.75" hidden="false" customHeight="true" outlineLevel="0" collapsed="false">
      <c r="B43" s="116" t="s">
        <v>2408</v>
      </c>
      <c r="C43" s="117" t="s">
        <v>2409</v>
      </c>
      <c r="D43" s="117"/>
      <c r="E43" s="117"/>
      <c r="F43" s="117"/>
    </row>
    <row r="44" customFormat="false" ht="30.75" hidden="false" customHeight="true" outlineLevel="0" collapsed="false">
      <c r="B44" s="116" t="s">
        <v>2410</v>
      </c>
      <c r="C44" s="117" t="s">
        <v>2411</v>
      </c>
      <c r="D44" s="117"/>
      <c r="E44" s="117"/>
      <c r="F44" s="117"/>
    </row>
    <row r="45" customFormat="false" ht="30.75" hidden="false" customHeight="true" outlineLevel="0" collapsed="false">
      <c r="B45" s="116" t="s">
        <v>2412</v>
      </c>
      <c r="C45" s="117" t="s">
        <v>2413</v>
      </c>
      <c r="D45" s="117"/>
      <c r="E45" s="117"/>
      <c r="F45" s="117"/>
    </row>
    <row r="46" customFormat="false" ht="30.75" hidden="false" customHeight="true" outlineLevel="0" collapsed="false">
      <c r="B46" s="116" t="s">
        <v>2414</v>
      </c>
      <c r="C46" s="117" t="s">
        <v>2415</v>
      </c>
      <c r="D46" s="117"/>
      <c r="E46" s="117"/>
      <c r="F46" s="117"/>
    </row>
    <row r="47" customFormat="false" ht="30.75" hidden="false" customHeight="true" outlineLevel="0" collapsed="false">
      <c r="B47" s="116" t="s">
        <v>2416</v>
      </c>
      <c r="C47" s="117" t="s">
        <v>2417</v>
      </c>
      <c r="D47" s="117"/>
      <c r="E47" s="117"/>
      <c r="F47" s="117"/>
    </row>
  </sheetData>
  <mergeCells count="8">
    <mergeCell ref="C40:F40"/>
    <mergeCell ref="C41:F41"/>
    <mergeCell ref="C42:F42"/>
    <mergeCell ref="C43:F43"/>
    <mergeCell ref="C44:F44"/>
    <mergeCell ref="C45:F45"/>
    <mergeCell ref="C46:F46"/>
    <mergeCell ref="C47:F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2026-09-29T08:54:34Z</dcterms:created>
  <dc:creator>openpyxl</dc:creator>
  <dc:description/>
  <dc:language>en-US</dc:language>
  <cp:lastModifiedBy/>
  <dcterms:modified xsi:type="dcterms:W3CDTF">2026-09-29T08:54:36Z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